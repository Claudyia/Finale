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Users/claudia/Desktop/ROBA ISAAC copia/cartella senza nome/finale/"/>
    </mc:Choice>
  </mc:AlternateContent>
  <xr:revisionPtr revIDLastSave="0" documentId="13_ncr:1_{1FC33757-39E1-954F-95EC-A836C6ACC60E}" xr6:coauthVersionLast="47" xr6:coauthVersionMax="47" xr10:uidLastSave="{00000000-0000-0000-0000-000000000000}"/>
  <bookViews>
    <workbookView xWindow="0" yWindow="760" windowWidth="30240" windowHeight="17680" xr2:uid="{7ADFB5A8-C73D-EE40-8233-7D3C5CDCCB16}"/>
  </bookViews>
  <sheets>
    <sheet name="Tabella" sheetId="10" r:id="rId1"/>
    <sheet name="Controlli" sheetId="15" r:id="rId2"/>
    <sheet name="Rischio residuo" sheetId="16" r:id="rId3"/>
    <sheet name="asset" sheetId="21" r:id="rId4"/>
    <sheet name="vulnerabilità" sheetId="22" r:id="rId5"/>
    <sheet name="minacce" sheetId="23" r:id="rId6"/>
    <sheet name="mapping" sheetId="24" r:id="rId7"/>
    <sheet name="tabella mapping" sheetId="25" r:id="rId8"/>
    <sheet name="LEGGENDA" sheetId="20" r:id="rId9"/>
    <sheet name="Taratura controlli" sheetId="30" r:id="rId10"/>
  </sheets>
  <definedNames>
    <definedName name="_xlnm._FilterDatabase" localSheetId="5" hidden="1">minacce!$A$1:$E$1</definedName>
    <definedName name="_xlnm._FilterDatabase" localSheetId="2" hidden="1">'Rischio residuo'!$L$2:$L$32</definedName>
    <definedName name="_xlnm.Criteria" localSheetId="2">'Rischio residuo'!$L$2:$L$32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32" i="10" l="1"/>
  <c r="J32" i="10"/>
  <c r="K31" i="10"/>
  <c r="J31" i="10"/>
  <c r="K30" i="10"/>
  <c r="J30" i="10"/>
  <c r="K29" i="10"/>
  <c r="J29" i="10"/>
  <c r="K28" i="10"/>
  <c r="J28" i="10"/>
  <c r="K27" i="10"/>
  <c r="J27" i="10"/>
  <c r="K26" i="10"/>
  <c r="J26" i="10"/>
  <c r="K25" i="10"/>
  <c r="J25" i="10"/>
  <c r="K24" i="10"/>
  <c r="J24" i="10"/>
  <c r="K23" i="10"/>
  <c r="J23" i="10"/>
  <c r="K22" i="10"/>
  <c r="J22" i="10"/>
  <c r="K21" i="10"/>
  <c r="J21" i="10"/>
  <c r="K20" i="10"/>
  <c r="J20" i="10"/>
  <c r="K19" i="10"/>
  <c r="J19" i="10"/>
  <c r="K18" i="10"/>
  <c r="J18" i="10"/>
  <c r="K17" i="10"/>
  <c r="J17" i="10"/>
  <c r="K16" i="10"/>
  <c r="J16" i="10"/>
  <c r="K15" i="10"/>
  <c r="J15" i="10"/>
  <c r="K14" i="10"/>
  <c r="J14" i="10"/>
  <c r="K13" i="10"/>
  <c r="J13" i="10"/>
  <c r="K12" i="10"/>
  <c r="J12" i="10"/>
  <c r="K11" i="10"/>
  <c r="J11" i="10"/>
  <c r="K10" i="10"/>
  <c r="J10" i="10"/>
  <c r="K9" i="10"/>
  <c r="J9" i="10"/>
  <c r="K8" i="10"/>
  <c r="J8" i="10"/>
  <c r="K7" i="10"/>
  <c r="J7" i="10"/>
  <c r="K6" i="10"/>
  <c r="J6" i="10"/>
  <c r="K5" i="10"/>
  <c r="J5" i="10"/>
  <c r="K4" i="10"/>
  <c r="J4" i="10"/>
  <c r="K3" i="10"/>
  <c r="J3" i="10"/>
  <c r="D32" i="16"/>
  <c r="C32" i="16"/>
  <c r="B32" i="16"/>
  <c r="D31" i="16"/>
  <c r="C31" i="16"/>
  <c r="B31" i="16"/>
  <c r="D30" i="16"/>
  <c r="C30" i="16"/>
  <c r="B30" i="16"/>
  <c r="D29" i="16"/>
  <c r="J29" i="16" s="1"/>
  <c r="C29" i="16"/>
  <c r="B29" i="16"/>
  <c r="D28" i="16"/>
  <c r="C28" i="16"/>
  <c r="B28" i="16"/>
  <c r="D27" i="16"/>
  <c r="C27" i="16"/>
  <c r="B27" i="16"/>
  <c r="D26" i="16"/>
  <c r="C26" i="16"/>
  <c r="B26" i="16"/>
  <c r="D25" i="16"/>
  <c r="C25" i="16"/>
  <c r="B25" i="16"/>
  <c r="D24" i="16"/>
  <c r="C24" i="16"/>
  <c r="B24" i="16"/>
  <c r="D23" i="16"/>
  <c r="J23" i="16" s="1"/>
  <c r="C23" i="16"/>
  <c r="B23" i="16"/>
  <c r="D22" i="16"/>
  <c r="C22" i="16"/>
  <c r="B22" i="16"/>
  <c r="D21" i="16"/>
  <c r="C21" i="16"/>
  <c r="B21" i="16"/>
  <c r="D20" i="16"/>
  <c r="C20" i="16"/>
  <c r="B20" i="16"/>
  <c r="D19" i="16"/>
  <c r="C19" i="16"/>
  <c r="B19" i="16"/>
  <c r="D18" i="16"/>
  <c r="C18" i="16"/>
  <c r="B18" i="16"/>
  <c r="D17" i="16"/>
  <c r="C17" i="16"/>
  <c r="B17" i="16"/>
  <c r="D16" i="16"/>
  <c r="C16" i="16"/>
  <c r="B16" i="16"/>
  <c r="D15" i="16"/>
  <c r="J15" i="16" s="1"/>
  <c r="C15" i="16"/>
  <c r="B15" i="16"/>
  <c r="D14" i="16"/>
  <c r="C14" i="16"/>
  <c r="B14" i="16"/>
  <c r="D13" i="16"/>
  <c r="J13" i="16" s="1"/>
  <c r="C13" i="16"/>
  <c r="B13" i="16"/>
  <c r="D12" i="16"/>
  <c r="C12" i="16"/>
  <c r="B12" i="16"/>
  <c r="D11" i="16"/>
  <c r="C11" i="16"/>
  <c r="B11" i="16"/>
  <c r="D10" i="16"/>
  <c r="C10" i="16"/>
  <c r="B10" i="16"/>
  <c r="D9" i="16"/>
  <c r="C9" i="16"/>
  <c r="B9" i="16"/>
  <c r="D8" i="16"/>
  <c r="C8" i="16"/>
  <c r="B8" i="16"/>
  <c r="D7" i="16"/>
  <c r="C7" i="16"/>
  <c r="B7" i="16"/>
  <c r="D6" i="16"/>
  <c r="C6" i="16"/>
  <c r="E6" i="16" s="1"/>
  <c r="B6" i="16"/>
  <c r="D5" i="16"/>
  <c r="C5" i="16"/>
  <c r="E5" i="16" s="1"/>
  <c r="B5" i="16"/>
  <c r="D4" i="16"/>
  <c r="J4" i="16" s="1"/>
  <c r="C4" i="16"/>
  <c r="B4" i="16"/>
  <c r="D3" i="16"/>
  <c r="J3" i="16" s="1"/>
  <c r="C3" i="16"/>
  <c r="B3" i="16"/>
  <c r="D2" i="16"/>
  <c r="C2" i="16"/>
  <c r="B2" i="16"/>
  <c r="G63" i="30"/>
  <c r="I43" i="30"/>
  <c r="H43" i="30"/>
  <c r="G43" i="30"/>
  <c r="F34" i="15"/>
  <c r="E34" i="15"/>
  <c r="D54" i="30" s="1"/>
  <c r="G54" i="30" s="1"/>
  <c r="F32" i="15"/>
  <c r="E52" i="30" s="1"/>
  <c r="H52" i="30" s="1"/>
  <c r="E32" i="15"/>
  <c r="D52" i="30" s="1"/>
  <c r="G52" i="30" s="1"/>
  <c r="F31" i="15"/>
  <c r="E31" i="15"/>
  <c r="A121" i="30"/>
  <c r="A118" i="30"/>
  <c r="A113" i="30"/>
  <c r="A111" i="30"/>
  <c r="A108" i="30"/>
  <c r="A105" i="30"/>
  <c r="A103" i="30"/>
  <c r="A98" i="30"/>
  <c r="A93" i="30"/>
  <c r="A91" i="30"/>
  <c r="A89" i="30"/>
  <c r="A87" i="30"/>
  <c r="A85" i="30"/>
  <c r="A82" i="30"/>
  <c r="A77" i="30"/>
  <c r="A73" i="30"/>
  <c r="A69" i="30"/>
  <c r="A65" i="30"/>
  <c r="A62" i="30"/>
  <c r="A59" i="30"/>
  <c r="A55" i="30"/>
  <c r="A50" i="30"/>
  <c r="A44" i="30"/>
  <c r="A40" i="30"/>
  <c r="A35" i="30"/>
  <c r="A31" i="30"/>
  <c r="A27" i="30"/>
  <c r="A23" i="30"/>
  <c r="A20" i="30"/>
  <c r="A17" i="30"/>
  <c r="A12" i="30"/>
  <c r="B81" i="15"/>
  <c r="B80" i="15"/>
  <c r="B79" i="15"/>
  <c r="B78" i="15"/>
  <c r="B77" i="15"/>
  <c r="B76" i="15"/>
  <c r="B75" i="15"/>
  <c r="B74" i="15"/>
  <c r="B73" i="15"/>
  <c r="B72" i="15"/>
  <c r="B71" i="15"/>
  <c r="B70" i="15"/>
  <c r="B69" i="15"/>
  <c r="B68" i="15"/>
  <c r="B67" i="15"/>
  <c r="B66" i="15"/>
  <c r="B65" i="15"/>
  <c r="B64" i="15"/>
  <c r="B63" i="15"/>
  <c r="B62"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B12" i="15"/>
  <c r="B11" i="15"/>
  <c r="B10" i="15"/>
  <c r="B9" i="15"/>
  <c r="B8" i="15"/>
  <c r="B7" i="15"/>
  <c r="B6" i="15"/>
  <c r="B5" i="15"/>
  <c r="B4" i="15"/>
  <c r="B3" i="15"/>
  <c r="B2" i="15"/>
  <c r="J22" i="16"/>
  <c r="J20" i="16"/>
  <c r="J16" i="16"/>
  <c r="J14" i="16"/>
  <c r="I7" i="16"/>
  <c r="J6" i="16"/>
  <c r="J2" i="16"/>
  <c r="K2" i="10" s="1"/>
  <c r="H122" i="30"/>
  <c r="H92" i="30"/>
  <c r="H90" i="30"/>
  <c r="H88" i="30"/>
  <c r="H86" i="30"/>
  <c r="C13" i="30"/>
  <c r="I13" i="30" s="1"/>
  <c r="D13" i="30"/>
  <c r="G13" i="30" s="1"/>
  <c r="E13" i="30"/>
  <c r="H13" i="30" s="1"/>
  <c r="C14" i="30"/>
  <c r="I14" i="30" s="1"/>
  <c r="D14" i="30"/>
  <c r="G14" i="30" s="1"/>
  <c r="E14" i="30"/>
  <c r="H14" i="30" s="1"/>
  <c r="C15" i="30"/>
  <c r="I15" i="30" s="1"/>
  <c r="D15" i="30"/>
  <c r="G15" i="30" s="1"/>
  <c r="E15" i="30"/>
  <c r="H15" i="30" s="1"/>
  <c r="C16" i="30"/>
  <c r="I16" i="30" s="1"/>
  <c r="D16" i="30"/>
  <c r="G16" i="30" s="1"/>
  <c r="E16" i="30"/>
  <c r="H16" i="30" s="1"/>
  <c r="C18" i="30"/>
  <c r="I18" i="30" s="1"/>
  <c r="D18" i="30"/>
  <c r="G18" i="30" s="1"/>
  <c r="E18" i="30"/>
  <c r="H18" i="30" s="1"/>
  <c r="C19" i="30"/>
  <c r="I19" i="30" s="1"/>
  <c r="D19" i="30"/>
  <c r="G19" i="30" s="1"/>
  <c r="E19" i="30"/>
  <c r="H19" i="30" s="1"/>
  <c r="C21" i="30"/>
  <c r="I21" i="30" s="1"/>
  <c r="D21" i="30"/>
  <c r="E21" i="30"/>
  <c r="H21" i="30" s="1"/>
  <c r="G21" i="30"/>
  <c r="C22" i="30"/>
  <c r="I22" i="30" s="1"/>
  <c r="D22" i="30"/>
  <c r="G22" i="30" s="1"/>
  <c r="E22" i="30"/>
  <c r="C24" i="30"/>
  <c r="I24" i="30" s="1"/>
  <c r="D24" i="30"/>
  <c r="G24" i="30" s="1"/>
  <c r="E24" i="30"/>
  <c r="H24" i="30" s="1"/>
  <c r="C25" i="30"/>
  <c r="I25" i="30" s="1"/>
  <c r="D25" i="30"/>
  <c r="G25" i="30" s="1"/>
  <c r="E25" i="30"/>
  <c r="C26" i="30"/>
  <c r="I26" i="30" s="1"/>
  <c r="D26" i="30"/>
  <c r="G26" i="30" s="1"/>
  <c r="E26" i="30"/>
  <c r="C28" i="30"/>
  <c r="I28" i="30" s="1"/>
  <c r="D28" i="30"/>
  <c r="G28" i="30" s="1"/>
  <c r="E28" i="30"/>
  <c r="H28" i="30" s="1"/>
  <c r="C29" i="30"/>
  <c r="I29" i="30" s="1"/>
  <c r="D29" i="30"/>
  <c r="G29" i="30" s="1"/>
  <c r="E29" i="30"/>
  <c r="H29" i="30" s="1"/>
  <c r="C30" i="30"/>
  <c r="I30" i="30" s="1"/>
  <c r="D30" i="30"/>
  <c r="G30" i="30" s="1"/>
  <c r="E30" i="30"/>
  <c r="H30" i="30" s="1"/>
  <c r="C32" i="30"/>
  <c r="I32" i="30" s="1"/>
  <c r="D32" i="30"/>
  <c r="G32" i="30" s="1"/>
  <c r="E32" i="30"/>
  <c r="H32" i="30" s="1"/>
  <c r="C33" i="30"/>
  <c r="I33" i="30" s="1"/>
  <c r="D33" i="30"/>
  <c r="G33" i="30" s="1"/>
  <c r="E33" i="30"/>
  <c r="H33" i="30" s="1"/>
  <c r="C34" i="30"/>
  <c r="I34" i="30" s="1"/>
  <c r="D34" i="30"/>
  <c r="G34" i="30" s="1"/>
  <c r="E34" i="30"/>
  <c r="H34" i="30" s="1"/>
  <c r="C36" i="30"/>
  <c r="I36" i="30" s="1"/>
  <c r="D36" i="30"/>
  <c r="G36" i="30" s="1"/>
  <c r="E36" i="30"/>
  <c r="H36" i="30" s="1"/>
  <c r="C37" i="30"/>
  <c r="I37" i="30" s="1"/>
  <c r="D37" i="30"/>
  <c r="G37" i="30" s="1"/>
  <c r="E37" i="30"/>
  <c r="H37" i="30" s="1"/>
  <c r="C38" i="30"/>
  <c r="I38" i="30" s="1"/>
  <c r="D38" i="30"/>
  <c r="G38" i="30" s="1"/>
  <c r="E38" i="30"/>
  <c r="H38" i="30" s="1"/>
  <c r="C39" i="30"/>
  <c r="I39" i="30" s="1"/>
  <c r="D39" i="30"/>
  <c r="G39" i="30" s="1"/>
  <c r="E39" i="30"/>
  <c r="H39" i="30" s="1"/>
  <c r="C41" i="30"/>
  <c r="I41" i="30" s="1"/>
  <c r="D41" i="30"/>
  <c r="G41" i="30" s="1"/>
  <c r="E41" i="30"/>
  <c r="H41" i="30" s="1"/>
  <c r="C42" i="30"/>
  <c r="I42" i="30" s="1"/>
  <c r="D42" i="30"/>
  <c r="G42" i="30" s="1"/>
  <c r="E42" i="30"/>
  <c r="H42" i="30" s="1"/>
  <c r="C43" i="30"/>
  <c r="D43" i="30"/>
  <c r="E43" i="30"/>
  <c r="C45" i="30"/>
  <c r="I45" i="30" s="1"/>
  <c r="D45" i="30"/>
  <c r="G45" i="30" s="1"/>
  <c r="E45" i="30"/>
  <c r="H45" i="30" s="1"/>
  <c r="C46" i="30"/>
  <c r="I46" i="30" s="1"/>
  <c r="D46" i="30"/>
  <c r="G46" i="30" s="1"/>
  <c r="E46" i="30"/>
  <c r="H46" i="30" s="1"/>
  <c r="C47" i="30"/>
  <c r="I47" i="30" s="1"/>
  <c r="D47" i="30"/>
  <c r="G47" i="30" s="1"/>
  <c r="E47" i="30"/>
  <c r="H47" i="30" s="1"/>
  <c r="C48" i="30"/>
  <c r="I48" i="30" s="1"/>
  <c r="D48" i="30"/>
  <c r="G48" i="30" s="1"/>
  <c r="E48" i="30"/>
  <c r="H48" i="30" s="1"/>
  <c r="C49" i="30"/>
  <c r="I49" i="30" s="1"/>
  <c r="D49" i="30"/>
  <c r="G49" i="30" s="1"/>
  <c r="E49" i="30"/>
  <c r="H49" i="30" s="1"/>
  <c r="C51" i="30"/>
  <c r="I51" i="30" s="1"/>
  <c r="D51" i="30"/>
  <c r="G51" i="30" s="1"/>
  <c r="E51" i="30"/>
  <c r="H51" i="30" s="1"/>
  <c r="C52" i="30"/>
  <c r="I52" i="30" s="1"/>
  <c r="C53" i="30"/>
  <c r="I53" i="30" s="1"/>
  <c r="D53" i="30"/>
  <c r="G53" i="30" s="1"/>
  <c r="E53" i="30"/>
  <c r="H53" i="30" s="1"/>
  <c r="C54" i="30"/>
  <c r="I54" i="30" s="1"/>
  <c r="E54" i="30"/>
  <c r="H54" i="30" s="1"/>
  <c r="C56" i="30"/>
  <c r="I56" i="30" s="1"/>
  <c r="D56" i="30"/>
  <c r="G56" i="30" s="1"/>
  <c r="E56" i="30"/>
  <c r="H56" i="30" s="1"/>
  <c r="C57" i="30"/>
  <c r="I57" i="30" s="1"/>
  <c r="D57" i="30"/>
  <c r="G57" i="30" s="1"/>
  <c r="E57" i="30"/>
  <c r="H57" i="30" s="1"/>
  <c r="C58" i="30"/>
  <c r="I58" i="30" s="1"/>
  <c r="D58" i="30"/>
  <c r="G58" i="30" s="1"/>
  <c r="E58" i="30"/>
  <c r="H58" i="30" s="1"/>
  <c r="C60" i="30"/>
  <c r="I60" i="30" s="1"/>
  <c r="D60" i="30"/>
  <c r="G60" i="30" s="1"/>
  <c r="E60" i="30"/>
  <c r="H60" i="30" s="1"/>
  <c r="C61" i="30"/>
  <c r="I61" i="30" s="1"/>
  <c r="D61" i="30"/>
  <c r="G61" i="30" s="1"/>
  <c r="E61" i="30"/>
  <c r="H61" i="30" s="1"/>
  <c r="C63" i="30"/>
  <c r="I63" i="30" s="1"/>
  <c r="D63" i="30"/>
  <c r="E63" i="30"/>
  <c r="H63" i="30" s="1"/>
  <c r="C64" i="30"/>
  <c r="I64" i="30" s="1"/>
  <c r="D64" i="30"/>
  <c r="G64" i="30" s="1"/>
  <c r="E64" i="30"/>
  <c r="H64" i="30" s="1"/>
  <c r="C66" i="30"/>
  <c r="I66" i="30" s="1"/>
  <c r="D66" i="30"/>
  <c r="G66" i="30" s="1"/>
  <c r="E66" i="30"/>
  <c r="H66" i="30" s="1"/>
  <c r="C67" i="30"/>
  <c r="I67" i="30" s="1"/>
  <c r="D67" i="30"/>
  <c r="G67" i="30" s="1"/>
  <c r="E67" i="30"/>
  <c r="H67" i="30" s="1"/>
  <c r="C68" i="30"/>
  <c r="I68" i="30" s="1"/>
  <c r="D68" i="30"/>
  <c r="G68" i="30" s="1"/>
  <c r="E68" i="30"/>
  <c r="H68" i="30" s="1"/>
  <c r="C70" i="30"/>
  <c r="I70" i="30" s="1"/>
  <c r="D70" i="30"/>
  <c r="G70" i="30" s="1"/>
  <c r="E70" i="30"/>
  <c r="H70" i="30" s="1"/>
  <c r="C71" i="30"/>
  <c r="I71" i="30" s="1"/>
  <c r="D71" i="30"/>
  <c r="G71" i="30" s="1"/>
  <c r="E71" i="30"/>
  <c r="H71" i="30" s="1"/>
  <c r="C72" i="30"/>
  <c r="I72" i="30" s="1"/>
  <c r="D72" i="30"/>
  <c r="G72" i="30" s="1"/>
  <c r="E72" i="30"/>
  <c r="H72" i="30" s="1"/>
  <c r="C74" i="30"/>
  <c r="I74" i="30" s="1"/>
  <c r="D74" i="30"/>
  <c r="G74" i="30" s="1"/>
  <c r="E74" i="30"/>
  <c r="H74" i="30" s="1"/>
  <c r="C75" i="30"/>
  <c r="I75" i="30" s="1"/>
  <c r="D75" i="30"/>
  <c r="G75" i="30" s="1"/>
  <c r="E75" i="30"/>
  <c r="H75" i="30" s="1"/>
  <c r="C76" i="30"/>
  <c r="I76" i="30" s="1"/>
  <c r="D76" i="30"/>
  <c r="G76" i="30" s="1"/>
  <c r="E76" i="30"/>
  <c r="H76" i="30" s="1"/>
  <c r="C78" i="30"/>
  <c r="I78" i="30" s="1"/>
  <c r="D78" i="30"/>
  <c r="G78" i="30" s="1"/>
  <c r="E78" i="30"/>
  <c r="H78" i="30" s="1"/>
  <c r="C79" i="30"/>
  <c r="I79" i="30" s="1"/>
  <c r="D79" i="30"/>
  <c r="G79" i="30" s="1"/>
  <c r="E79" i="30"/>
  <c r="H79" i="30" s="1"/>
  <c r="C80" i="30"/>
  <c r="I80" i="30" s="1"/>
  <c r="D80" i="30"/>
  <c r="G80" i="30" s="1"/>
  <c r="E80" i="30"/>
  <c r="H80" i="30" s="1"/>
  <c r="C81" i="30"/>
  <c r="I81" i="30" s="1"/>
  <c r="D81" i="30"/>
  <c r="G81" i="30" s="1"/>
  <c r="E81" i="30"/>
  <c r="H81" i="30" s="1"/>
  <c r="C83" i="30"/>
  <c r="I83" i="30" s="1"/>
  <c r="D83" i="30"/>
  <c r="G83" i="30" s="1"/>
  <c r="E83" i="30"/>
  <c r="H83" i="30" s="1"/>
  <c r="C84" i="30"/>
  <c r="I84" i="30" s="1"/>
  <c r="D84" i="30"/>
  <c r="G84" i="30" s="1"/>
  <c r="E84" i="30"/>
  <c r="H84" i="30" s="1"/>
  <c r="C86" i="30"/>
  <c r="I86" i="30" s="1"/>
  <c r="D86" i="30"/>
  <c r="G86" i="30" s="1"/>
  <c r="E86" i="30"/>
  <c r="C88" i="30"/>
  <c r="I88" i="30" s="1"/>
  <c r="D88" i="30"/>
  <c r="G88" i="30" s="1"/>
  <c r="E88" i="30"/>
  <c r="C90" i="30"/>
  <c r="I90" i="30" s="1"/>
  <c r="D90" i="30"/>
  <c r="G90" i="30" s="1"/>
  <c r="E90" i="30"/>
  <c r="C92" i="30"/>
  <c r="I92" i="30" s="1"/>
  <c r="D92" i="30"/>
  <c r="G92" i="30" s="1"/>
  <c r="E92" i="30"/>
  <c r="C94" i="30"/>
  <c r="I94" i="30" s="1"/>
  <c r="D94" i="30"/>
  <c r="G94" i="30" s="1"/>
  <c r="E94" i="30"/>
  <c r="H94" i="30" s="1"/>
  <c r="C95" i="30"/>
  <c r="I95" i="30" s="1"/>
  <c r="D95" i="30"/>
  <c r="G95" i="30" s="1"/>
  <c r="E95" i="30"/>
  <c r="H95" i="30" s="1"/>
  <c r="C96" i="30"/>
  <c r="I96" i="30" s="1"/>
  <c r="D96" i="30"/>
  <c r="G96" i="30" s="1"/>
  <c r="E96" i="30"/>
  <c r="H96" i="30" s="1"/>
  <c r="C97" i="30"/>
  <c r="I97" i="30" s="1"/>
  <c r="D97" i="30"/>
  <c r="G97" i="30" s="1"/>
  <c r="E97" i="30"/>
  <c r="C99" i="30"/>
  <c r="I99" i="30" s="1"/>
  <c r="D99" i="30"/>
  <c r="G99" i="30" s="1"/>
  <c r="E99" i="30"/>
  <c r="H99" i="30" s="1"/>
  <c r="C100" i="30"/>
  <c r="I100" i="30" s="1"/>
  <c r="D100" i="30"/>
  <c r="G100" i="30" s="1"/>
  <c r="E100" i="30"/>
  <c r="H100" i="30" s="1"/>
  <c r="C101" i="30"/>
  <c r="I101" i="30" s="1"/>
  <c r="D101" i="30"/>
  <c r="G101" i="30" s="1"/>
  <c r="E101" i="30"/>
  <c r="H101" i="30" s="1"/>
  <c r="C102" i="30"/>
  <c r="I102" i="30" s="1"/>
  <c r="D102" i="30"/>
  <c r="G102" i="30" s="1"/>
  <c r="E102" i="30"/>
  <c r="H102" i="30" s="1"/>
  <c r="C104" i="30"/>
  <c r="I104" i="30" s="1"/>
  <c r="D104" i="30"/>
  <c r="G104" i="30" s="1"/>
  <c r="E104" i="30"/>
  <c r="C106" i="30"/>
  <c r="I106" i="30" s="1"/>
  <c r="D106" i="30"/>
  <c r="G106" i="30" s="1"/>
  <c r="E106" i="30"/>
  <c r="C107" i="30"/>
  <c r="I107" i="30" s="1"/>
  <c r="D107" i="30"/>
  <c r="G107" i="30" s="1"/>
  <c r="E107" i="30"/>
  <c r="C109" i="30"/>
  <c r="I109" i="30" s="1"/>
  <c r="D109" i="30"/>
  <c r="G109" i="30" s="1"/>
  <c r="E109" i="30"/>
  <c r="H109" i="30" s="1"/>
  <c r="C110" i="30"/>
  <c r="I110" i="30" s="1"/>
  <c r="D110" i="30"/>
  <c r="G110" i="30" s="1"/>
  <c r="E110" i="30"/>
  <c r="H110" i="30" s="1"/>
  <c r="C112" i="30"/>
  <c r="I112" i="30" s="1"/>
  <c r="D112" i="30"/>
  <c r="G112" i="30" s="1"/>
  <c r="E112" i="30"/>
  <c r="H112" i="30" s="1"/>
  <c r="C114" i="30"/>
  <c r="I114" i="30" s="1"/>
  <c r="D114" i="30"/>
  <c r="G114" i="30" s="1"/>
  <c r="E114" i="30"/>
  <c r="H114" i="30" s="1"/>
  <c r="C115" i="30"/>
  <c r="I115" i="30" s="1"/>
  <c r="D115" i="30"/>
  <c r="G115" i="30" s="1"/>
  <c r="E115" i="30"/>
  <c r="H115" i="30" s="1"/>
  <c r="C116" i="30"/>
  <c r="I116" i="30" s="1"/>
  <c r="D116" i="30"/>
  <c r="G116" i="30" s="1"/>
  <c r="E116" i="30"/>
  <c r="H116" i="30" s="1"/>
  <c r="C117" i="30"/>
  <c r="I117" i="30" s="1"/>
  <c r="D117" i="30"/>
  <c r="G117" i="30" s="1"/>
  <c r="E117" i="30"/>
  <c r="H117" i="30" s="1"/>
  <c r="C119" i="30"/>
  <c r="I119" i="30" s="1"/>
  <c r="D119" i="30"/>
  <c r="G119" i="30" s="1"/>
  <c r="E119" i="30"/>
  <c r="H119" i="30" s="1"/>
  <c r="C120" i="30"/>
  <c r="I120" i="30" s="1"/>
  <c r="D120" i="30"/>
  <c r="G120" i="30" s="1"/>
  <c r="E120" i="30"/>
  <c r="H120" i="30" s="1"/>
  <c r="C122" i="30"/>
  <c r="I122" i="30" s="1"/>
  <c r="D122" i="30"/>
  <c r="G122" i="30" s="1"/>
  <c r="E122" i="30"/>
  <c r="S12" i="10"/>
  <c r="G2" i="15"/>
  <c r="F13" i="30" s="1"/>
  <c r="A5" i="16"/>
  <c r="J32" i="16"/>
  <c r="A32" i="16"/>
  <c r="J31" i="16"/>
  <c r="A31" i="16"/>
  <c r="J30" i="16"/>
  <c r="A30" i="16"/>
  <c r="A29" i="16"/>
  <c r="J28" i="16"/>
  <c r="A28" i="16"/>
  <c r="J27" i="16"/>
  <c r="E27" i="16"/>
  <c r="A27" i="16"/>
  <c r="J26" i="16"/>
  <c r="A26" i="16"/>
  <c r="A25" i="16"/>
  <c r="A24" i="16"/>
  <c r="A23" i="16"/>
  <c r="A22" i="16"/>
  <c r="A21" i="16"/>
  <c r="A20" i="16"/>
  <c r="A19" i="16"/>
  <c r="A18" i="16"/>
  <c r="A17" i="16"/>
  <c r="A16" i="16"/>
  <c r="A15" i="16"/>
  <c r="A14" i="16"/>
  <c r="A13" i="16"/>
  <c r="J12" i="16"/>
  <c r="A12" i="16"/>
  <c r="J11" i="16"/>
  <c r="A11" i="16"/>
  <c r="J10" i="16"/>
  <c r="A10" i="16"/>
  <c r="J9" i="16"/>
  <c r="A9" i="16"/>
  <c r="J8" i="16"/>
  <c r="A8" i="16"/>
  <c r="E7" i="16"/>
  <c r="A7" i="16"/>
  <c r="A6" i="16"/>
  <c r="A4" i="16"/>
  <c r="A3" i="16"/>
  <c r="A2" i="16"/>
  <c r="CK4" i="25"/>
  <c r="CN4" i="25"/>
  <c r="CO4" i="25"/>
  <c r="E5" i="25"/>
  <c r="F5" i="25"/>
  <c r="G5" i="25"/>
  <c r="H5" i="25"/>
  <c r="I5" i="25"/>
  <c r="J5" i="25"/>
  <c r="K5" i="25"/>
  <c r="L5" i="25"/>
  <c r="M5" i="25"/>
  <c r="N5" i="25"/>
  <c r="O5" i="25"/>
  <c r="P5" i="25"/>
  <c r="Q5" i="25"/>
  <c r="R5" i="25"/>
  <c r="S5" i="25"/>
  <c r="T5" i="25"/>
  <c r="U5" i="25"/>
  <c r="V5" i="25"/>
  <c r="W5" i="25"/>
  <c r="X5" i="25"/>
  <c r="Y5" i="25"/>
  <c r="Z5" i="25"/>
  <c r="AA5" i="25"/>
  <c r="AB5" i="25"/>
  <c r="AC5" i="25"/>
  <c r="AD5" i="25"/>
  <c r="AE5" i="25"/>
  <c r="AF5" i="25"/>
  <c r="AG5" i="25"/>
  <c r="AH5" i="25"/>
  <c r="AI5" i="25"/>
  <c r="AJ5" i="25"/>
  <c r="AK5" i="25"/>
  <c r="AL5" i="25"/>
  <c r="AM5" i="25"/>
  <c r="AN5" i="25"/>
  <c r="AO5" i="25"/>
  <c r="AP5" i="25"/>
  <c r="AQ5" i="25"/>
  <c r="AR5" i="25"/>
  <c r="AS5" i="25"/>
  <c r="AT5" i="25"/>
  <c r="AU5" i="25"/>
  <c r="AV5" i="25"/>
  <c r="AW5" i="25"/>
  <c r="AX5" i="25"/>
  <c r="AY5" i="25"/>
  <c r="AZ5" i="25"/>
  <c r="BA5" i="25"/>
  <c r="BB5" i="25"/>
  <c r="BC5" i="25"/>
  <c r="BD5" i="25"/>
  <c r="BE5" i="25"/>
  <c r="BF5" i="25"/>
  <c r="BG5" i="25"/>
  <c r="BH5" i="25"/>
  <c r="BI5" i="25"/>
  <c r="BJ5" i="25"/>
  <c r="BK5" i="25"/>
  <c r="BL5" i="25"/>
  <c r="BM5" i="25"/>
  <c r="BN5" i="25"/>
  <c r="BO5" i="25"/>
  <c r="BP5" i="25"/>
  <c r="BQ5" i="25"/>
  <c r="BR5" i="25"/>
  <c r="BS5" i="25"/>
  <c r="BT5" i="25"/>
  <c r="BU5" i="25"/>
  <c r="BV5" i="25"/>
  <c r="BW5" i="25"/>
  <c r="BX5" i="25"/>
  <c r="BY5" i="25"/>
  <c r="BZ5" i="25"/>
  <c r="CA5" i="25"/>
  <c r="CB5" i="25"/>
  <c r="CC5" i="25"/>
  <c r="CD5" i="25"/>
  <c r="CE5" i="25"/>
  <c r="CF5" i="25"/>
  <c r="CG5" i="25"/>
  <c r="CH5" i="25"/>
  <c r="E6" i="25"/>
  <c r="F6" i="25"/>
  <c r="G6" i="25"/>
  <c r="H6" i="25"/>
  <c r="I6" i="25"/>
  <c r="J6" i="25"/>
  <c r="K6" i="25"/>
  <c r="L6" i="25"/>
  <c r="M6" i="25"/>
  <c r="N6" i="25"/>
  <c r="O6" i="25"/>
  <c r="P6" i="25"/>
  <c r="Q6" i="25"/>
  <c r="R6" i="25"/>
  <c r="S6" i="25"/>
  <c r="T6" i="25"/>
  <c r="U6" i="25"/>
  <c r="V6" i="25"/>
  <c r="W6" i="25"/>
  <c r="X6" i="25"/>
  <c r="Y6" i="25"/>
  <c r="Z6" i="25"/>
  <c r="AA6" i="25"/>
  <c r="AB6" i="25"/>
  <c r="AC6" i="25"/>
  <c r="AD6" i="25"/>
  <c r="AE6" i="25"/>
  <c r="AF6" i="25"/>
  <c r="AG6" i="25"/>
  <c r="AH6" i="25"/>
  <c r="AI6" i="25"/>
  <c r="AJ6" i="25"/>
  <c r="AK6" i="25"/>
  <c r="AL6" i="25"/>
  <c r="AM6" i="25"/>
  <c r="AN6" i="25"/>
  <c r="AO6" i="25"/>
  <c r="AP6" i="25"/>
  <c r="AQ6" i="25"/>
  <c r="AR6" i="25"/>
  <c r="AS6" i="25"/>
  <c r="AT6" i="25"/>
  <c r="AU6" i="25"/>
  <c r="AV6" i="25"/>
  <c r="AW6" i="25"/>
  <c r="AX6" i="25"/>
  <c r="AY6" i="25"/>
  <c r="AZ6" i="25"/>
  <c r="BA6" i="25"/>
  <c r="BB6" i="25"/>
  <c r="BC6" i="25"/>
  <c r="BD6" i="25"/>
  <c r="BE6" i="25"/>
  <c r="BF6" i="25"/>
  <c r="BG6" i="25"/>
  <c r="BH6" i="25"/>
  <c r="BI6" i="25"/>
  <c r="BJ6" i="25"/>
  <c r="BK6" i="25"/>
  <c r="BL6" i="25"/>
  <c r="BM6" i="25"/>
  <c r="BN6" i="25"/>
  <c r="BO6" i="25"/>
  <c r="BP6" i="25"/>
  <c r="BQ6" i="25"/>
  <c r="BR6" i="25"/>
  <c r="BS6" i="25"/>
  <c r="BT6" i="25"/>
  <c r="BU6" i="25"/>
  <c r="BV6" i="25"/>
  <c r="BW6" i="25"/>
  <c r="BX6" i="25"/>
  <c r="BY6" i="25"/>
  <c r="BZ6" i="25"/>
  <c r="CA6" i="25"/>
  <c r="CB6" i="25"/>
  <c r="CC6" i="25"/>
  <c r="CD6" i="25"/>
  <c r="CE6" i="25"/>
  <c r="CF6" i="25"/>
  <c r="CG6" i="25"/>
  <c r="CH6" i="25"/>
  <c r="E7" i="25"/>
  <c r="F7" i="25"/>
  <c r="G7" i="25"/>
  <c r="H7" i="25"/>
  <c r="I7" i="25"/>
  <c r="J7" i="25"/>
  <c r="K7" i="25"/>
  <c r="L7" i="25"/>
  <c r="M7" i="25"/>
  <c r="N7" i="25"/>
  <c r="O7" i="25"/>
  <c r="P7" i="25"/>
  <c r="Q7" i="25"/>
  <c r="R7" i="25"/>
  <c r="S7" i="25"/>
  <c r="T7" i="25"/>
  <c r="U7" i="25"/>
  <c r="V7" i="25"/>
  <c r="W7" i="25"/>
  <c r="X7" i="25"/>
  <c r="Y7" i="25"/>
  <c r="Z7" i="25"/>
  <c r="AA7" i="25"/>
  <c r="AB7" i="25"/>
  <c r="AC7" i="25"/>
  <c r="AD7" i="25"/>
  <c r="AE7" i="25"/>
  <c r="AF7" i="25"/>
  <c r="AG7" i="25"/>
  <c r="AH7" i="25"/>
  <c r="AI7" i="25"/>
  <c r="AJ7" i="25"/>
  <c r="AK7" i="25"/>
  <c r="AL7" i="25"/>
  <c r="AM7" i="25"/>
  <c r="AN7" i="25"/>
  <c r="AO7" i="25"/>
  <c r="AP7" i="25"/>
  <c r="AQ7" i="25"/>
  <c r="AR7" i="25"/>
  <c r="AS7" i="25"/>
  <c r="AT7" i="25"/>
  <c r="AU7" i="25"/>
  <c r="AV7" i="25"/>
  <c r="AW7" i="25"/>
  <c r="AX7" i="25"/>
  <c r="AY7" i="25"/>
  <c r="AZ7" i="25"/>
  <c r="BA7" i="25"/>
  <c r="BB7" i="25"/>
  <c r="BC7" i="25"/>
  <c r="BD7" i="25"/>
  <c r="BE7" i="25"/>
  <c r="BF7" i="25"/>
  <c r="BG7" i="25"/>
  <c r="BH7" i="25"/>
  <c r="BI7" i="25"/>
  <c r="BJ7" i="25"/>
  <c r="BK7" i="25"/>
  <c r="BL7" i="25"/>
  <c r="BM7" i="25"/>
  <c r="BN7" i="25"/>
  <c r="BO7" i="25"/>
  <c r="BP7" i="25"/>
  <c r="BQ7" i="25"/>
  <c r="BR7" i="25"/>
  <c r="BS7" i="25"/>
  <c r="BT7" i="25"/>
  <c r="BU7" i="25"/>
  <c r="BV7" i="25"/>
  <c r="BW7" i="25"/>
  <c r="BX7" i="25"/>
  <c r="BY7" i="25"/>
  <c r="BZ7" i="25"/>
  <c r="CA7" i="25"/>
  <c r="CB7" i="25"/>
  <c r="CC7" i="25"/>
  <c r="CD7" i="25"/>
  <c r="CE7" i="25"/>
  <c r="CF7" i="25"/>
  <c r="CG7" i="25"/>
  <c r="CH7" i="25"/>
  <c r="E8" i="25"/>
  <c r="F8" i="25"/>
  <c r="G8" i="25"/>
  <c r="H8" i="25"/>
  <c r="I8" i="25"/>
  <c r="J8" i="25"/>
  <c r="K8" i="25"/>
  <c r="L8" i="25"/>
  <c r="M8" i="25"/>
  <c r="N8" i="25"/>
  <c r="O8" i="25"/>
  <c r="P8" i="25"/>
  <c r="Q8" i="25"/>
  <c r="R8" i="25"/>
  <c r="S8" i="25"/>
  <c r="T8" i="25"/>
  <c r="U8" i="25"/>
  <c r="V8" i="25"/>
  <c r="W8" i="25"/>
  <c r="X8" i="25"/>
  <c r="Y8" i="25"/>
  <c r="Z8" i="25"/>
  <c r="AA8" i="25"/>
  <c r="AB8" i="25"/>
  <c r="AC8" i="25"/>
  <c r="AD8" i="25"/>
  <c r="AE8" i="25"/>
  <c r="AF8" i="25"/>
  <c r="AG8" i="25"/>
  <c r="AH8" i="25"/>
  <c r="AI8" i="25"/>
  <c r="AJ8" i="25"/>
  <c r="AK8" i="25"/>
  <c r="AL8" i="25"/>
  <c r="AM8" i="25"/>
  <c r="AN8" i="25"/>
  <c r="AO8" i="25"/>
  <c r="AP8" i="25"/>
  <c r="AQ8" i="25"/>
  <c r="AR8" i="25"/>
  <c r="AS8" i="25"/>
  <c r="AT8" i="25"/>
  <c r="AU8" i="25"/>
  <c r="AV8" i="25"/>
  <c r="AW8" i="25"/>
  <c r="AX8" i="25"/>
  <c r="AY8" i="25"/>
  <c r="AZ8" i="25"/>
  <c r="BA8" i="25"/>
  <c r="BB8" i="25"/>
  <c r="BC8" i="25"/>
  <c r="BD8" i="25"/>
  <c r="BE8" i="25"/>
  <c r="BF8" i="25"/>
  <c r="BG8" i="25"/>
  <c r="BH8" i="25"/>
  <c r="BI8" i="25"/>
  <c r="BJ8" i="25"/>
  <c r="BK8" i="25"/>
  <c r="BL8" i="25"/>
  <c r="BM8" i="25"/>
  <c r="BN8" i="25"/>
  <c r="BO8" i="25"/>
  <c r="BP8" i="25"/>
  <c r="BQ8" i="25"/>
  <c r="BR8" i="25"/>
  <c r="BS8" i="25"/>
  <c r="BT8" i="25"/>
  <c r="BU8" i="25"/>
  <c r="BV8" i="25"/>
  <c r="BW8" i="25"/>
  <c r="BX8" i="25"/>
  <c r="BY8" i="25"/>
  <c r="BZ8" i="25"/>
  <c r="CA8" i="25"/>
  <c r="CB8" i="25"/>
  <c r="CC8" i="25"/>
  <c r="CD8" i="25"/>
  <c r="CE8" i="25"/>
  <c r="CF8" i="25"/>
  <c r="CG8" i="25"/>
  <c r="CH8" i="25"/>
  <c r="E9" i="25"/>
  <c r="F9" i="25"/>
  <c r="G9" i="25"/>
  <c r="H9" i="25"/>
  <c r="I9" i="25"/>
  <c r="J9" i="25"/>
  <c r="K9" i="25"/>
  <c r="L9" i="25"/>
  <c r="M9" i="25"/>
  <c r="N9" i="25"/>
  <c r="O9" i="25"/>
  <c r="P9" i="25"/>
  <c r="Q9" i="25"/>
  <c r="R9" i="25"/>
  <c r="S9" i="25"/>
  <c r="T9" i="25"/>
  <c r="U9" i="25"/>
  <c r="V9" i="25"/>
  <c r="W9" i="25"/>
  <c r="X9" i="25"/>
  <c r="Y9" i="25"/>
  <c r="Z9" i="25"/>
  <c r="AA9" i="25"/>
  <c r="AB9" i="25"/>
  <c r="AC9" i="25"/>
  <c r="AD9" i="25"/>
  <c r="AE9" i="25"/>
  <c r="AF9" i="25"/>
  <c r="AG9" i="25"/>
  <c r="AH9" i="25"/>
  <c r="AI9" i="25"/>
  <c r="AJ9" i="25"/>
  <c r="AK9" i="25"/>
  <c r="AL9" i="25"/>
  <c r="AM9" i="25"/>
  <c r="AN9" i="25"/>
  <c r="AO9" i="25"/>
  <c r="AP9" i="25"/>
  <c r="AQ9" i="25"/>
  <c r="AR9" i="25"/>
  <c r="AS9" i="25"/>
  <c r="AT9" i="25"/>
  <c r="AU9" i="25"/>
  <c r="AV9" i="25"/>
  <c r="AW9" i="25"/>
  <c r="AX9" i="25"/>
  <c r="AY9" i="25"/>
  <c r="AZ9" i="25"/>
  <c r="BA9" i="25"/>
  <c r="BB9" i="25"/>
  <c r="BC9" i="25"/>
  <c r="BD9" i="25"/>
  <c r="BE9" i="25"/>
  <c r="BF9" i="25"/>
  <c r="BG9" i="25"/>
  <c r="BH9" i="25"/>
  <c r="BI9" i="25"/>
  <c r="BJ9" i="25"/>
  <c r="BK9" i="25"/>
  <c r="BL9" i="25"/>
  <c r="BM9" i="25"/>
  <c r="BN9" i="25"/>
  <c r="BO9" i="25"/>
  <c r="BP9" i="25"/>
  <c r="BQ9" i="25"/>
  <c r="BR9" i="25"/>
  <c r="BS9" i="25"/>
  <c r="BT9" i="25"/>
  <c r="BU9" i="25"/>
  <c r="BV9" i="25"/>
  <c r="BW9" i="25"/>
  <c r="BX9" i="25"/>
  <c r="BY9" i="25"/>
  <c r="BZ9" i="25"/>
  <c r="CA9" i="25"/>
  <c r="CB9" i="25"/>
  <c r="CC9" i="25"/>
  <c r="CD9" i="25"/>
  <c r="CE9" i="25"/>
  <c r="CF9" i="25"/>
  <c r="CG9" i="25"/>
  <c r="CH9" i="25"/>
  <c r="E10" i="25"/>
  <c r="F10" i="25"/>
  <c r="G10" i="25"/>
  <c r="H10" i="25"/>
  <c r="I10" i="25"/>
  <c r="J10" i="25"/>
  <c r="K10" i="25"/>
  <c r="L10" i="25"/>
  <c r="M10" i="25"/>
  <c r="N10" i="25"/>
  <c r="O10" i="25"/>
  <c r="P10" i="25"/>
  <c r="Q10" i="25"/>
  <c r="R10" i="25"/>
  <c r="S10" i="25"/>
  <c r="T10" i="25"/>
  <c r="U10" i="25"/>
  <c r="V10" i="25"/>
  <c r="W10" i="25"/>
  <c r="X10" i="25"/>
  <c r="Y10" i="25"/>
  <c r="Z10" i="25"/>
  <c r="AA10" i="25"/>
  <c r="AB10" i="25"/>
  <c r="AC10" i="25"/>
  <c r="AD10" i="25"/>
  <c r="AE10" i="25"/>
  <c r="AF10" i="25"/>
  <c r="AG10" i="25"/>
  <c r="AH10" i="25"/>
  <c r="AI10" i="25"/>
  <c r="AJ10" i="25"/>
  <c r="AK10" i="25"/>
  <c r="AL10" i="25"/>
  <c r="AM10" i="25"/>
  <c r="AN10" i="25"/>
  <c r="AO10" i="25"/>
  <c r="AP10" i="25"/>
  <c r="AQ10" i="25"/>
  <c r="AR10" i="25"/>
  <c r="AS10" i="25"/>
  <c r="AT10" i="25"/>
  <c r="AU10" i="25"/>
  <c r="AV10" i="25"/>
  <c r="AW10" i="25"/>
  <c r="AX10" i="25"/>
  <c r="AY10" i="25"/>
  <c r="AZ10" i="25"/>
  <c r="BA10" i="25"/>
  <c r="BB10" i="25"/>
  <c r="BC10" i="25"/>
  <c r="BD10" i="25"/>
  <c r="BE10" i="25"/>
  <c r="BF10" i="25"/>
  <c r="BG10" i="25"/>
  <c r="BH10" i="25"/>
  <c r="BI10" i="25"/>
  <c r="BJ10" i="25"/>
  <c r="BK10" i="25"/>
  <c r="BL10" i="25"/>
  <c r="BM10" i="25"/>
  <c r="BN10" i="25"/>
  <c r="BO10" i="25"/>
  <c r="BP10" i="25"/>
  <c r="BQ10" i="25"/>
  <c r="BR10" i="25"/>
  <c r="BS10" i="25"/>
  <c r="BT10" i="25"/>
  <c r="BU10" i="25"/>
  <c r="BV10" i="25"/>
  <c r="BW10" i="25"/>
  <c r="BX10" i="25"/>
  <c r="BY10" i="25"/>
  <c r="BZ10" i="25"/>
  <c r="CA10" i="25"/>
  <c r="CB10" i="25"/>
  <c r="CC10" i="25"/>
  <c r="CD10" i="25"/>
  <c r="CE10" i="25"/>
  <c r="CF10" i="25"/>
  <c r="CG10" i="25"/>
  <c r="CH10" i="25"/>
  <c r="E11" i="25"/>
  <c r="F11" i="25"/>
  <c r="G11" i="25"/>
  <c r="H11" i="25"/>
  <c r="I11" i="25"/>
  <c r="J11" i="25"/>
  <c r="K11" i="25"/>
  <c r="L11" i="25"/>
  <c r="M11" i="25"/>
  <c r="N11" i="25"/>
  <c r="O11" i="25"/>
  <c r="P11" i="25"/>
  <c r="Q11" i="25"/>
  <c r="R11" i="25"/>
  <c r="S11" i="25"/>
  <c r="T11" i="25"/>
  <c r="U11" i="25"/>
  <c r="V11" i="25"/>
  <c r="W11" i="25"/>
  <c r="X11" i="25"/>
  <c r="Y11" i="25"/>
  <c r="Z11" i="25"/>
  <c r="AA11" i="25"/>
  <c r="AB11" i="25"/>
  <c r="AC11" i="25"/>
  <c r="AD11" i="25"/>
  <c r="AE11" i="25"/>
  <c r="AF11" i="25"/>
  <c r="AG11" i="25"/>
  <c r="AH11" i="25"/>
  <c r="AI11" i="25"/>
  <c r="AJ11" i="25"/>
  <c r="AK11" i="25"/>
  <c r="AL11" i="25"/>
  <c r="AM11" i="25"/>
  <c r="AN11" i="25"/>
  <c r="AO11" i="25"/>
  <c r="AP11" i="25"/>
  <c r="AQ11" i="25"/>
  <c r="AR11" i="25"/>
  <c r="AS11" i="25"/>
  <c r="AT11" i="25"/>
  <c r="AU11" i="25"/>
  <c r="AV11" i="25"/>
  <c r="AW11" i="25"/>
  <c r="AX11" i="25"/>
  <c r="AY11" i="25"/>
  <c r="AZ11" i="25"/>
  <c r="BA11" i="25"/>
  <c r="BB11" i="25"/>
  <c r="BC11" i="25"/>
  <c r="BD11" i="25"/>
  <c r="BE11" i="25"/>
  <c r="BF11" i="25"/>
  <c r="BG11" i="25"/>
  <c r="BH11" i="25"/>
  <c r="BI11" i="25"/>
  <c r="BJ11" i="25"/>
  <c r="BK11" i="25"/>
  <c r="BL11" i="25"/>
  <c r="BM11" i="25"/>
  <c r="BN11" i="25"/>
  <c r="BO11" i="25"/>
  <c r="BP11" i="25"/>
  <c r="BQ11" i="25"/>
  <c r="BR11" i="25"/>
  <c r="BS11" i="25"/>
  <c r="BT11" i="25"/>
  <c r="BU11" i="25"/>
  <c r="BV11" i="25"/>
  <c r="BW11" i="25"/>
  <c r="BX11" i="25"/>
  <c r="BY11" i="25"/>
  <c r="BZ11" i="25"/>
  <c r="CA11" i="25"/>
  <c r="CB11" i="25"/>
  <c r="CC11" i="25"/>
  <c r="CD11" i="25"/>
  <c r="CE11" i="25"/>
  <c r="CF11" i="25"/>
  <c r="CG11" i="25"/>
  <c r="CH11" i="25"/>
  <c r="E12" i="25"/>
  <c r="F12" i="25"/>
  <c r="G12" i="25"/>
  <c r="H12" i="25"/>
  <c r="I12" i="25"/>
  <c r="J12" i="25"/>
  <c r="K12" i="25"/>
  <c r="L12" i="25"/>
  <c r="M12" i="25"/>
  <c r="N12" i="25"/>
  <c r="O12" i="25"/>
  <c r="P12" i="25"/>
  <c r="Q12" i="25"/>
  <c r="R12" i="25"/>
  <c r="S12" i="25"/>
  <c r="T12" i="25"/>
  <c r="U12" i="25"/>
  <c r="V12" i="25"/>
  <c r="W12" i="25"/>
  <c r="X12" i="25"/>
  <c r="Y12" i="25"/>
  <c r="Z12" i="25"/>
  <c r="AA12" i="25"/>
  <c r="AB12" i="25"/>
  <c r="AC12" i="25"/>
  <c r="AD12" i="25"/>
  <c r="AE12" i="25"/>
  <c r="AF12" i="25"/>
  <c r="AG12" i="25"/>
  <c r="AH12" i="25"/>
  <c r="AI12" i="25"/>
  <c r="AJ12" i="25"/>
  <c r="AK12" i="25"/>
  <c r="AL12" i="25"/>
  <c r="AM12" i="25"/>
  <c r="AN12" i="25"/>
  <c r="AO12" i="25"/>
  <c r="AP12" i="25"/>
  <c r="AQ12" i="25"/>
  <c r="AR12" i="25"/>
  <c r="AS12" i="25"/>
  <c r="AT12" i="25"/>
  <c r="AU12" i="25"/>
  <c r="AV12" i="25"/>
  <c r="AW12" i="25"/>
  <c r="AX12" i="25"/>
  <c r="AY12" i="25"/>
  <c r="AZ12" i="25"/>
  <c r="BA12" i="25"/>
  <c r="BB12" i="25"/>
  <c r="BC12" i="25"/>
  <c r="BD12" i="25"/>
  <c r="BE12" i="25"/>
  <c r="BF12" i="25"/>
  <c r="BG12" i="25"/>
  <c r="BH12" i="25"/>
  <c r="BI12" i="25"/>
  <c r="BJ12" i="25"/>
  <c r="BK12" i="25"/>
  <c r="BL12" i="25"/>
  <c r="BM12" i="25"/>
  <c r="BN12" i="25"/>
  <c r="BO12" i="25"/>
  <c r="BP12" i="25"/>
  <c r="BQ12" i="25"/>
  <c r="BR12" i="25"/>
  <c r="BS12" i="25"/>
  <c r="BT12" i="25"/>
  <c r="BU12" i="25"/>
  <c r="BV12" i="25"/>
  <c r="BW12" i="25"/>
  <c r="BX12" i="25"/>
  <c r="BY12" i="25"/>
  <c r="BZ12" i="25"/>
  <c r="CA12" i="25"/>
  <c r="CB12" i="25"/>
  <c r="CC12" i="25"/>
  <c r="CD12" i="25"/>
  <c r="CE12" i="25"/>
  <c r="CF12" i="25"/>
  <c r="CG12" i="25"/>
  <c r="CH12" i="25"/>
  <c r="E13" i="25"/>
  <c r="F13" i="25"/>
  <c r="G13" i="25"/>
  <c r="H13" i="25"/>
  <c r="I13" i="25"/>
  <c r="J13" i="25"/>
  <c r="K13" i="25"/>
  <c r="L13" i="25"/>
  <c r="M13" i="25"/>
  <c r="N13" i="25"/>
  <c r="O13" i="25"/>
  <c r="P13" i="25"/>
  <c r="Q13" i="25"/>
  <c r="R13" i="25"/>
  <c r="S13" i="25"/>
  <c r="T13" i="25"/>
  <c r="U13" i="25"/>
  <c r="V13" i="25"/>
  <c r="W13" i="25"/>
  <c r="X13" i="25"/>
  <c r="Y13" i="25"/>
  <c r="Z13" i="25"/>
  <c r="AA13" i="25"/>
  <c r="AB13" i="25"/>
  <c r="AC13" i="25"/>
  <c r="AD13" i="25"/>
  <c r="AE13" i="25"/>
  <c r="AF13" i="25"/>
  <c r="AG13" i="25"/>
  <c r="AH13" i="25"/>
  <c r="AI13" i="25"/>
  <c r="AJ13" i="25"/>
  <c r="AK13" i="25"/>
  <c r="AL13" i="25"/>
  <c r="AM13" i="25"/>
  <c r="AN13" i="25"/>
  <c r="AO13" i="25"/>
  <c r="AP13" i="25"/>
  <c r="AQ13" i="25"/>
  <c r="AR13" i="25"/>
  <c r="AS13" i="25"/>
  <c r="AT13" i="25"/>
  <c r="AU13" i="25"/>
  <c r="AV13" i="25"/>
  <c r="AW13" i="25"/>
  <c r="AX13" i="25"/>
  <c r="AY13" i="25"/>
  <c r="AZ13" i="25"/>
  <c r="BA13" i="25"/>
  <c r="BB13" i="25"/>
  <c r="BC13" i="25"/>
  <c r="BD13" i="25"/>
  <c r="BE13" i="25"/>
  <c r="BF13" i="25"/>
  <c r="BG13" i="25"/>
  <c r="BH13" i="25"/>
  <c r="BI13" i="25"/>
  <c r="BJ13" i="25"/>
  <c r="BK13" i="25"/>
  <c r="BL13" i="25"/>
  <c r="BM13" i="25"/>
  <c r="BN13" i="25"/>
  <c r="BO13" i="25"/>
  <c r="BP13" i="25"/>
  <c r="BQ13" i="25"/>
  <c r="BR13" i="25"/>
  <c r="BS13" i="25"/>
  <c r="BT13" i="25"/>
  <c r="BU13" i="25"/>
  <c r="BV13" i="25"/>
  <c r="BW13" i="25"/>
  <c r="BX13" i="25"/>
  <c r="BY13" i="25"/>
  <c r="BZ13" i="25"/>
  <c r="CA13" i="25"/>
  <c r="CB13" i="25"/>
  <c r="CC13" i="25"/>
  <c r="CD13" i="25"/>
  <c r="CE13" i="25"/>
  <c r="CF13" i="25"/>
  <c r="CG13" i="25"/>
  <c r="CH13" i="25"/>
  <c r="E14" i="25"/>
  <c r="F14" i="25"/>
  <c r="G14" i="25"/>
  <c r="H14" i="25"/>
  <c r="I14" i="25"/>
  <c r="J14" i="25"/>
  <c r="K14" i="25"/>
  <c r="L14" i="25"/>
  <c r="M14" i="25"/>
  <c r="N14" i="25"/>
  <c r="O14" i="25"/>
  <c r="P14" i="25"/>
  <c r="Q14" i="25"/>
  <c r="R14" i="25"/>
  <c r="S14" i="25"/>
  <c r="T14" i="25"/>
  <c r="U14" i="25"/>
  <c r="V14" i="25"/>
  <c r="W14" i="25"/>
  <c r="X14" i="25"/>
  <c r="Y14" i="25"/>
  <c r="Z14" i="25"/>
  <c r="AA14" i="25"/>
  <c r="AB14" i="25"/>
  <c r="AC14" i="25"/>
  <c r="AD14" i="25"/>
  <c r="AE14" i="25"/>
  <c r="AF14" i="25"/>
  <c r="AG14" i="25"/>
  <c r="AH14" i="25"/>
  <c r="AI14" i="25"/>
  <c r="AJ14" i="25"/>
  <c r="AK14" i="25"/>
  <c r="AL14" i="25"/>
  <c r="AM14" i="25"/>
  <c r="AN14" i="25"/>
  <c r="AO14" i="25"/>
  <c r="AP14" i="25"/>
  <c r="AQ14" i="25"/>
  <c r="AR14" i="25"/>
  <c r="AS14" i="25"/>
  <c r="AT14" i="25"/>
  <c r="AU14" i="25"/>
  <c r="AV14" i="25"/>
  <c r="AW14" i="25"/>
  <c r="AX14" i="25"/>
  <c r="AY14" i="25"/>
  <c r="AZ14" i="25"/>
  <c r="BA14" i="25"/>
  <c r="BB14" i="25"/>
  <c r="BC14" i="25"/>
  <c r="BD14" i="25"/>
  <c r="BE14" i="25"/>
  <c r="BF14" i="25"/>
  <c r="BG14" i="25"/>
  <c r="BH14" i="25"/>
  <c r="BI14" i="25"/>
  <c r="BJ14" i="25"/>
  <c r="BK14" i="25"/>
  <c r="BL14" i="25"/>
  <c r="BM14" i="25"/>
  <c r="BN14" i="25"/>
  <c r="BO14" i="25"/>
  <c r="BP14" i="25"/>
  <c r="BQ14" i="25"/>
  <c r="BR14" i="25"/>
  <c r="BS14" i="25"/>
  <c r="BT14" i="25"/>
  <c r="BU14" i="25"/>
  <c r="BV14" i="25"/>
  <c r="BW14" i="25"/>
  <c r="BX14" i="25"/>
  <c r="BY14" i="25"/>
  <c r="BZ14" i="25"/>
  <c r="CA14" i="25"/>
  <c r="CB14" i="25"/>
  <c r="CC14" i="25"/>
  <c r="CD14" i="25"/>
  <c r="CE14" i="25"/>
  <c r="CF14" i="25"/>
  <c r="CG14" i="25"/>
  <c r="CH14" i="25"/>
  <c r="E15" i="25"/>
  <c r="F15" i="25"/>
  <c r="G15" i="25"/>
  <c r="H15" i="25"/>
  <c r="I15" i="25"/>
  <c r="J15" i="25"/>
  <c r="K15" i="25"/>
  <c r="L15" i="25"/>
  <c r="M15" i="25"/>
  <c r="N15" i="25"/>
  <c r="O15" i="25"/>
  <c r="P15" i="25"/>
  <c r="Q15" i="25"/>
  <c r="R15" i="25"/>
  <c r="S15" i="25"/>
  <c r="T15" i="25"/>
  <c r="U15" i="25"/>
  <c r="V15" i="25"/>
  <c r="W15" i="25"/>
  <c r="X15" i="25"/>
  <c r="Y15" i="25"/>
  <c r="Z15" i="25"/>
  <c r="AA15" i="25"/>
  <c r="AB15" i="25"/>
  <c r="AC15" i="25"/>
  <c r="AD15" i="25"/>
  <c r="AE15" i="25"/>
  <c r="AF15" i="25"/>
  <c r="AG15" i="25"/>
  <c r="AH15" i="25"/>
  <c r="AI15" i="25"/>
  <c r="AJ15" i="25"/>
  <c r="AK15" i="25"/>
  <c r="AL15" i="25"/>
  <c r="AM15" i="25"/>
  <c r="AN15" i="25"/>
  <c r="AO15" i="25"/>
  <c r="AP15" i="25"/>
  <c r="AQ15" i="25"/>
  <c r="AR15" i="25"/>
  <c r="AS15" i="25"/>
  <c r="AT15" i="25"/>
  <c r="AU15" i="25"/>
  <c r="AV15" i="25"/>
  <c r="AW15" i="25"/>
  <c r="AX15" i="25"/>
  <c r="AY15" i="25"/>
  <c r="AZ15" i="25"/>
  <c r="BA15" i="25"/>
  <c r="BB15" i="25"/>
  <c r="BC15" i="25"/>
  <c r="BD15" i="25"/>
  <c r="BE15" i="25"/>
  <c r="BF15" i="25"/>
  <c r="BG15" i="25"/>
  <c r="BH15" i="25"/>
  <c r="BI15" i="25"/>
  <c r="BJ15" i="25"/>
  <c r="BK15" i="25"/>
  <c r="BL15" i="25"/>
  <c r="BM15" i="25"/>
  <c r="BN15" i="25"/>
  <c r="BO15" i="25"/>
  <c r="BP15" i="25"/>
  <c r="BQ15" i="25"/>
  <c r="BR15" i="25"/>
  <c r="BS15" i="25"/>
  <c r="BT15" i="25"/>
  <c r="BU15" i="25"/>
  <c r="BV15" i="25"/>
  <c r="BW15" i="25"/>
  <c r="BX15" i="25"/>
  <c r="BY15" i="25"/>
  <c r="BZ15" i="25"/>
  <c r="CA15" i="25"/>
  <c r="CB15" i="25"/>
  <c r="CC15" i="25"/>
  <c r="CD15" i="25"/>
  <c r="CE15" i="25"/>
  <c r="CF15" i="25"/>
  <c r="CG15" i="25"/>
  <c r="CH15" i="25"/>
  <c r="E16" i="25"/>
  <c r="F16" i="25"/>
  <c r="G16" i="25"/>
  <c r="H16" i="25"/>
  <c r="I16" i="25"/>
  <c r="J16" i="25"/>
  <c r="K16" i="25"/>
  <c r="L16" i="25"/>
  <c r="M16" i="25"/>
  <c r="N16" i="25"/>
  <c r="O16" i="25"/>
  <c r="P16" i="25"/>
  <c r="Q16" i="25"/>
  <c r="R16" i="25"/>
  <c r="S16" i="25"/>
  <c r="T16" i="25"/>
  <c r="U16" i="25"/>
  <c r="V16" i="25"/>
  <c r="W16" i="25"/>
  <c r="X16" i="25"/>
  <c r="Y16" i="25"/>
  <c r="Z16" i="25"/>
  <c r="AA16" i="25"/>
  <c r="AB16" i="25"/>
  <c r="AC16" i="25"/>
  <c r="AD16" i="25"/>
  <c r="AE16" i="25"/>
  <c r="AF16" i="25"/>
  <c r="AG16" i="25"/>
  <c r="AH16" i="25"/>
  <c r="AI16" i="25"/>
  <c r="AJ16" i="25"/>
  <c r="AK16" i="25"/>
  <c r="AL16" i="25"/>
  <c r="AM16" i="25"/>
  <c r="AN16" i="25"/>
  <c r="AO16" i="25"/>
  <c r="AP16" i="25"/>
  <c r="AQ16" i="25"/>
  <c r="AR16" i="25"/>
  <c r="AS16" i="25"/>
  <c r="AT16" i="25"/>
  <c r="AU16" i="25"/>
  <c r="AV16" i="25"/>
  <c r="AW16" i="25"/>
  <c r="AX16" i="25"/>
  <c r="AY16" i="25"/>
  <c r="AZ16" i="25"/>
  <c r="BA16" i="25"/>
  <c r="BB16" i="25"/>
  <c r="BC16" i="25"/>
  <c r="BD16" i="25"/>
  <c r="BE16" i="25"/>
  <c r="BF16" i="25"/>
  <c r="BG16" i="25"/>
  <c r="BH16" i="25"/>
  <c r="BI16" i="25"/>
  <c r="BJ16" i="25"/>
  <c r="BK16" i="25"/>
  <c r="BL16" i="25"/>
  <c r="BM16" i="25"/>
  <c r="BN16" i="25"/>
  <c r="BO16" i="25"/>
  <c r="BP16" i="25"/>
  <c r="BQ16" i="25"/>
  <c r="BR16" i="25"/>
  <c r="BS16" i="25"/>
  <c r="BT16" i="25"/>
  <c r="BU16" i="25"/>
  <c r="BV16" i="25"/>
  <c r="BW16" i="25"/>
  <c r="BX16" i="25"/>
  <c r="BY16" i="25"/>
  <c r="BZ16" i="25"/>
  <c r="CA16" i="25"/>
  <c r="CB16" i="25"/>
  <c r="CC16" i="25"/>
  <c r="CD16" i="25"/>
  <c r="CE16" i="25"/>
  <c r="CF16" i="25"/>
  <c r="CG16" i="25"/>
  <c r="CH16" i="25"/>
  <c r="E17" i="25"/>
  <c r="F17" i="25"/>
  <c r="G17" i="25"/>
  <c r="H17" i="25"/>
  <c r="I17" i="25"/>
  <c r="J17" i="25"/>
  <c r="K17" i="25"/>
  <c r="L17" i="25"/>
  <c r="M17" i="25"/>
  <c r="N17" i="25"/>
  <c r="O17" i="25"/>
  <c r="P17" i="25"/>
  <c r="Q17" i="25"/>
  <c r="R17" i="25"/>
  <c r="S17" i="25"/>
  <c r="T17" i="25"/>
  <c r="U17" i="25"/>
  <c r="V17" i="25"/>
  <c r="W17" i="25"/>
  <c r="X17" i="25"/>
  <c r="Y17" i="25"/>
  <c r="Z17" i="25"/>
  <c r="AA17" i="25"/>
  <c r="AB17" i="25"/>
  <c r="AC17" i="25"/>
  <c r="AD17" i="25"/>
  <c r="AE17" i="25"/>
  <c r="AF17" i="25"/>
  <c r="AG17" i="25"/>
  <c r="AH17" i="25"/>
  <c r="AI17" i="25"/>
  <c r="AJ17" i="25"/>
  <c r="AK17" i="25"/>
  <c r="AL17" i="25"/>
  <c r="AM17" i="25"/>
  <c r="AN17" i="25"/>
  <c r="AO17" i="25"/>
  <c r="AP17" i="25"/>
  <c r="AQ17" i="25"/>
  <c r="AR17" i="25"/>
  <c r="AS17" i="25"/>
  <c r="AT17" i="25"/>
  <c r="AU17" i="25"/>
  <c r="AV17" i="25"/>
  <c r="AW17" i="25"/>
  <c r="AX17" i="25"/>
  <c r="AY17" i="25"/>
  <c r="AZ17" i="25"/>
  <c r="BA17" i="25"/>
  <c r="BB17" i="25"/>
  <c r="BC17" i="25"/>
  <c r="BD17" i="25"/>
  <c r="BE17" i="25"/>
  <c r="BF17" i="25"/>
  <c r="BG17" i="25"/>
  <c r="BH17" i="25"/>
  <c r="BI17" i="25"/>
  <c r="BJ17" i="25"/>
  <c r="BK17" i="25"/>
  <c r="BL17" i="25"/>
  <c r="BM17" i="25"/>
  <c r="BN17" i="25"/>
  <c r="BO17" i="25"/>
  <c r="BP17" i="25"/>
  <c r="BQ17" i="25"/>
  <c r="BR17" i="25"/>
  <c r="BS17" i="25"/>
  <c r="BT17" i="25"/>
  <c r="BU17" i="25"/>
  <c r="BV17" i="25"/>
  <c r="BW17" i="25"/>
  <c r="BX17" i="25"/>
  <c r="BY17" i="25"/>
  <c r="BZ17" i="25"/>
  <c r="CA17" i="25"/>
  <c r="CB17" i="25"/>
  <c r="CC17" i="25"/>
  <c r="CD17" i="25"/>
  <c r="CE17" i="25"/>
  <c r="CF17" i="25"/>
  <c r="CG17" i="25"/>
  <c r="CH17" i="25"/>
  <c r="E18" i="25"/>
  <c r="F18" i="25"/>
  <c r="G18" i="25"/>
  <c r="H18" i="25"/>
  <c r="I18" i="25"/>
  <c r="J18" i="25"/>
  <c r="K18" i="25"/>
  <c r="L18" i="25"/>
  <c r="M18" i="25"/>
  <c r="N18" i="25"/>
  <c r="O18" i="25"/>
  <c r="P18" i="25"/>
  <c r="Q18" i="25"/>
  <c r="R18" i="25"/>
  <c r="S18" i="25"/>
  <c r="T18" i="25"/>
  <c r="U18" i="25"/>
  <c r="V18" i="25"/>
  <c r="W18" i="25"/>
  <c r="X18" i="25"/>
  <c r="Y18" i="25"/>
  <c r="Z18" i="25"/>
  <c r="AA18" i="25"/>
  <c r="AB18" i="25"/>
  <c r="AC18" i="25"/>
  <c r="AD18" i="25"/>
  <c r="AE18" i="25"/>
  <c r="AF18" i="25"/>
  <c r="AG18" i="25"/>
  <c r="AH18" i="25"/>
  <c r="AI18" i="25"/>
  <c r="AJ18" i="25"/>
  <c r="AK18" i="25"/>
  <c r="AL18" i="25"/>
  <c r="AM18" i="25"/>
  <c r="AN18" i="25"/>
  <c r="AO18" i="25"/>
  <c r="AP18" i="25"/>
  <c r="AQ18" i="25"/>
  <c r="AR18" i="25"/>
  <c r="AS18" i="25"/>
  <c r="AT18" i="25"/>
  <c r="AU18" i="25"/>
  <c r="AV18" i="25"/>
  <c r="AW18" i="25"/>
  <c r="AX18" i="25"/>
  <c r="AY18" i="25"/>
  <c r="AZ18" i="25"/>
  <c r="BA18" i="25"/>
  <c r="BB18" i="25"/>
  <c r="BC18" i="25"/>
  <c r="BD18" i="25"/>
  <c r="BE18" i="25"/>
  <c r="BF18" i="25"/>
  <c r="BG18" i="25"/>
  <c r="BH18" i="25"/>
  <c r="BI18" i="25"/>
  <c r="BJ18" i="25"/>
  <c r="BK18" i="25"/>
  <c r="BL18" i="25"/>
  <c r="BM18" i="25"/>
  <c r="BN18" i="25"/>
  <c r="BO18" i="25"/>
  <c r="BP18" i="25"/>
  <c r="BQ18" i="25"/>
  <c r="BR18" i="25"/>
  <c r="BS18" i="25"/>
  <c r="BT18" i="25"/>
  <c r="BU18" i="25"/>
  <c r="BV18" i="25"/>
  <c r="BW18" i="25"/>
  <c r="BX18" i="25"/>
  <c r="BY18" i="25"/>
  <c r="BZ18" i="25"/>
  <c r="CA18" i="25"/>
  <c r="CB18" i="25"/>
  <c r="CC18" i="25"/>
  <c r="CD18" i="25"/>
  <c r="CE18" i="25"/>
  <c r="CF18" i="25"/>
  <c r="CG18" i="25"/>
  <c r="CH18" i="25"/>
  <c r="E19" i="25"/>
  <c r="F19" i="25"/>
  <c r="G19" i="25"/>
  <c r="H19" i="25"/>
  <c r="I19" i="25"/>
  <c r="J19" i="25"/>
  <c r="K19" i="25"/>
  <c r="L19" i="25"/>
  <c r="M19" i="25"/>
  <c r="N19" i="25"/>
  <c r="O19" i="25"/>
  <c r="P19" i="25"/>
  <c r="Q19" i="25"/>
  <c r="R19" i="25"/>
  <c r="S19" i="25"/>
  <c r="T19" i="25"/>
  <c r="U19" i="25"/>
  <c r="V19" i="25"/>
  <c r="W19" i="25"/>
  <c r="X19" i="25"/>
  <c r="Y19" i="25"/>
  <c r="Z19" i="25"/>
  <c r="AA19" i="25"/>
  <c r="AB19" i="25"/>
  <c r="AC19" i="25"/>
  <c r="AD19" i="25"/>
  <c r="AE19" i="25"/>
  <c r="AF19" i="25"/>
  <c r="AG19" i="25"/>
  <c r="AH19" i="25"/>
  <c r="AI19" i="25"/>
  <c r="AJ19" i="25"/>
  <c r="AK19" i="25"/>
  <c r="AL19" i="25"/>
  <c r="AM19" i="25"/>
  <c r="AN19" i="25"/>
  <c r="AO19" i="25"/>
  <c r="AP19" i="25"/>
  <c r="AQ19" i="25"/>
  <c r="AR19" i="25"/>
  <c r="AS19" i="25"/>
  <c r="AT19" i="25"/>
  <c r="AU19" i="25"/>
  <c r="AV19" i="25"/>
  <c r="AW19" i="25"/>
  <c r="AX19" i="25"/>
  <c r="AY19" i="25"/>
  <c r="AZ19" i="25"/>
  <c r="BA19" i="25"/>
  <c r="BB19" i="25"/>
  <c r="BC19" i="25"/>
  <c r="BD19" i="25"/>
  <c r="BE19" i="25"/>
  <c r="BF19" i="25"/>
  <c r="BG19" i="25"/>
  <c r="BH19" i="25"/>
  <c r="BI19" i="25"/>
  <c r="BJ19" i="25"/>
  <c r="BK19" i="25"/>
  <c r="BL19" i="25"/>
  <c r="BM19" i="25"/>
  <c r="BN19" i="25"/>
  <c r="BO19" i="25"/>
  <c r="BP19" i="25"/>
  <c r="BQ19" i="25"/>
  <c r="BR19" i="25"/>
  <c r="BS19" i="25"/>
  <c r="BT19" i="25"/>
  <c r="BU19" i="25"/>
  <c r="BV19" i="25"/>
  <c r="BW19" i="25"/>
  <c r="BX19" i="25"/>
  <c r="BY19" i="25"/>
  <c r="BZ19" i="25"/>
  <c r="CA19" i="25"/>
  <c r="CB19" i="25"/>
  <c r="CC19" i="25"/>
  <c r="CD19" i="25"/>
  <c r="CE19" i="25"/>
  <c r="CF19" i="25"/>
  <c r="CG19" i="25"/>
  <c r="CH19" i="25"/>
  <c r="E20" i="25"/>
  <c r="F20" i="25"/>
  <c r="G20" i="25"/>
  <c r="H20" i="25"/>
  <c r="I20" i="25"/>
  <c r="J20" i="25"/>
  <c r="K20" i="25"/>
  <c r="L20" i="25"/>
  <c r="M20" i="25"/>
  <c r="N20" i="25"/>
  <c r="O20" i="25"/>
  <c r="P20" i="25"/>
  <c r="Q20" i="25"/>
  <c r="R20" i="25"/>
  <c r="S20" i="25"/>
  <c r="T20" i="25"/>
  <c r="U20" i="25"/>
  <c r="V20" i="25"/>
  <c r="W20" i="25"/>
  <c r="X20" i="25"/>
  <c r="Y20" i="25"/>
  <c r="Z20" i="25"/>
  <c r="AA20" i="25"/>
  <c r="AB20" i="25"/>
  <c r="AC20" i="25"/>
  <c r="AD20" i="25"/>
  <c r="AE20" i="25"/>
  <c r="AF20" i="25"/>
  <c r="AG20" i="25"/>
  <c r="AH20" i="25"/>
  <c r="AI20" i="25"/>
  <c r="AJ20" i="25"/>
  <c r="AK20" i="25"/>
  <c r="AL20" i="25"/>
  <c r="AM20" i="25"/>
  <c r="AN20" i="25"/>
  <c r="AO20" i="25"/>
  <c r="AP20" i="25"/>
  <c r="AQ20" i="25"/>
  <c r="AR20" i="25"/>
  <c r="AS20" i="25"/>
  <c r="AT20" i="25"/>
  <c r="AU20" i="25"/>
  <c r="AV20" i="25"/>
  <c r="AW20" i="25"/>
  <c r="AX20" i="25"/>
  <c r="AY20" i="25"/>
  <c r="AZ20" i="25"/>
  <c r="BA20" i="25"/>
  <c r="BB20" i="25"/>
  <c r="BC20" i="25"/>
  <c r="BD20" i="25"/>
  <c r="BE20" i="25"/>
  <c r="BF20" i="25"/>
  <c r="BG20" i="25"/>
  <c r="BH20" i="25"/>
  <c r="BI20" i="25"/>
  <c r="BJ20" i="25"/>
  <c r="BK20" i="25"/>
  <c r="BL20" i="25"/>
  <c r="BM20" i="25"/>
  <c r="BN20" i="25"/>
  <c r="BO20" i="25"/>
  <c r="BP20" i="25"/>
  <c r="BQ20" i="25"/>
  <c r="BR20" i="25"/>
  <c r="BS20" i="25"/>
  <c r="BT20" i="25"/>
  <c r="BU20" i="25"/>
  <c r="BV20" i="25"/>
  <c r="BW20" i="25"/>
  <c r="BX20" i="25"/>
  <c r="BY20" i="25"/>
  <c r="BZ20" i="25"/>
  <c r="CA20" i="25"/>
  <c r="CB20" i="25"/>
  <c r="CC20" i="25"/>
  <c r="CD20" i="25"/>
  <c r="CE20" i="25"/>
  <c r="CF20" i="25"/>
  <c r="CG20" i="25"/>
  <c r="CH20" i="25"/>
  <c r="E21" i="25"/>
  <c r="F21" i="25"/>
  <c r="G21" i="25"/>
  <c r="H21" i="25"/>
  <c r="I21" i="25"/>
  <c r="J21" i="25"/>
  <c r="K21" i="25"/>
  <c r="L21" i="25"/>
  <c r="M21" i="25"/>
  <c r="N21" i="25"/>
  <c r="O21" i="25"/>
  <c r="P21" i="25"/>
  <c r="Q21" i="25"/>
  <c r="R21" i="25"/>
  <c r="S21" i="25"/>
  <c r="T21" i="25"/>
  <c r="U21" i="25"/>
  <c r="V21" i="25"/>
  <c r="W21" i="25"/>
  <c r="X21" i="25"/>
  <c r="Y21" i="25"/>
  <c r="Z21" i="25"/>
  <c r="AA21" i="25"/>
  <c r="AB21" i="25"/>
  <c r="AC21" i="25"/>
  <c r="AD21" i="25"/>
  <c r="AE21" i="25"/>
  <c r="AF21" i="25"/>
  <c r="AG21" i="25"/>
  <c r="AH21" i="25"/>
  <c r="AI21" i="25"/>
  <c r="AJ21" i="25"/>
  <c r="AK21" i="25"/>
  <c r="AL21" i="25"/>
  <c r="AM21" i="25"/>
  <c r="AN21" i="25"/>
  <c r="AO21" i="25"/>
  <c r="AP21" i="25"/>
  <c r="AQ21" i="25"/>
  <c r="AR21" i="25"/>
  <c r="AS21" i="25"/>
  <c r="AT21" i="25"/>
  <c r="AU21" i="25"/>
  <c r="AV21" i="25"/>
  <c r="AW21" i="25"/>
  <c r="AX21" i="25"/>
  <c r="AY21" i="25"/>
  <c r="AZ21" i="25"/>
  <c r="BA21" i="25"/>
  <c r="BB21" i="25"/>
  <c r="BC21" i="25"/>
  <c r="BD21" i="25"/>
  <c r="BE21" i="25"/>
  <c r="BF21" i="25"/>
  <c r="BG21" i="25"/>
  <c r="BH21" i="25"/>
  <c r="BI21" i="25"/>
  <c r="BJ21" i="25"/>
  <c r="BK21" i="25"/>
  <c r="BL21" i="25"/>
  <c r="BM21" i="25"/>
  <c r="BN21" i="25"/>
  <c r="BO21" i="25"/>
  <c r="BP21" i="25"/>
  <c r="BQ21" i="25"/>
  <c r="BR21" i="25"/>
  <c r="BS21" i="25"/>
  <c r="BT21" i="25"/>
  <c r="BU21" i="25"/>
  <c r="BV21" i="25"/>
  <c r="BW21" i="25"/>
  <c r="BX21" i="25"/>
  <c r="BY21" i="25"/>
  <c r="BZ21" i="25"/>
  <c r="CA21" i="25"/>
  <c r="CB21" i="25"/>
  <c r="CC21" i="25"/>
  <c r="CD21" i="25"/>
  <c r="CE21" i="25"/>
  <c r="CF21" i="25"/>
  <c r="CG21" i="25"/>
  <c r="CH21" i="25"/>
  <c r="E22" i="25"/>
  <c r="F22" i="25"/>
  <c r="G22" i="25"/>
  <c r="H22" i="25"/>
  <c r="I22" i="25"/>
  <c r="J22" i="25"/>
  <c r="K22" i="25"/>
  <c r="L22" i="25"/>
  <c r="M22" i="25"/>
  <c r="N22" i="25"/>
  <c r="O22" i="25"/>
  <c r="P22" i="25"/>
  <c r="Q22" i="25"/>
  <c r="R22" i="25"/>
  <c r="S22" i="25"/>
  <c r="T22" i="25"/>
  <c r="U22" i="25"/>
  <c r="V22" i="25"/>
  <c r="W22" i="25"/>
  <c r="X22" i="25"/>
  <c r="Y22" i="25"/>
  <c r="Z22" i="25"/>
  <c r="AA22" i="25"/>
  <c r="AB22" i="25"/>
  <c r="AC22" i="25"/>
  <c r="AD22" i="25"/>
  <c r="AE22" i="25"/>
  <c r="AF22" i="25"/>
  <c r="AG22" i="25"/>
  <c r="AH22" i="25"/>
  <c r="AI22" i="25"/>
  <c r="AJ22" i="25"/>
  <c r="AK22" i="25"/>
  <c r="AL22" i="25"/>
  <c r="AM22" i="25"/>
  <c r="AN22" i="25"/>
  <c r="AO22" i="25"/>
  <c r="AP22" i="25"/>
  <c r="AQ22" i="25"/>
  <c r="AR22" i="25"/>
  <c r="AS22" i="25"/>
  <c r="AT22" i="25"/>
  <c r="AU22" i="25"/>
  <c r="AV22" i="25"/>
  <c r="AW22" i="25"/>
  <c r="AX22" i="25"/>
  <c r="AY22" i="25"/>
  <c r="AZ22" i="25"/>
  <c r="BA22" i="25"/>
  <c r="BB22" i="25"/>
  <c r="BC22" i="25"/>
  <c r="BD22" i="25"/>
  <c r="BE22" i="25"/>
  <c r="BF22" i="25"/>
  <c r="BG22" i="25"/>
  <c r="BH22" i="25"/>
  <c r="BI22" i="25"/>
  <c r="BJ22" i="25"/>
  <c r="BK22" i="25"/>
  <c r="BL22" i="25"/>
  <c r="BM22" i="25"/>
  <c r="BN22" i="25"/>
  <c r="BO22" i="25"/>
  <c r="BP22" i="25"/>
  <c r="BQ22" i="25"/>
  <c r="BR22" i="25"/>
  <c r="BS22" i="25"/>
  <c r="BT22" i="25"/>
  <c r="BU22" i="25"/>
  <c r="BV22" i="25"/>
  <c r="BW22" i="25"/>
  <c r="BX22" i="25"/>
  <c r="BY22" i="25"/>
  <c r="BZ22" i="25"/>
  <c r="CA22" i="25"/>
  <c r="CB22" i="25"/>
  <c r="CC22" i="25"/>
  <c r="CD22" i="25"/>
  <c r="CE22" i="25"/>
  <c r="CF22" i="25"/>
  <c r="CG22" i="25"/>
  <c r="CH22" i="25"/>
  <c r="E23" i="25"/>
  <c r="F23" i="25"/>
  <c r="G23" i="25"/>
  <c r="H23" i="25"/>
  <c r="I23" i="25"/>
  <c r="J23" i="25"/>
  <c r="K23" i="25"/>
  <c r="L23" i="25"/>
  <c r="M23" i="25"/>
  <c r="N23" i="25"/>
  <c r="O23" i="25"/>
  <c r="P23" i="25"/>
  <c r="Q23" i="25"/>
  <c r="R23" i="25"/>
  <c r="S23" i="25"/>
  <c r="T23" i="25"/>
  <c r="U23" i="25"/>
  <c r="V23" i="25"/>
  <c r="W23" i="25"/>
  <c r="X23" i="25"/>
  <c r="Y23" i="25"/>
  <c r="Z23" i="25"/>
  <c r="AA23" i="25"/>
  <c r="AB23" i="25"/>
  <c r="AC23" i="25"/>
  <c r="AD23" i="25"/>
  <c r="AE23" i="25"/>
  <c r="AF23" i="25"/>
  <c r="AG23" i="25"/>
  <c r="AH23" i="25"/>
  <c r="AI23" i="25"/>
  <c r="AJ23" i="25"/>
  <c r="AK23" i="25"/>
  <c r="AL23" i="25"/>
  <c r="AM23" i="25"/>
  <c r="AN23" i="25"/>
  <c r="AO23" i="25"/>
  <c r="AP23" i="25"/>
  <c r="AQ23" i="25"/>
  <c r="AR23" i="25"/>
  <c r="AS23" i="25"/>
  <c r="AT23" i="25"/>
  <c r="AU23" i="25"/>
  <c r="AV23" i="25"/>
  <c r="AW23" i="25"/>
  <c r="AX23" i="25"/>
  <c r="AY23" i="25"/>
  <c r="AZ23" i="25"/>
  <c r="BA23" i="25"/>
  <c r="BB23" i="25"/>
  <c r="BC23" i="25"/>
  <c r="BD23" i="25"/>
  <c r="BE23" i="25"/>
  <c r="BF23" i="25"/>
  <c r="BG23" i="25"/>
  <c r="BH23" i="25"/>
  <c r="BI23" i="25"/>
  <c r="BJ23" i="25"/>
  <c r="BK23" i="25"/>
  <c r="BL23" i="25"/>
  <c r="BM23" i="25"/>
  <c r="BN23" i="25"/>
  <c r="BO23" i="25"/>
  <c r="BP23" i="25"/>
  <c r="BQ23" i="25"/>
  <c r="BR23" i="25"/>
  <c r="BS23" i="25"/>
  <c r="BT23" i="25"/>
  <c r="BU23" i="25"/>
  <c r="BV23" i="25"/>
  <c r="BW23" i="25"/>
  <c r="BX23" i="25"/>
  <c r="BY23" i="25"/>
  <c r="BZ23" i="25"/>
  <c r="CA23" i="25"/>
  <c r="CB23" i="25"/>
  <c r="CC23" i="25"/>
  <c r="CD23" i="25"/>
  <c r="CE23" i="25"/>
  <c r="CF23" i="25"/>
  <c r="CG23" i="25"/>
  <c r="CH23" i="25"/>
  <c r="E24" i="25"/>
  <c r="F24" i="25"/>
  <c r="G24" i="25"/>
  <c r="H24" i="25"/>
  <c r="I24" i="25"/>
  <c r="J24" i="25"/>
  <c r="K24" i="25"/>
  <c r="L24" i="25"/>
  <c r="M24" i="25"/>
  <c r="N24" i="25"/>
  <c r="O24" i="25"/>
  <c r="P24" i="25"/>
  <c r="Q24" i="25"/>
  <c r="R24" i="25"/>
  <c r="S24" i="25"/>
  <c r="T24" i="25"/>
  <c r="U24" i="25"/>
  <c r="V24" i="25"/>
  <c r="W24" i="25"/>
  <c r="X24" i="25"/>
  <c r="Y24" i="25"/>
  <c r="Z24" i="25"/>
  <c r="AA24" i="25"/>
  <c r="AB24" i="25"/>
  <c r="AC24" i="25"/>
  <c r="AD24" i="25"/>
  <c r="AE24" i="25"/>
  <c r="AF24" i="25"/>
  <c r="AG24" i="25"/>
  <c r="AH24" i="25"/>
  <c r="AI24" i="25"/>
  <c r="AJ24" i="25"/>
  <c r="AK24" i="25"/>
  <c r="AL24" i="25"/>
  <c r="AM24" i="25"/>
  <c r="AN24" i="25"/>
  <c r="AO24" i="25"/>
  <c r="AP24" i="25"/>
  <c r="AQ24" i="25"/>
  <c r="AR24" i="25"/>
  <c r="AS24" i="25"/>
  <c r="AT24" i="25"/>
  <c r="AU24" i="25"/>
  <c r="AV24" i="25"/>
  <c r="AW24" i="25"/>
  <c r="AX24" i="25"/>
  <c r="AY24" i="25"/>
  <c r="AZ24" i="25"/>
  <c r="BA24" i="25"/>
  <c r="BB24" i="25"/>
  <c r="BC24" i="25"/>
  <c r="BD24" i="25"/>
  <c r="BE24" i="25"/>
  <c r="BF24" i="25"/>
  <c r="BG24" i="25"/>
  <c r="BH24" i="25"/>
  <c r="BI24" i="25"/>
  <c r="BJ24" i="25"/>
  <c r="BK24" i="25"/>
  <c r="BL24" i="25"/>
  <c r="BM24" i="25"/>
  <c r="BN24" i="25"/>
  <c r="BO24" i="25"/>
  <c r="BP24" i="25"/>
  <c r="BQ24" i="25"/>
  <c r="BR24" i="25"/>
  <c r="BS24" i="25"/>
  <c r="BT24" i="25"/>
  <c r="BU24" i="25"/>
  <c r="BV24" i="25"/>
  <c r="BW24" i="25"/>
  <c r="BX24" i="25"/>
  <c r="BY24" i="25"/>
  <c r="BZ24" i="25"/>
  <c r="CA24" i="25"/>
  <c r="CB24" i="25"/>
  <c r="CC24" i="25"/>
  <c r="CD24" i="25"/>
  <c r="CE24" i="25"/>
  <c r="CF24" i="25"/>
  <c r="CG24" i="25"/>
  <c r="CH24" i="25"/>
  <c r="E25" i="25"/>
  <c r="F25" i="25"/>
  <c r="G25" i="25"/>
  <c r="H25" i="25"/>
  <c r="I25" i="25"/>
  <c r="J25" i="25"/>
  <c r="K25" i="25"/>
  <c r="L25" i="25"/>
  <c r="M25" i="25"/>
  <c r="N25" i="25"/>
  <c r="O25" i="25"/>
  <c r="P25" i="25"/>
  <c r="Q25" i="25"/>
  <c r="R25" i="25"/>
  <c r="S25" i="25"/>
  <c r="T25" i="25"/>
  <c r="U25" i="25"/>
  <c r="V25" i="25"/>
  <c r="W25" i="25"/>
  <c r="X25" i="25"/>
  <c r="Y25" i="25"/>
  <c r="Z25" i="25"/>
  <c r="AA25" i="25"/>
  <c r="AB25" i="25"/>
  <c r="AC25" i="25"/>
  <c r="AD25" i="25"/>
  <c r="AE25" i="25"/>
  <c r="AF25" i="25"/>
  <c r="AG25" i="25"/>
  <c r="AH25" i="25"/>
  <c r="AI25" i="25"/>
  <c r="AJ25" i="25"/>
  <c r="AK25" i="25"/>
  <c r="AL25" i="25"/>
  <c r="AM25" i="25"/>
  <c r="AN25" i="25"/>
  <c r="AO25" i="25"/>
  <c r="AP25" i="25"/>
  <c r="AQ25" i="25"/>
  <c r="AR25" i="25"/>
  <c r="AS25" i="25"/>
  <c r="AT25" i="25"/>
  <c r="AU25" i="25"/>
  <c r="AV25" i="25"/>
  <c r="AW25" i="25"/>
  <c r="AX25" i="25"/>
  <c r="AY25" i="25"/>
  <c r="AZ25" i="25"/>
  <c r="BA25" i="25"/>
  <c r="BB25" i="25"/>
  <c r="BC25" i="25"/>
  <c r="BD25" i="25"/>
  <c r="BE25" i="25"/>
  <c r="BF25" i="25"/>
  <c r="BG25" i="25"/>
  <c r="BH25" i="25"/>
  <c r="BI25" i="25"/>
  <c r="BJ25" i="25"/>
  <c r="BK25" i="25"/>
  <c r="BL25" i="25"/>
  <c r="BM25" i="25"/>
  <c r="BN25" i="25"/>
  <c r="BO25" i="25"/>
  <c r="BP25" i="25"/>
  <c r="BQ25" i="25"/>
  <c r="BR25" i="25"/>
  <c r="BS25" i="25"/>
  <c r="BT25" i="25"/>
  <c r="BU25" i="25"/>
  <c r="BV25" i="25"/>
  <c r="BW25" i="25"/>
  <c r="BX25" i="25"/>
  <c r="BY25" i="25"/>
  <c r="BZ25" i="25"/>
  <c r="CA25" i="25"/>
  <c r="CB25" i="25"/>
  <c r="CC25" i="25"/>
  <c r="CD25" i="25"/>
  <c r="CE25" i="25"/>
  <c r="CF25" i="25"/>
  <c r="CG25" i="25"/>
  <c r="CH25" i="25"/>
  <c r="E26" i="25"/>
  <c r="F26" i="25"/>
  <c r="G26" i="25"/>
  <c r="H26" i="25"/>
  <c r="I26" i="25"/>
  <c r="J26" i="25"/>
  <c r="K26" i="25"/>
  <c r="L26" i="25"/>
  <c r="M26" i="25"/>
  <c r="N26" i="25"/>
  <c r="O26" i="25"/>
  <c r="P26" i="25"/>
  <c r="Q26" i="25"/>
  <c r="R26" i="25"/>
  <c r="S26" i="25"/>
  <c r="T26" i="25"/>
  <c r="U26" i="25"/>
  <c r="V26" i="25"/>
  <c r="W26" i="25"/>
  <c r="X26" i="25"/>
  <c r="Y26" i="25"/>
  <c r="Z26" i="25"/>
  <c r="AA26" i="25"/>
  <c r="AB26" i="25"/>
  <c r="AC26" i="25"/>
  <c r="AD26" i="25"/>
  <c r="AE26" i="25"/>
  <c r="AF26" i="25"/>
  <c r="AG26" i="25"/>
  <c r="AH26" i="25"/>
  <c r="AI26" i="25"/>
  <c r="AJ26" i="25"/>
  <c r="AK26" i="25"/>
  <c r="AL26" i="25"/>
  <c r="AM26" i="25"/>
  <c r="AN26" i="25"/>
  <c r="AO26" i="25"/>
  <c r="AP26" i="25"/>
  <c r="AQ26" i="25"/>
  <c r="AR26" i="25"/>
  <c r="AS26" i="25"/>
  <c r="AT26" i="25"/>
  <c r="AU26" i="25"/>
  <c r="AV26" i="25"/>
  <c r="AW26" i="25"/>
  <c r="AX26" i="25"/>
  <c r="AY26" i="25"/>
  <c r="AZ26" i="25"/>
  <c r="BA26" i="25"/>
  <c r="BB26" i="25"/>
  <c r="BC26" i="25"/>
  <c r="BD26" i="25"/>
  <c r="BE26" i="25"/>
  <c r="BF26" i="25"/>
  <c r="BG26" i="25"/>
  <c r="BH26" i="25"/>
  <c r="BI26" i="25"/>
  <c r="BJ26" i="25"/>
  <c r="BK26" i="25"/>
  <c r="BL26" i="25"/>
  <c r="BM26" i="25"/>
  <c r="BN26" i="25"/>
  <c r="BO26" i="25"/>
  <c r="BP26" i="25"/>
  <c r="BQ26" i="25"/>
  <c r="BR26" i="25"/>
  <c r="BS26" i="25"/>
  <c r="BT26" i="25"/>
  <c r="BU26" i="25"/>
  <c r="BV26" i="25"/>
  <c r="BW26" i="25"/>
  <c r="BX26" i="25"/>
  <c r="BY26" i="25"/>
  <c r="BZ26" i="25"/>
  <c r="CA26" i="25"/>
  <c r="CB26" i="25"/>
  <c r="CC26" i="25"/>
  <c r="CD26" i="25"/>
  <c r="CE26" i="25"/>
  <c r="CF26" i="25"/>
  <c r="CG26" i="25"/>
  <c r="CH26" i="25"/>
  <c r="E27" i="25"/>
  <c r="F27" i="25"/>
  <c r="G27" i="25"/>
  <c r="H27" i="25"/>
  <c r="I27" i="25"/>
  <c r="J27" i="25"/>
  <c r="K27" i="25"/>
  <c r="L27" i="25"/>
  <c r="M27" i="25"/>
  <c r="N27" i="25"/>
  <c r="O27" i="25"/>
  <c r="P27" i="25"/>
  <c r="Q27" i="25"/>
  <c r="R27" i="25"/>
  <c r="S27" i="25"/>
  <c r="T27" i="25"/>
  <c r="U27" i="25"/>
  <c r="V27" i="25"/>
  <c r="W27" i="25"/>
  <c r="X27" i="25"/>
  <c r="Y27" i="25"/>
  <c r="Z27" i="25"/>
  <c r="AA27" i="25"/>
  <c r="AB27" i="25"/>
  <c r="AC27" i="25"/>
  <c r="AD27" i="25"/>
  <c r="AE27" i="25"/>
  <c r="AF27" i="25"/>
  <c r="AG27" i="25"/>
  <c r="AH27" i="25"/>
  <c r="AI27" i="25"/>
  <c r="AJ27" i="25"/>
  <c r="AK27" i="25"/>
  <c r="AL27" i="25"/>
  <c r="AM27" i="25"/>
  <c r="AN27" i="25"/>
  <c r="AO27" i="25"/>
  <c r="AP27" i="25"/>
  <c r="AQ27" i="25"/>
  <c r="AR27" i="25"/>
  <c r="AS27" i="25"/>
  <c r="AT27" i="25"/>
  <c r="AU27" i="25"/>
  <c r="AV27" i="25"/>
  <c r="AW27" i="25"/>
  <c r="AX27" i="25"/>
  <c r="AY27" i="25"/>
  <c r="AZ27" i="25"/>
  <c r="BA27" i="25"/>
  <c r="BB27" i="25"/>
  <c r="BC27" i="25"/>
  <c r="BD27" i="25"/>
  <c r="BE27" i="25"/>
  <c r="BF27" i="25"/>
  <c r="BG27" i="25"/>
  <c r="BH27" i="25"/>
  <c r="BI27" i="25"/>
  <c r="BJ27" i="25"/>
  <c r="BK27" i="25"/>
  <c r="BL27" i="25"/>
  <c r="BM27" i="25"/>
  <c r="BN27" i="25"/>
  <c r="BO27" i="25"/>
  <c r="BP27" i="25"/>
  <c r="BQ27" i="25"/>
  <c r="BR27" i="25"/>
  <c r="BS27" i="25"/>
  <c r="BT27" i="25"/>
  <c r="BU27" i="25"/>
  <c r="BV27" i="25"/>
  <c r="BW27" i="25"/>
  <c r="BX27" i="25"/>
  <c r="BY27" i="25"/>
  <c r="BZ27" i="25"/>
  <c r="CA27" i="25"/>
  <c r="CB27" i="25"/>
  <c r="CC27" i="25"/>
  <c r="CD27" i="25"/>
  <c r="CE27" i="25"/>
  <c r="CF27" i="25"/>
  <c r="CG27" i="25"/>
  <c r="CH27" i="25"/>
  <c r="E28" i="25"/>
  <c r="F28" i="25"/>
  <c r="G28" i="25"/>
  <c r="H28" i="25"/>
  <c r="I28" i="25"/>
  <c r="J28" i="25"/>
  <c r="K28" i="25"/>
  <c r="L28" i="25"/>
  <c r="M28" i="25"/>
  <c r="N28" i="25"/>
  <c r="O28" i="25"/>
  <c r="P28" i="25"/>
  <c r="Q28" i="25"/>
  <c r="R28" i="25"/>
  <c r="S28" i="25"/>
  <c r="T28" i="25"/>
  <c r="U28" i="25"/>
  <c r="V28" i="25"/>
  <c r="W28" i="25"/>
  <c r="X28" i="25"/>
  <c r="Y28" i="25"/>
  <c r="Z28" i="25"/>
  <c r="AA28" i="25"/>
  <c r="AB28" i="25"/>
  <c r="AC28" i="25"/>
  <c r="AD28" i="25"/>
  <c r="AE28" i="25"/>
  <c r="AF28" i="25"/>
  <c r="AG28" i="25"/>
  <c r="AH28" i="25"/>
  <c r="AI28" i="25"/>
  <c r="AJ28" i="25"/>
  <c r="AK28" i="25"/>
  <c r="AL28" i="25"/>
  <c r="AM28" i="25"/>
  <c r="AN28" i="25"/>
  <c r="AO28" i="25"/>
  <c r="AP28" i="25"/>
  <c r="AQ28" i="25"/>
  <c r="AR28" i="25"/>
  <c r="AS28" i="25"/>
  <c r="AT28" i="25"/>
  <c r="AU28" i="25"/>
  <c r="AV28" i="25"/>
  <c r="AW28" i="25"/>
  <c r="AX28" i="25"/>
  <c r="AY28" i="25"/>
  <c r="AZ28" i="25"/>
  <c r="BA28" i="25"/>
  <c r="BB28" i="25"/>
  <c r="BC28" i="25"/>
  <c r="BD28" i="25"/>
  <c r="BE28" i="25"/>
  <c r="BF28" i="25"/>
  <c r="BG28" i="25"/>
  <c r="BH28" i="25"/>
  <c r="BI28" i="25"/>
  <c r="BJ28" i="25"/>
  <c r="BK28" i="25"/>
  <c r="BL28" i="25"/>
  <c r="BM28" i="25"/>
  <c r="BN28" i="25"/>
  <c r="BO28" i="25"/>
  <c r="BP28" i="25"/>
  <c r="BQ28" i="25"/>
  <c r="BR28" i="25"/>
  <c r="BS28" i="25"/>
  <c r="BT28" i="25"/>
  <c r="BU28" i="25"/>
  <c r="BV28" i="25"/>
  <c r="BW28" i="25"/>
  <c r="BX28" i="25"/>
  <c r="BY28" i="25"/>
  <c r="BZ28" i="25"/>
  <c r="CA28" i="25"/>
  <c r="CB28" i="25"/>
  <c r="CC28" i="25"/>
  <c r="CD28" i="25"/>
  <c r="CE28" i="25"/>
  <c r="CF28" i="25"/>
  <c r="CG28" i="25"/>
  <c r="CH28" i="25"/>
  <c r="E29" i="25"/>
  <c r="F29" i="25"/>
  <c r="G29" i="25"/>
  <c r="H29" i="25"/>
  <c r="I29" i="25"/>
  <c r="J29" i="25"/>
  <c r="K29" i="25"/>
  <c r="L29" i="25"/>
  <c r="M29" i="25"/>
  <c r="N29" i="25"/>
  <c r="O29" i="25"/>
  <c r="P29" i="25"/>
  <c r="Q29" i="25"/>
  <c r="R29" i="25"/>
  <c r="S29" i="25"/>
  <c r="T29" i="25"/>
  <c r="U29" i="25"/>
  <c r="V29" i="25"/>
  <c r="W29" i="25"/>
  <c r="X29" i="25"/>
  <c r="Y29" i="25"/>
  <c r="Z29" i="25"/>
  <c r="AA29" i="25"/>
  <c r="AB29" i="25"/>
  <c r="AC29" i="25"/>
  <c r="AD29" i="25"/>
  <c r="AE29" i="25"/>
  <c r="AF29" i="25"/>
  <c r="AG29" i="25"/>
  <c r="AH29" i="25"/>
  <c r="AI29" i="25"/>
  <c r="AJ29" i="25"/>
  <c r="AK29" i="25"/>
  <c r="AL29" i="25"/>
  <c r="AM29" i="25"/>
  <c r="AN29" i="25"/>
  <c r="AO29" i="25"/>
  <c r="AP29" i="25"/>
  <c r="AQ29" i="25"/>
  <c r="AR29" i="25"/>
  <c r="AS29" i="25"/>
  <c r="AT29" i="25"/>
  <c r="AU29" i="25"/>
  <c r="AV29" i="25"/>
  <c r="AW29" i="25"/>
  <c r="AX29" i="25"/>
  <c r="AY29" i="25"/>
  <c r="AZ29" i="25"/>
  <c r="BA29" i="25"/>
  <c r="BB29" i="25"/>
  <c r="BC29" i="25"/>
  <c r="BD29" i="25"/>
  <c r="BE29" i="25"/>
  <c r="BF29" i="25"/>
  <c r="BG29" i="25"/>
  <c r="BH29" i="25"/>
  <c r="BI29" i="25"/>
  <c r="BJ29" i="25"/>
  <c r="BK29" i="25"/>
  <c r="BL29" i="25"/>
  <c r="BM29" i="25"/>
  <c r="BN29" i="25"/>
  <c r="BO29" i="25"/>
  <c r="BP29" i="25"/>
  <c r="BQ29" i="25"/>
  <c r="BR29" i="25"/>
  <c r="BS29" i="25"/>
  <c r="BT29" i="25"/>
  <c r="BU29" i="25"/>
  <c r="BV29" i="25"/>
  <c r="BW29" i="25"/>
  <c r="BX29" i="25"/>
  <c r="BY29" i="25"/>
  <c r="BZ29" i="25"/>
  <c r="CA29" i="25"/>
  <c r="CB29" i="25"/>
  <c r="CC29" i="25"/>
  <c r="CD29" i="25"/>
  <c r="CE29" i="25"/>
  <c r="CF29" i="25"/>
  <c r="CG29" i="25"/>
  <c r="CH29" i="25"/>
  <c r="E30" i="25"/>
  <c r="F30" i="25"/>
  <c r="G30" i="25"/>
  <c r="H30" i="25"/>
  <c r="I30" i="25"/>
  <c r="J30" i="25"/>
  <c r="K30" i="25"/>
  <c r="L30" i="25"/>
  <c r="M30" i="25"/>
  <c r="N30" i="25"/>
  <c r="O30" i="25"/>
  <c r="P30" i="25"/>
  <c r="Q30" i="25"/>
  <c r="R30" i="25"/>
  <c r="S30" i="25"/>
  <c r="T30" i="25"/>
  <c r="U30" i="25"/>
  <c r="V30" i="25"/>
  <c r="W30" i="25"/>
  <c r="X30" i="25"/>
  <c r="Y30" i="25"/>
  <c r="Z30" i="25"/>
  <c r="AA30" i="25"/>
  <c r="AB30" i="25"/>
  <c r="AC30" i="25"/>
  <c r="AD30" i="25"/>
  <c r="AE30" i="25"/>
  <c r="AF30" i="25"/>
  <c r="AG30" i="25"/>
  <c r="AH30" i="25"/>
  <c r="AI30" i="25"/>
  <c r="AJ30" i="25"/>
  <c r="AK30" i="25"/>
  <c r="AL30" i="25"/>
  <c r="AM30" i="25"/>
  <c r="AN30" i="25"/>
  <c r="AO30" i="25"/>
  <c r="AP30" i="25"/>
  <c r="AQ30" i="25"/>
  <c r="AR30" i="25"/>
  <c r="AS30" i="25"/>
  <c r="AT30" i="25"/>
  <c r="AU30" i="25"/>
  <c r="AV30" i="25"/>
  <c r="AW30" i="25"/>
  <c r="AX30" i="25"/>
  <c r="AY30" i="25"/>
  <c r="AZ30" i="25"/>
  <c r="BA30" i="25"/>
  <c r="BB30" i="25"/>
  <c r="BC30" i="25"/>
  <c r="BD30" i="25"/>
  <c r="BE30" i="25"/>
  <c r="BF30" i="25"/>
  <c r="BG30" i="25"/>
  <c r="BH30" i="25"/>
  <c r="BI30" i="25"/>
  <c r="BJ30" i="25"/>
  <c r="BK30" i="25"/>
  <c r="BL30" i="25"/>
  <c r="BM30" i="25"/>
  <c r="BN30" i="25"/>
  <c r="BO30" i="25"/>
  <c r="BP30" i="25"/>
  <c r="BQ30" i="25"/>
  <c r="BR30" i="25"/>
  <c r="BS30" i="25"/>
  <c r="BT30" i="25"/>
  <c r="BU30" i="25"/>
  <c r="BV30" i="25"/>
  <c r="BW30" i="25"/>
  <c r="BX30" i="25"/>
  <c r="BY30" i="25"/>
  <c r="BZ30" i="25"/>
  <c r="CA30" i="25"/>
  <c r="CB30" i="25"/>
  <c r="CC30" i="25"/>
  <c r="CD30" i="25"/>
  <c r="CE30" i="25"/>
  <c r="CF30" i="25"/>
  <c r="CG30" i="25"/>
  <c r="CH30" i="25"/>
  <c r="E31" i="25"/>
  <c r="F31" i="25"/>
  <c r="G31" i="25"/>
  <c r="H31" i="25"/>
  <c r="I31" i="25"/>
  <c r="J31" i="25"/>
  <c r="K31" i="25"/>
  <c r="L31" i="25"/>
  <c r="M31" i="25"/>
  <c r="N31" i="25"/>
  <c r="O31" i="25"/>
  <c r="P31" i="25"/>
  <c r="Q31" i="25"/>
  <c r="R31" i="25"/>
  <c r="S31" i="25"/>
  <c r="T31" i="25"/>
  <c r="U31" i="25"/>
  <c r="V31" i="25"/>
  <c r="W31" i="25"/>
  <c r="X31" i="25"/>
  <c r="Y31" i="25"/>
  <c r="Z31" i="25"/>
  <c r="AA31" i="25"/>
  <c r="AB31" i="25"/>
  <c r="AC31" i="25"/>
  <c r="AD31" i="25"/>
  <c r="AE31" i="25"/>
  <c r="AF31" i="25"/>
  <c r="AG31" i="25"/>
  <c r="AH31" i="25"/>
  <c r="AI31" i="25"/>
  <c r="AJ31" i="25"/>
  <c r="AK31" i="25"/>
  <c r="AL31" i="25"/>
  <c r="AM31" i="25"/>
  <c r="AN31" i="25"/>
  <c r="AO31" i="25"/>
  <c r="AP31" i="25"/>
  <c r="AQ31" i="25"/>
  <c r="AR31" i="25"/>
  <c r="AS31" i="25"/>
  <c r="AT31" i="25"/>
  <c r="AU31" i="25"/>
  <c r="AV31" i="25"/>
  <c r="AW31" i="25"/>
  <c r="AX31" i="25"/>
  <c r="AY31" i="25"/>
  <c r="AZ31" i="25"/>
  <c r="BA31" i="25"/>
  <c r="BB31" i="25"/>
  <c r="BC31" i="25"/>
  <c r="BD31" i="25"/>
  <c r="BE31" i="25"/>
  <c r="BF31" i="25"/>
  <c r="BG31" i="25"/>
  <c r="BH31" i="25"/>
  <c r="BI31" i="25"/>
  <c r="BJ31" i="25"/>
  <c r="BK31" i="25"/>
  <c r="BL31" i="25"/>
  <c r="BM31" i="25"/>
  <c r="BN31" i="25"/>
  <c r="BO31" i="25"/>
  <c r="BP31" i="25"/>
  <c r="BQ31" i="25"/>
  <c r="BR31" i="25"/>
  <c r="BS31" i="25"/>
  <c r="BT31" i="25"/>
  <c r="BU31" i="25"/>
  <c r="BV31" i="25"/>
  <c r="BW31" i="25"/>
  <c r="BX31" i="25"/>
  <c r="BY31" i="25"/>
  <c r="BZ31" i="25"/>
  <c r="CA31" i="25"/>
  <c r="CB31" i="25"/>
  <c r="CC31" i="25"/>
  <c r="CD31" i="25"/>
  <c r="CE31" i="25"/>
  <c r="CF31" i="25"/>
  <c r="CG31" i="25"/>
  <c r="CH31" i="25"/>
  <c r="E32" i="25"/>
  <c r="F32" i="25"/>
  <c r="G32" i="25"/>
  <c r="H32" i="25"/>
  <c r="I32" i="25"/>
  <c r="J32" i="25"/>
  <c r="K32" i="25"/>
  <c r="L32" i="25"/>
  <c r="M32" i="25"/>
  <c r="N32" i="25"/>
  <c r="O32" i="25"/>
  <c r="P32" i="25"/>
  <c r="Q32" i="25"/>
  <c r="R32" i="25"/>
  <c r="S32" i="25"/>
  <c r="T32" i="25"/>
  <c r="U32" i="25"/>
  <c r="V32" i="25"/>
  <c r="W32" i="25"/>
  <c r="X32" i="25"/>
  <c r="Y32" i="25"/>
  <c r="Z32" i="25"/>
  <c r="AA32" i="25"/>
  <c r="AB32" i="25"/>
  <c r="AC32" i="25"/>
  <c r="AD32" i="25"/>
  <c r="AE32" i="25"/>
  <c r="AF32" i="25"/>
  <c r="AG32" i="25"/>
  <c r="AH32" i="25"/>
  <c r="AI32" i="25"/>
  <c r="AJ32" i="25"/>
  <c r="AK32" i="25"/>
  <c r="AL32" i="25"/>
  <c r="AM32" i="25"/>
  <c r="AN32" i="25"/>
  <c r="AO32" i="25"/>
  <c r="AP32" i="25"/>
  <c r="AQ32" i="25"/>
  <c r="AR32" i="25"/>
  <c r="AS32" i="25"/>
  <c r="AT32" i="25"/>
  <c r="AU32" i="25"/>
  <c r="AV32" i="25"/>
  <c r="AW32" i="25"/>
  <c r="AX32" i="25"/>
  <c r="AY32" i="25"/>
  <c r="AZ32" i="25"/>
  <c r="BA32" i="25"/>
  <c r="BB32" i="25"/>
  <c r="BC32" i="25"/>
  <c r="BD32" i="25"/>
  <c r="BE32" i="25"/>
  <c r="BF32" i="25"/>
  <c r="BG32" i="25"/>
  <c r="BH32" i="25"/>
  <c r="BI32" i="25"/>
  <c r="BJ32" i="25"/>
  <c r="BK32" i="25"/>
  <c r="BL32" i="25"/>
  <c r="BM32" i="25"/>
  <c r="BN32" i="25"/>
  <c r="BO32" i="25"/>
  <c r="BP32" i="25"/>
  <c r="BQ32" i="25"/>
  <c r="BR32" i="25"/>
  <c r="BS32" i="25"/>
  <c r="BT32" i="25"/>
  <c r="BU32" i="25"/>
  <c r="BV32" i="25"/>
  <c r="BW32" i="25"/>
  <c r="BX32" i="25"/>
  <c r="BY32" i="25"/>
  <c r="BZ32" i="25"/>
  <c r="CA32" i="25"/>
  <c r="CB32" i="25"/>
  <c r="CC32" i="25"/>
  <c r="CD32" i="25"/>
  <c r="CE32" i="25"/>
  <c r="CF32" i="25"/>
  <c r="CG32" i="25"/>
  <c r="CH32" i="25"/>
  <c r="E33" i="25"/>
  <c r="F33" i="25"/>
  <c r="G33" i="25"/>
  <c r="H33" i="25"/>
  <c r="I33" i="25"/>
  <c r="J33" i="25"/>
  <c r="K33" i="25"/>
  <c r="L33" i="25"/>
  <c r="M33" i="25"/>
  <c r="N33" i="25"/>
  <c r="O33" i="25"/>
  <c r="P33" i="25"/>
  <c r="Q33" i="25"/>
  <c r="R33" i="25"/>
  <c r="S33" i="25"/>
  <c r="T33" i="25"/>
  <c r="U33" i="25"/>
  <c r="V33" i="25"/>
  <c r="W33" i="25"/>
  <c r="X33" i="25"/>
  <c r="Y33" i="25"/>
  <c r="Z33" i="25"/>
  <c r="AA33" i="25"/>
  <c r="AB33" i="25"/>
  <c r="AC33" i="25"/>
  <c r="AD33" i="25"/>
  <c r="AE33" i="25"/>
  <c r="AF33" i="25"/>
  <c r="AG33" i="25"/>
  <c r="AH33" i="25"/>
  <c r="AI33" i="25"/>
  <c r="AJ33" i="25"/>
  <c r="AK33" i="25"/>
  <c r="AL33" i="25"/>
  <c r="AM33" i="25"/>
  <c r="AN33" i="25"/>
  <c r="AO33" i="25"/>
  <c r="AP33" i="25"/>
  <c r="AQ33" i="25"/>
  <c r="AR33" i="25"/>
  <c r="AS33" i="25"/>
  <c r="AT33" i="25"/>
  <c r="AU33" i="25"/>
  <c r="AV33" i="25"/>
  <c r="AW33" i="25"/>
  <c r="AX33" i="25"/>
  <c r="AY33" i="25"/>
  <c r="AZ33" i="25"/>
  <c r="BA33" i="25"/>
  <c r="BB33" i="25"/>
  <c r="BC33" i="25"/>
  <c r="BD33" i="25"/>
  <c r="BE33" i="25"/>
  <c r="BF33" i="25"/>
  <c r="BG33" i="25"/>
  <c r="BH33" i="25"/>
  <c r="BI33" i="25"/>
  <c r="BJ33" i="25"/>
  <c r="BK33" i="25"/>
  <c r="BL33" i="25"/>
  <c r="BM33" i="25"/>
  <c r="BN33" i="25"/>
  <c r="BO33" i="25"/>
  <c r="BP33" i="25"/>
  <c r="BQ33" i="25"/>
  <c r="BR33" i="25"/>
  <c r="BS33" i="25"/>
  <c r="BT33" i="25"/>
  <c r="BU33" i="25"/>
  <c r="BV33" i="25"/>
  <c r="BW33" i="25"/>
  <c r="BX33" i="25"/>
  <c r="BY33" i="25"/>
  <c r="BZ33" i="25"/>
  <c r="CA33" i="25"/>
  <c r="CB33" i="25"/>
  <c r="CC33" i="25"/>
  <c r="CD33" i="25"/>
  <c r="CE33" i="25"/>
  <c r="CF33" i="25"/>
  <c r="CG33" i="25"/>
  <c r="CH33" i="25"/>
  <c r="E34" i="25"/>
  <c r="F34" i="25"/>
  <c r="G34" i="25"/>
  <c r="H34" i="25"/>
  <c r="I34" i="25"/>
  <c r="J34" i="25"/>
  <c r="K34" i="25"/>
  <c r="L34" i="25"/>
  <c r="M34" i="25"/>
  <c r="N34" i="25"/>
  <c r="O34" i="25"/>
  <c r="P34" i="25"/>
  <c r="Q34" i="25"/>
  <c r="R34" i="25"/>
  <c r="S34" i="25"/>
  <c r="T34" i="25"/>
  <c r="U34" i="25"/>
  <c r="V34" i="25"/>
  <c r="W34" i="25"/>
  <c r="X34" i="25"/>
  <c r="Y34" i="25"/>
  <c r="Z34" i="25"/>
  <c r="AA34" i="25"/>
  <c r="AB34" i="25"/>
  <c r="AC34" i="25"/>
  <c r="AD34" i="25"/>
  <c r="AE34" i="25"/>
  <c r="AF34" i="25"/>
  <c r="AG34" i="25"/>
  <c r="AH34" i="25"/>
  <c r="AI34" i="25"/>
  <c r="AJ34" i="25"/>
  <c r="AK34" i="25"/>
  <c r="AL34" i="25"/>
  <c r="AM34" i="25"/>
  <c r="AN34" i="25"/>
  <c r="AO34" i="25"/>
  <c r="AP34" i="25"/>
  <c r="AQ34" i="25"/>
  <c r="AR34" i="25"/>
  <c r="AS34" i="25"/>
  <c r="AT34" i="25"/>
  <c r="AU34" i="25"/>
  <c r="AV34" i="25"/>
  <c r="AW34" i="25"/>
  <c r="AX34" i="25"/>
  <c r="AY34" i="25"/>
  <c r="AZ34" i="25"/>
  <c r="BA34" i="25"/>
  <c r="BB34" i="25"/>
  <c r="BC34" i="25"/>
  <c r="BD34" i="25"/>
  <c r="BE34" i="25"/>
  <c r="BF34" i="25"/>
  <c r="BG34" i="25"/>
  <c r="BH34" i="25"/>
  <c r="BI34" i="25"/>
  <c r="BJ34" i="25"/>
  <c r="BK34" i="25"/>
  <c r="BL34" i="25"/>
  <c r="BM34" i="25"/>
  <c r="BN34" i="25"/>
  <c r="BO34" i="25"/>
  <c r="BP34" i="25"/>
  <c r="BQ34" i="25"/>
  <c r="BR34" i="25"/>
  <c r="BS34" i="25"/>
  <c r="BT34" i="25"/>
  <c r="BU34" i="25"/>
  <c r="BV34" i="25"/>
  <c r="BW34" i="25"/>
  <c r="BX34" i="25"/>
  <c r="BY34" i="25"/>
  <c r="BZ34" i="25"/>
  <c r="CA34" i="25"/>
  <c r="CB34" i="25"/>
  <c r="CC34" i="25"/>
  <c r="CD34" i="25"/>
  <c r="CE34" i="25"/>
  <c r="CF34" i="25"/>
  <c r="CG34" i="25"/>
  <c r="CH34" i="25"/>
  <c r="E35" i="25"/>
  <c r="F35" i="25"/>
  <c r="G35" i="25"/>
  <c r="H35" i="25"/>
  <c r="I35" i="25"/>
  <c r="J35" i="25"/>
  <c r="K35" i="25"/>
  <c r="L35" i="25"/>
  <c r="M35" i="25"/>
  <c r="N35" i="25"/>
  <c r="O35" i="25"/>
  <c r="P35" i="25"/>
  <c r="Q35" i="25"/>
  <c r="R35" i="25"/>
  <c r="S35" i="25"/>
  <c r="T35" i="25"/>
  <c r="U35" i="25"/>
  <c r="V35" i="25"/>
  <c r="W35" i="25"/>
  <c r="X35" i="25"/>
  <c r="Y35" i="25"/>
  <c r="Z35" i="25"/>
  <c r="AA35" i="25"/>
  <c r="AB35" i="25"/>
  <c r="AC35" i="25"/>
  <c r="AD35" i="25"/>
  <c r="AE35" i="25"/>
  <c r="AF35" i="25"/>
  <c r="AG35" i="25"/>
  <c r="AH35" i="25"/>
  <c r="AI35" i="25"/>
  <c r="AJ35" i="25"/>
  <c r="AK35" i="25"/>
  <c r="AL35" i="25"/>
  <c r="AM35" i="25"/>
  <c r="AN35" i="25"/>
  <c r="AO35" i="25"/>
  <c r="AP35" i="25"/>
  <c r="AQ35" i="25"/>
  <c r="AR35" i="25"/>
  <c r="AS35" i="25"/>
  <c r="AT35" i="25"/>
  <c r="AU35" i="25"/>
  <c r="AV35" i="25"/>
  <c r="AW35" i="25"/>
  <c r="AX35" i="25"/>
  <c r="AY35" i="25"/>
  <c r="AZ35" i="25"/>
  <c r="BA35" i="25"/>
  <c r="BB35" i="25"/>
  <c r="BC35" i="25"/>
  <c r="BD35" i="25"/>
  <c r="BE35" i="25"/>
  <c r="BF35" i="25"/>
  <c r="BG35" i="25"/>
  <c r="BH35" i="25"/>
  <c r="BI35" i="25"/>
  <c r="BJ35" i="25"/>
  <c r="BK35" i="25"/>
  <c r="BL35" i="25"/>
  <c r="BM35" i="25"/>
  <c r="BN35" i="25"/>
  <c r="BO35" i="25"/>
  <c r="BP35" i="25"/>
  <c r="BQ35" i="25"/>
  <c r="BR35" i="25"/>
  <c r="BS35" i="25"/>
  <c r="BT35" i="25"/>
  <c r="BU35" i="25"/>
  <c r="BV35" i="25"/>
  <c r="BW35" i="25"/>
  <c r="BX35" i="25"/>
  <c r="BY35" i="25"/>
  <c r="BZ35" i="25"/>
  <c r="CA35" i="25"/>
  <c r="CB35" i="25"/>
  <c r="CC35" i="25"/>
  <c r="CD35" i="25"/>
  <c r="CE35" i="25"/>
  <c r="CF35" i="25"/>
  <c r="CG35" i="25"/>
  <c r="CH35" i="25"/>
  <c r="E36" i="25"/>
  <c r="F36" i="25"/>
  <c r="G36" i="25"/>
  <c r="H36" i="25"/>
  <c r="I36" i="25"/>
  <c r="J36" i="25"/>
  <c r="K36" i="25"/>
  <c r="L36" i="25"/>
  <c r="M36" i="25"/>
  <c r="N36" i="25"/>
  <c r="O36" i="25"/>
  <c r="P36" i="25"/>
  <c r="Q36" i="25"/>
  <c r="R36" i="25"/>
  <c r="S36" i="25"/>
  <c r="T36" i="25"/>
  <c r="U36" i="25"/>
  <c r="V36" i="25"/>
  <c r="W36" i="25"/>
  <c r="X36" i="25"/>
  <c r="Y36" i="25"/>
  <c r="Z36" i="25"/>
  <c r="AA36" i="25"/>
  <c r="AB36" i="25"/>
  <c r="AC36" i="25"/>
  <c r="AD36" i="25"/>
  <c r="AE36" i="25"/>
  <c r="AF36" i="25"/>
  <c r="AG36" i="25"/>
  <c r="AH36" i="25"/>
  <c r="AI36" i="25"/>
  <c r="AJ36" i="25"/>
  <c r="AK36" i="25"/>
  <c r="AL36" i="25"/>
  <c r="AM36" i="25"/>
  <c r="AN36" i="25"/>
  <c r="AO36" i="25"/>
  <c r="AP36" i="25"/>
  <c r="AQ36" i="25"/>
  <c r="AR36" i="25"/>
  <c r="AS36" i="25"/>
  <c r="AT36" i="25"/>
  <c r="AU36" i="25"/>
  <c r="AV36" i="25"/>
  <c r="AW36" i="25"/>
  <c r="AX36" i="25"/>
  <c r="AY36" i="25"/>
  <c r="AZ36" i="25"/>
  <c r="BA36" i="25"/>
  <c r="BB36" i="25"/>
  <c r="BC36" i="25"/>
  <c r="BD36" i="25"/>
  <c r="BE36" i="25"/>
  <c r="BF36" i="25"/>
  <c r="BG36" i="25"/>
  <c r="BH36" i="25"/>
  <c r="BI36" i="25"/>
  <c r="BJ36" i="25"/>
  <c r="BK36" i="25"/>
  <c r="BL36" i="25"/>
  <c r="BM36" i="25"/>
  <c r="BN36" i="25"/>
  <c r="BO36" i="25"/>
  <c r="BP36" i="25"/>
  <c r="BQ36" i="25"/>
  <c r="BR36" i="25"/>
  <c r="BS36" i="25"/>
  <c r="BT36" i="25"/>
  <c r="BU36" i="25"/>
  <c r="BV36" i="25"/>
  <c r="BW36" i="25"/>
  <c r="BX36" i="25"/>
  <c r="BY36" i="25"/>
  <c r="BZ36" i="25"/>
  <c r="CA36" i="25"/>
  <c r="CB36" i="25"/>
  <c r="CC36" i="25"/>
  <c r="CD36" i="25"/>
  <c r="CE36" i="25"/>
  <c r="CF36" i="25"/>
  <c r="CG36" i="25"/>
  <c r="CH36" i="25"/>
  <c r="E37" i="25"/>
  <c r="F37" i="25"/>
  <c r="G37" i="25"/>
  <c r="H37" i="25"/>
  <c r="I37" i="25"/>
  <c r="J37" i="25"/>
  <c r="K37" i="25"/>
  <c r="L37" i="25"/>
  <c r="M37" i="25"/>
  <c r="N37" i="25"/>
  <c r="O37" i="25"/>
  <c r="P37" i="25"/>
  <c r="Q37" i="25"/>
  <c r="R37" i="25"/>
  <c r="S37" i="25"/>
  <c r="T37" i="25"/>
  <c r="U37" i="25"/>
  <c r="V37" i="25"/>
  <c r="W37" i="25"/>
  <c r="X37" i="25"/>
  <c r="Y37" i="25"/>
  <c r="Z37" i="25"/>
  <c r="AA37" i="25"/>
  <c r="AB37" i="25"/>
  <c r="AC37" i="25"/>
  <c r="AD37" i="25"/>
  <c r="AE37" i="25"/>
  <c r="AF37" i="25"/>
  <c r="AG37" i="25"/>
  <c r="AH37" i="25"/>
  <c r="AI37" i="25"/>
  <c r="AJ37" i="25"/>
  <c r="AK37" i="25"/>
  <c r="AL37" i="25"/>
  <c r="AM37" i="25"/>
  <c r="AN37" i="25"/>
  <c r="AO37" i="25"/>
  <c r="AP37" i="25"/>
  <c r="AQ37" i="25"/>
  <c r="AR37" i="25"/>
  <c r="AS37" i="25"/>
  <c r="AT37" i="25"/>
  <c r="AU37" i="25"/>
  <c r="AV37" i="25"/>
  <c r="AW37" i="25"/>
  <c r="AX37" i="25"/>
  <c r="AY37" i="25"/>
  <c r="AZ37" i="25"/>
  <c r="BA37" i="25"/>
  <c r="BB37" i="25"/>
  <c r="BC37" i="25"/>
  <c r="BD37" i="25"/>
  <c r="BE37" i="25"/>
  <c r="BF37" i="25"/>
  <c r="BG37" i="25"/>
  <c r="BH37" i="25"/>
  <c r="BI37" i="25"/>
  <c r="BJ37" i="25"/>
  <c r="BK37" i="25"/>
  <c r="BL37" i="25"/>
  <c r="BM37" i="25"/>
  <c r="BN37" i="25"/>
  <c r="BO37" i="25"/>
  <c r="BP37" i="25"/>
  <c r="BQ37" i="25"/>
  <c r="BR37" i="25"/>
  <c r="BS37" i="25"/>
  <c r="BT37" i="25"/>
  <c r="BU37" i="25"/>
  <c r="BV37" i="25"/>
  <c r="BW37" i="25"/>
  <c r="BX37" i="25"/>
  <c r="BY37" i="25"/>
  <c r="BZ37" i="25"/>
  <c r="CA37" i="25"/>
  <c r="CB37" i="25"/>
  <c r="CC37" i="25"/>
  <c r="CD37" i="25"/>
  <c r="CE37" i="25"/>
  <c r="CF37" i="25"/>
  <c r="CG37" i="25"/>
  <c r="CH37" i="25"/>
  <c r="E38" i="25"/>
  <c r="F38" i="25"/>
  <c r="G38" i="25"/>
  <c r="H38" i="25"/>
  <c r="I38" i="25"/>
  <c r="J38" i="25"/>
  <c r="K38" i="25"/>
  <c r="L38" i="25"/>
  <c r="M38" i="25"/>
  <c r="N38" i="25"/>
  <c r="O38" i="25"/>
  <c r="P38" i="25"/>
  <c r="Q38" i="25"/>
  <c r="R38" i="25"/>
  <c r="S38" i="25"/>
  <c r="T38" i="25"/>
  <c r="U38" i="25"/>
  <c r="V38" i="25"/>
  <c r="W38" i="25"/>
  <c r="X38" i="25"/>
  <c r="Y38" i="25"/>
  <c r="Z38" i="25"/>
  <c r="AA38" i="25"/>
  <c r="AB38" i="25"/>
  <c r="AC38" i="25"/>
  <c r="AD38" i="25"/>
  <c r="AE38" i="25"/>
  <c r="AF38" i="25"/>
  <c r="AG38" i="25"/>
  <c r="AH38" i="25"/>
  <c r="AI38" i="25"/>
  <c r="AJ38" i="25"/>
  <c r="AK38" i="25"/>
  <c r="AL38" i="25"/>
  <c r="AM38" i="25"/>
  <c r="AN38" i="25"/>
  <c r="AO38" i="25"/>
  <c r="AP38" i="25"/>
  <c r="AQ38" i="25"/>
  <c r="AR38" i="25"/>
  <c r="AS38" i="25"/>
  <c r="AT38" i="25"/>
  <c r="AU38" i="25"/>
  <c r="AV38" i="25"/>
  <c r="AW38" i="25"/>
  <c r="AX38" i="25"/>
  <c r="AY38" i="25"/>
  <c r="AZ38" i="25"/>
  <c r="BA38" i="25"/>
  <c r="BB38" i="25"/>
  <c r="BC38" i="25"/>
  <c r="BD38" i="25"/>
  <c r="BE38" i="25"/>
  <c r="BF38" i="25"/>
  <c r="BG38" i="25"/>
  <c r="BH38" i="25"/>
  <c r="BI38" i="25"/>
  <c r="BJ38" i="25"/>
  <c r="BK38" i="25"/>
  <c r="BL38" i="25"/>
  <c r="BM38" i="25"/>
  <c r="BN38" i="25"/>
  <c r="BO38" i="25"/>
  <c r="BP38" i="25"/>
  <c r="BQ38" i="25"/>
  <c r="BR38" i="25"/>
  <c r="BS38" i="25"/>
  <c r="BT38" i="25"/>
  <c r="BU38" i="25"/>
  <c r="BV38" i="25"/>
  <c r="BW38" i="25"/>
  <c r="BX38" i="25"/>
  <c r="BY38" i="25"/>
  <c r="BZ38" i="25"/>
  <c r="CA38" i="25"/>
  <c r="CB38" i="25"/>
  <c r="CC38" i="25"/>
  <c r="CD38" i="25"/>
  <c r="CE38" i="25"/>
  <c r="CF38" i="25"/>
  <c r="CG38" i="25"/>
  <c r="CH38" i="25"/>
  <c r="E39" i="25"/>
  <c r="F39" i="25"/>
  <c r="G39" i="25"/>
  <c r="H39" i="25"/>
  <c r="I39" i="25"/>
  <c r="J39" i="25"/>
  <c r="K39" i="25"/>
  <c r="L39" i="25"/>
  <c r="M39" i="25"/>
  <c r="N39" i="25"/>
  <c r="O39" i="25"/>
  <c r="P39" i="25"/>
  <c r="Q39" i="25"/>
  <c r="R39" i="25"/>
  <c r="S39" i="25"/>
  <c r="T39" i="25"/>
  <c r="U39" i="25"/>
  <c r="V39" i="25"/>
  <c r="W39" i="25"/>
  <c r="X39" i="25"/>
  <c r="Y39" i="25"/>
  <c r="Z39" i="25"/>
  <c r="AA39" i="25"/>
  <c r="AB39" i="25"/>
  <c r="AC39" i="25"/>
  <c r="AD39" i="25"/>
  <c r="AE39" i="25"/>
  <c r="AF39" i="25"/>
  <c r="AG39" i="25"/>
  <c r="AH39" i="25"/>
  <c r="AI39" i="25"/>
  <c r="AJ39" i="25"/>
  <c r="AK39" i="25"/>
  <c r="AL39" i="25"/>
  <c r="AM39" i="25"/>
  <c r="AN39" i="25"/>
  <c r="AO39" i="25"/>
  <c r="AP39" i="25"/>
  <c r="AQ39" i="25"/>
  <c r="AR39" i="25"/>
  <c r="AS39" i="25"/>
  <c r="AT39" i="25"/>
  <c r="AU39" i="25"/>
  <c r="AV39" i="25"/>
  <c r="AW39" i="25"/>
  <c r="AX39" i="25"/>
  <c r="AY39" i="25"/>
  <c r="AZ39" i="25"/>
  <c r="BA39" i="25"/>
  <c r="BB39" i="25"/>
  <c r="BC39" i="25"/>
  <c r="BD39" i="25"/>
  <c r="BE39" i="25"/>
  <c r="BF39" i="25"/>
  <c r="BG39" i="25"/>
  <c r="BH39" i="25"/>
  <c r="BI39" i="25"/>
  <c r="BJ39" i="25"/>
  <c r="BK39" i="25"/>
  <c r="BL39" i="25"/>
  <c r="BM39" i="25"/>
  <c r="BN39" i="25"/>
  <c r="BO39" i="25"/>
  <c r="BP39" i="25"/>
  <c r="BQ39" i="25"/>
  <c r="BR39" i="25"/>
  <c r="BS39" i="25"/>
  <c r="BT39" i="25"/>
  <c r="BU39" i="25"/>
  <c r="BV39" i="25"/>
  <c r="BW39" i="25"/>
  <c r="BX39" i="25"/>
  <c r="BY39" i="25"/>
  <c r="BZ39" i="25"/>
  <c r="CA39" i="25"/>
  <c r="CB39" i="25"/>
  <c r="CC39" i="25"/>
  <c r="CD39" i="25"/>
  <c r="CE39" i="25"/>
  <c r="CF39" i="25"/>
  <c r="CG39" i="25"/>
  <c r="CH39" i="25"/>
  <c r="E40" i="25"/>
  <c r="F40" i="25"/>
  <c r="G40" i="25"/>
  <c r="H40" i="25"/>
  <c r="I40" i="25"/>
  <c r="J40" i="25"/>
  <c r="K40" i="25"/>
  <c r="L40" i="25"/>
  <c r="M40" i="25"/>
  <c r="N40" i="25"/>
  <c r="O40" i="25"/>
  <c r="P40" i="25"/>
  <c r="Q40" i="25"/>
  <c r="R40" i="25"/>
  <c r="S40" i="25"/>
  <c r="T40" i="25"/>
  <c r="U40" i="25"/>
  <c r="V40" i="25"/>
  <c r="W40" i="25"/>
  <c r="X40" i="25"/>
  <c r="Y40" i="25"/>
  <c r="Z40" i="25"/>
  <c r="AA40" i="25"/>
  <c r="AB40" i="25"/>
  <c r="AC40" i="25"/>
  <c r="AD40" i="25"/>
  <c r="AE40" i="25"/>
  <c r="AF40" i="25"/>
  <c r="AG40" i="25"/>
  <c r="AH40" i="25"/>
  <c r="AI40" i="25"/>
  <c r="AJ40" i="25"/>
  <c r="AK40" i="25"/>
  <c r="AL40" i="25"/>
  <c r="AM40" i="25"/>
  <c r="AN40" i="25"/>
  <c r="AO40" i="25"/>
  <c r="AP40" i="25"/>
  <c r="AQ40" i="25"/>
  <c r="AR40" i="25"/>
  <c r="AS40" i="25"/>
  <c r="AT40" i="25"/>
  <c r="AU40" i="25"/>
  <c r="AV40" i="25"/>
  <c r="AW40" i="25"/>
  <c r="AX40" i="25"/>
  <c r="AY40" i="25"/>
  <c r="AZ40" i="25"/>
  <c r="BA40" i="25"/>
  <c r="BB40" i="25"/>
  <c r="BC40" i="25"/>
  <c r="BD40" i="25"/>
  <c r="BE40" i="25"/>
  <c r="BF40" i="25"/>
  <c r="BG40" i="25"/>
  <c r="BH40" i="25"/>
  <c r="BI40" i="25"/>
  <c r="BJ40" i="25"/>
  <c r="BK40" i="25"/>
  <c r="BL40" i="25"/>
  <c r="BM40" i="25"/>
  <c r="BN40" i="25"/>
  <c r="BO40" i="25"/>
  <c r="BP40" i="25"/>
  <c r="BQ40" i="25"/>
  <c r="BR40" i="25"/>
  <c r="BS40" i="25"/>
  <c r="BT40" i="25"/>
  <c r="BU40" i="25"/>
  <c r="BV40" i="25"/>
  <c r="BW40" i="25"/>
  <c r="BX40" i="25"/>
  <c r="BY40" i="25"/>
  <c r="BZ40" i="25"/>
  <c r="CA40" i="25"/>
  <c r="CB40" i="25"/>
  <c r="CC40" i="25"/>
  <c r="CD40" i="25"/>
  <c r="CE40" i="25"/>
  <c r="CF40" i="25"/>
  <c r="CG40" i="25"/>
  <c r="CH40" i="25"/>
  <c r="E41" i="25"/>
  <c r="F41" i="25"/>
  <c r="G41" i="25"/>
  <c r="H41" i="25"/>
  <c r="I41" i="25"/>
  <c r="J41" i="25"/>
  <c r="K41" i="25"/>
  <c r="L41" i="25"/>
  <c r="M41" i="25"/>
  <c r="N41" i="25"/>
  <c r="O41" i="25"/>
  <c r="P41" i="25"/>
  <c r="Q41" i="25"/>
  <c r="R41" i="25"/>
  <c r="S41" i="25"/>
  <c r="T41" i="25"/>
  <c r="U41" i="25"/>
  <c r="V41" i="25"/>
  <c r="W41" i="25"/>
  <c r="X41" i="25"/>
  <c r="Y41" i="25"/>
  <c r="Z41" i="25"/>
  <c r="AA41" i="25"/>
  <c r="AB41" i="25"/>
  <c r="AC41" i="25"/>
  <c r="AD41" i="25"/>
  <c r="AE41" i="25"/>
  <c r="AF41" i="25"/>
  <c r="AG41" i="25"/>
  <c r="AH41" i="25"/>
  <c r="AI41" i="25"/>
  <c r="AJ41" i="25"/>
  <c r="AK41" i="25"/>
  <c r="AL41" i="25"/>
  <c r="AM41" i="25"/>
  <c r="AN41" i="25"/>
  <c r="AO41" i="25"/>
  <c r="AP41" i="25"/>
  <c r="AQ41" i="25"/>
  <c r="AR41" i="25"/>
  <c r="AS41" i="25"/>
  <c r="AT41" i="25"/>
  <c r="AU41" i="25"/>
  <c r="AV41" i="25"/>
  <c r="AW41" i="25"/>
  <c r="AX41" i="25"/>
  <c r="AY41" i="25"/>
  <c r="AZ41" i="25"/>
  <c r="BA41" i="25"/>
  <c r="BB41" i="25"/>
  <c r="BC41" i="25"/>
  <c r="BD41" i="25"/>
  <c r="BE41" i="25"/>
  <c r="BF41" i="25"/>
  <c r="BG41" i="25"/>
  <c r="BH41" i="25"/>
  <c r="BI41" i="25"/>
  <c r="BJ41" i="25"/>
  <c r="BK41" i="25"/>
  <c r="BL41" i="25"/>
  <c r="BM41" i="25"/>
  <c r="BN41" i="25"/>
  <c r="BO41" i="25"/>
  <c r="BP41" i="25"/>
  <c r="BQ41" i="25"/>
  <c r="BR41" i="25"/>
  <c r="BS41" i="25"/>
  <c r="BT41" i="25"/>
  <c r="BU41" i="25"/>
  <c r="BV41" i="25"/>
  <c r="BW41" i="25"/>
  <c r="BX41" i="25"/>
  <c r="BY41" i="25"/>
  <c r="BZ41" i="25"/>
  <c r="CA41" i="25"/>
  <c r="CB41" i="25"/>
  <c r="CC41" i="25"/>
  <c r="CD41" i="25"/>
  <c r="CE41" i="25"/>
  <c r="CF41" i="25"/>
  <c r="CG41" i="25"/>
  <c r="CH41" i="25"/>
  <c r="E42" i="25"/>
  <c r="F42" i="25"/>
  <c r="G42" i="25"/>
  <c r="H42" i="25"/>
  <c r="I42" i="25"/>
  <c r="J42" i="25"/>
  <c r="K42" i="25"/>
  <c r="L42" i="25"/>
  <c r="M42" i="25"/>
  <c r="N42" i="25"/>
  <c r="O42" i="25"/>
  <c r="P42" i="25"/>
  <c r="Q42" i="25"/>
  <c r="R42" i="25"/>
  <c r="S42" i="25"/>
  <c r="T42" i="25"/>
  <c r="U42" i="25"/>
  <c r="V42" i="25"/>
  <c r="W42" i="25"/>
  <c r="X42" i="25"/>
  <c r="Y42" i="25"/>
  <c r="Z42" i="25"/>
  <c r="AA42" i="25"/>
  <c r="AB42" i="25"/>
  <c r="AC42" i="25"/>
  <c r="AD42" i="25"/>
  <c r="AE42" i="25"/>
  <c r="AF42" i="25"/>
  <c r="AG42" i="25"/>
  <c r="AH42" i="25"/>
  <c r="AI42" i="25"/>
  <c r="AJ42" i="25"/>
  <c r="AK42" i="25"/>
  <c r="AL42" i="25"/>
  <c r="AM42" i="25"/>
  <c r="AN42" i="25"/>
  <c r="AO42" i="25"/>
  <c r="AP42" i="25"/>
  <c r="AQ42" i="25"/>
  <c r="AR42" i="25"/>
  <c r="AS42" i="25"/>
  <c r="AT42" i="25"/>
  <c r="AU42" i="25"/>
  <c r="AV42" i="25"/>
  <c r="AW42" i="25"/>
  <c r="AX42" i="25"/>
  <c r="AY42" i="25"/>
  <c r="AZ42" i="25"/>
  <c r="BA42" i="25"/>
  <c r="BB42" i="25"/>
  <c r="BC42" i="25"/>
  <c r="BD42" i="25"/>
  <c r="BE42" i="25"/>
  <c r="BF42" i="25"/>
  <c r="BG42" i="25"/>
  <c r="BH42" i="25"/>
  <c r="BI42" i="25"/>
  <c r="BJ42" i="25"/>
  <c r="BK42" i="25"/>
  <c r="BL42" i="25"/>
  <c r="BM42" i="25"/>
  <c r="BN42" i="25"/>
  <c r="BO42" i="25"/>
  <c r="BP42" i="25"/>
  <c r="BQ42" i="25"/>
  <c r="BR42" i="25"/>
  <c r="BS42" i="25"/>
  <c r="BT42" i="25"/>
  <c r="BU42" i="25"/>
  <c r="BV42" i="25"/>
  <c r="BW42" i="25"/>
  <c r="BX42" i="25"/>
  <c r="BY42" i="25"/>
  <c r="BZ42" i="25"/>
  <c r="CA42" i="25"/>
  <c r="CB42" i="25"/>
  <c r="CC42" i="25"/>
  <c r="CD42" i="25"/>
  <c r="CE42" i="25"/>
  <c r="CF42" i="25"/>
  <c r="CG42" i="25"/>
  <c r="CH42" i="25"/>
  <c r="E43" i="25"/>
  <c r="F43" i="25"/>
  <c r="G43" i="25"/>
  <c r="H43" i="25"/>
  <c r="I43" i="25"/>
  <c r="J43" i="25"/>
  <c r="K43" i="25"/>
  <c r="L43" i="25"/>
  <c r="M43" i="25"/>
  <c r="N43" i="25"/>
  <c r="O43" i="25"/>
  <c r="P43" i="25"/>
  <c r="Q43" i="25"/>
  <c r="R43" i="25"/>
  <c r="S43" i="25"/>
  <c r="T43" i="25"/>
  <c r="U43" i="25"/>
  <c r="V43" i="25"/>
  <c r="W43" i="25"/>
  <c r="X43" i="25"/>
  <c r="Y43" i="25"/>
  <c r="Z43" i="25"/>
  <c r="AA43" i="25"/>
  <c r="AB43" i="25"/>
  <c r="AC43" i="25"/>
  <c r="AD43" i="25"/>
  <c r="AE43" i="25"/>
  <c r="AF43" i="25"/>
  <c r="AG43" i="25"/>
  <c r="AH43" i="25"/>
  <c r="AI43" i="25"/>
  <c r="AJ43" i="25"/>
  <c r="AK43" i="25"/>
  <c r="AL43" i="25"/>
  <c r="AM43" i="25"/>
  <c r="AN43" i="25"/>
  <c r="AO43" i="25"/>
  <c r="AP43" i="25"/>
  <c r="AQ43" i="25"/>
  <c r="AR43" i="25"/>
  <c r="AS43" i="25"/>
  <c r="AT43" i="25"/>
  <c r="AU43" i="25"/>
  <c r="AV43" i="25"/>
  <c r="AW43" i="25"/>
  <c r="AX43" i="25"/>
  <c r="AY43" i="25"/>
  <c r="AZ43" i="25"/>
  <c r="BA43" i="25"/>
  <c r="BB43" i="25"/>
  <c r="BC43" i="25"/>
  <c r="BD43" i="25"/>
  <c r="BE43" i="25"/>
  <c r="BF43" i="25"/>
  <c r="BG43" i="25"/>
  <c r="BH43" i="25"/>
  <c r="BI43" i="25"/>
  <c r="BJ43" i="25"/>
  <c r="BK43" i="25"/>
  <c r="BL43" i="25"/>
  <c r="BM43" i="25"/>
  <c r="BN43" i="25"/>
  <c r="BO43" i="25"/>
  <c r="BP43" i="25"/>
  <c r="BQ43" i="25"/>
  <c r="BR43" i="25"/>
  <c r="BS43" i="25"/>
  <c r="BT43" i="25"/>
  <c r="BU43" i="25"/>
  <c r="BV43" i="25"/>
  <c r="BW43" i="25"/>
  <c r="BX43" i="25"/>
  <c r="BY43" i="25"/>
  <c r="BZ43" i="25"/>
  <c r="CA43" i="25"/>
  <c r="CB43" i="25"/>
  <c r="CC43" i="25"/>
  <c r="CD43" i="25"/>
  <c r="CE43" i="25"/>
  <c r="CF43" i="25"/>
  <c r="CG43" i="25"/>
  <c r="CH43" i="25"/>
  <c r="E44" i="25"/>
  <c r="F44" i="25"/>
  <c r="G44" i="25"/>
  <c r="H44" i="25"/>
  <c r="I44" i="25"/>
  <c r="J44" i="25"/>
  <c r="K44" i="25"/>
  <c r="L44" i="25"/>
  <c r="M44" i="25"/>
  <c r="N44" i="25"/>
  <c r="O44" i="25"/>
  <c r="P44" i="25"/>
  <c r="Q44" i="25"/>
  <c r="R44" i="25"/>
  <c r="S44" i="25"/>
  <c r="T44" i="25"/>
  <c r="U44" i="25"/>
  <c r="V44" i="25"/>
  <c r="W44" i="25"/>
  <c r="X44" i="25"/>
  <c r="Y44" i="25"/>
  <c r="Z44" i="25"/>
  <c r="AA44" i="25"/>
  <c r="AB44" i="25"/>
  <c r="AC44" i="25"/>
  <c r="AD44" i="25"/>
  <c r="AE44" i="25"/>
  <c r="AF44" i="25"/>
  <c r="AG44" i="25"/>
  <c r="AH44" i="25"/>
  <c r="AI44" i="25"/>
  <c r="AJ44" i="25"/>
  <c r="AK44" i="25"/>
  <c r="AL44" i="25"/>
  <c r="AM44" i="25"/>
  <c r="AN44" i="25"/>
  <c r="AO44" i="25"/>
  <c r="AP44" i="25"/>
  <c r="AQ44" i="25"/>
  <c r="AR44" i="25"/>
  <c r="AS44" i="25"/>
  <c r="AT44" i="25"/>
  <c r="AU44" i="25"/>
  <c r="AV44" i="25"/>
  <c r="AW44" i="25"/>
  <c r="AX44" i="25"/>
  <c r="AY44" i="25"/>
  <c r="AZ44" i="25"/>
  <c r="BA44" i="25"/>
  <c r="BB44" i="25"/>
  <c r="BC44" i="25"/>
  <c r="BD44" i="25"/>
  <c r="BE44" i="25"/>
  <c r="BF44" i="25"/>
  <c r="BG44" i="25"/>
  <c r="BH44" i="25"/>
  <c r="BI44" i="25"/>
  <c r="BJ44" i="25"/>
  <c r="BK44" i="25"/>
  <c r="BL44" i="25"/>
  <c r="BM44" i="25"/>
  <c r="BN44" i="25"/>
  <c r="BO44" i="25"/>
  <c r="BP44" i="25"/>
  <c r="BQ44" i="25"/>
  <c r="BR44" i="25"/>
  <c r="BS44" i="25"/>
  <c r="BT44" i="25"/>
  <c r="BU44" i="25"/>
  <c r="BV44" i="25"/>
  <c r="BW44" i="25"/>
  <c r="BX44" i="25"/>
  <c r="BY44" i="25"/>
  <c r="BZ44" i="25"/>
  <c r="CA44" i="25"/>
  <c r="CB44" i="25"/>
  <c r="CC44" i="25"/>
  <c r="CD44" i="25"/>
  <c r="CE44" i="25"/>
  <c r="CF44" i="25"/>
  <c r="CG44" i="25"/>
  <c r="CH44" i="25"/>
  <c r="E45" i="25"/>
  <c r="F45" i="25"/>
  <c r="G45" i="25"/>
  <c r="H45" i="25"/>
  <c r="I45" i="25"/>
  <c r="J45" i="25"/>
  <c r="K45" i="25"/>
  <c r="L45" i="25"/>
  <c r="M45" i="25"/>
  <c r="N45" i="25"/>
  <c r="O45" i="25"/>
  <c r="P45" i="25"/>
  <c r="Q45" i="25"/>
  <c r="R45" i="25"/>
  <c r="S45" i="25"/>
  <c r="T45" i="25"/>
  <c r="U45" i="25"/>
  <c r="V45" i="25"/>
  <c r="W45" i="25"/>
  <c r="X45" i="25"/>
  <c r="Y45" i="25"/>
  <c r="Z45" i="25"/>
  <c r="AA45" i="25"/>
  <c r="AB45" i="25"/>
  <c r="AC45" i="25"/>
  <c r="AD45" i="25"/>
  <c r="AE45" i="25"/>
  <c r="AF45" i="25"/>
  <c r="AG45" i="25"/>
  <c r="AH45" i="25"/>
  <c r="AI45" i="25"/>
  <c r="AJ45" i="25"/>
  <c r="AK45" i="25"/>
  <c r="AL45" i="25"/>
  <c r="AM45" i="25"/>
  <c r="AN45" i="25"/>
  <c r="AO45" i="25"/>
  <c r="AP45" i="25"/>
  <c r="AQ45" i="25"/>
  <c r="AR45" i="25"/>
  <c r="AS45" i="25"/>
  <c r="AT45" i="25"/>
  <c r="AU45" i="25"/>
  <c r="AV45" i="25"/>
  <c r="AW45" i="25"/>
  <c r="AX45" i="25"/>
  <c r="AY45" i="25"/>
  <c r="AZ45" i="25"/>
  <c r="BA45" i="25"/>
  <c r="BB45" i="25"/>
  <c r="BC45" i="25"/>
  <c r="BD45" i="25"/>
  <c r="BE45" i="25"/>
  <c r="BF45" i="25"/>
  <c r="BG45" i="25"/>
  <c r="BH45" i="25"/>
  <c r="BI45" i="25"/>
  <c r="BJ45" i="25"/>
  <c r="BK45" i="25"/>
  <c r="BL45" i="25"/>
  <c r="BM45" i="25"/>
  <c r="BN45" i="25"/>
  <c r="BO45" i="25"/>
  <c r="BP45" i="25"/>
  <c r="BQ45" i="25"/>
  <c r="BR45" i="25"/>
  <c r="BS45" i="25"/>
  <c r="BT45" i="25"/>
  <c r="BU45" i="25"/>
  <c r="BV45" i="25"/>
  <c r="BW45" i="25"/>
  <c r="BX45" i="25"/>
  <c r="BY45" i="25"/>
  <c r="BZ45" i="25"/>
  <c r="CA45" i="25"/>
  <c r="CB45" i="25"/>
  <c r="CC45" i="25"/>
  <c r="CD45" i="25"/>
  <c r="CE45" i="25"/>
  <c r="CF45" i="25"/>
  <c r="CG45" i="25"/>
  <c r="CH45" i="25"/>
  <c r="E46" i="25"/>
  <c r="F46" i="25"/>
  <c r="G46" i="25"/>
  <c r="H46" i="25"/>
  <c r="I46" i="25"/>
  <c r="J46" i="25"/>
  <c r="K46" i="25"/>
  <c r="L46" i="25"/>
  <c r="M46" i="25"/>
  <c r="N46" i="25"/>
  <c r="O46" i="25"/>
  <c r="P46" i="25"/>
  <c r="Q46" i="25"/>
  <c r="R46" i="25"/>
  <c r="S46" i="25"/>
  <c r="T46" i="25"/>
  <c r="U46" i="25"/>
  <c r="V46" i="25"/>
  <c r="W46" i="25"/>
  <c r="X46" i="25"/>
  <c r="Y46" i="25"/>
  <c r="Z46" i="25"/>
  <c r="AA46" i="25"/>
  <c r="AB46" i="25"/>
  <c r="AC46" i="25"/>
  <c r="AD46" i="25"/>
  <c r="AE46" i="25"/>
  <c r="AF46" i="25"/>
  <c r="AG46" i="25"/>
  <c r="AH46" i="25"/>
  <c r="AI46" i="25"/>
  <c r="AJ46" i="25"/>
  <c r="AK46" i="25"/>
  <c r="AL46" i="25"/>
  <c r="AM46" i="25"/>
  <c r="AN46" i="25"/>
  <c r="AO46" i="25"/>
  <c r="AP46" i="25"/>
  <c r="AQ46" i="25"/>
  <c r="AR46" i="25"/>
  <c r="AS46" i="25"/>
  <c r="AT46" i="25"/>
  <c r="AU46" i="25"/>
  <c r="AV46" i="25"/>
  <c r="AW46" i="25"/>
  <c r="AX46" i="25"/>
  <c r="AY46" i="25"/>
  <c r="AZ46" i="25"/>
  <c r="BA46" i="25"/>
  <c r="BB46" i="25"/>
  <c r="BC46" i="25"/>
  <c r="BD46" i="25"/>
  <c r="BE46" i="25"/>
  <c r="BF46" i="25"/>
  <c r="BG46" i="25"/>
  <c r="BH46" i="25"/>
  <c r="BI46" i="25"/>
  <c r="BJ46" i="25"/>
  <c r="BK46" i="25"/>
  <c r="BL46" i="25"/>
  <c r="BM46" i="25"/>
  <c r="BN46" i="25"/>
  <c r="BO46" i="25"/>
  <c r="BP46" i="25"/>
  <c r="BQ46" i="25"/>
  <c r="BR46" i="25"/>
  <c r="BS46" i="25"/>
  <c r="BT46" i="25"/>
  <c r="BU46" i="25"/>
  <c r="BV46" i="25"/>
  <c r="BW46" i="25"/>
  <c r="BX46" i="25"/>
  <c r="BY46" i="25"/>
  <c r="BZ46" i="25"/>
  <c r="CA46" i="25"/>
  <c r="CB46" i="25"/>
  <c r="CC46" i="25"/>
  <c r="CD46" i="25"/>
  <c r="CE46" i="25"/>
  <c r="CF46" i="25"/>
  <c r="CG46" i="25"/>
  <c r="CH46" i="25"/>
  <c r="E47" i="25"/>
  <c r="F47" i="25"/>
  <c r="G47" i="25"/>
  <c r="H47" i="25"/>
  <c r="I47" i="25"/>
  <c r="J47" i="25"/>
  <c r="K47" i="25"/>
  <c r="L47" i="25"/>
  <c r="M47" i="25"/>
  <c r="N47" i="25"/>
  <c r="O47" i="25"/>
  <c r="P47" i="25"/>
  <c r="Q47" i="25"/>
  <c r="R47" i="25"/>
  <c r="S47" i="25"/>
  <c r="T47" i="25"/>
  <c r="U47" i="25"/>
  <c r="V47" i="25"/>
  <c r="W47" i="25"/>
  <c r="X47" i="25"/>
  <c r="Y47" i="25"/>
  <c r="Z47" i="25"/>
  <c r="AA47" i="25"/>
  <c r="AB47" i="25"/>
  <c r="AC47" i="25"/>
  <c r="AD47" i="25"/>
  <c r="AE47" i="25"/>
  <c r="AF47" i="25"/>
  <c r="AG47" i="25"/>
  <c r="AH47" i="25"/>
  <c r="AI47" i="25"/>
  <c r="AJ47" i="25"/>
  <c r="AK47" i="25"/>
  <c r="AL47" i="25"/>
  <c r="AM47" i="25"/>
  <c r="AN47" i="25"/>
  <c r="AO47" i="25"/>
  <c r="AP47" i="25"/>
  <c r="AQ47" i="25"/>
  <c r="AR47" i="25"/>
  <c r="AS47" i="25"/>
  <c r="AT47" i="25"/>
  <c r="AU47" i="25"/>
  <c r="AV47" i="25"/>
  <c r="AW47" i="25"/>
  <c r="AX47" i="25"/>
  <c r="AY47" i="25"/>
  <c r="AZ47" i="25"/>
  <c r="BA47" i="25"/>
  <c r="BB47" i="25"/>
  <c r="BC47" i="25"/>
  <c r="BD47" i="25"/>
  <c r="BE47" i="25"/>
  <c r="BF47" i="25"/>
  <c r="BG47" i="25"/>
  <c r="BH47" i="25"/>
  <c r="BI47" i="25"/>
  <c r="BJ47" i="25"/>
  <c r="BK47" i="25"/>
  <c r="BL47" i="25"/>
  <c r="BM47" i="25"/>
  <c r="BN47" i="25"/>
  <c r="BO47" i="25"/>
  <c r="BP47" i="25"/>
  <c r="BQ47" i="25"/>
  <c r="BR47" i="25"/>
  <c r="BS47" i="25"/>
  <c r="BT47" i="25"/>
  <c r="BU47" i="25"/>
  <c r="BV47" i="25"/>
  <c r="BW47" i="25"/>
  <c r="BX47" i="25"/>
  <c r="BY47" i="25"/>
  <c r="BZ47" i="25"/>
  <c r="CA47" i="25"/>
  <c r="CB47" i="25"/>
  <c r="CC47" i="25"/>
  <c r="CD47" i="25"/>
  <c r="CE47" i="25"/>
  <c r="CF47" i="25"/>
  <c r="CG47" i="25"/>
  <c r="CH47" i="25"/>
  <c r="E48" i="25"/>
  <c r="F48" i="25"/>
  <c r="G48" i="25"/>
  <c r="H48" i="25"/>
  <c r="I48" i="25"/>
  <c r="J48" i="25"/>
  <c r="K48" i="25"/>
  <c r="L48" i="25"/>
  <c r="M48" i="25"/>
  <c r="N48" i="25"/>
  <c r="O48" i="25"/>
  <c r="P48" i="25"/>
  <c r="Q48" i="25"/>
  <c r="R48" i="25"/>
  <c r="S48" i="25"/>
  <c r="T48" i="25"/>
  <c r="U48" i="25"/>
  <c r="V48" i="25"/>
  <c r="W48" i="25"/>
  <c r="X48" i="25"/>
  <c r="Y48" i="25"/>
  <c r="Z48" i="25"/>
  <c r="AA48" i="25"/>
  <c r="AB48" i="25"/>
  <c r="AC48" i="25"/>
  <c r="AD48" i="25"/>
  <c r="AE48" i="25"/>
  <c r="AF48" i="25"/>
  <c r="AG48" i="25"/>
  <c r="AH48" i="25"/>
  <c r="AI48" i="25"/>
  <c r="AJ48" i="25"/>
  <c r="AK48" i="25"/>
  <c r="AL48" i="25"/>
  <c r="AM48" i="25"/>
  <c r="AN48" i="25"/>
  <c r="AO48" i="25"/>
  <c r="AP48" i="25"/>
  <c r="AQ48" i="25"/>
  <c r="AR48" i="25"/>
  <c r="AS48" i="25"/>
  <c r="AT48" i="25"/>
  <c r="AU48" i="25"/>
  <c r="AV48" i="25"/>
  <c r="AW48" i="25"/>
  <c r="AX48" i="25"/>
  <c r="AY48" i="25"/>
  <c r="AZ48" i="25"/>
  <c r="BA48" i="25"/>
  <c r="BB48" i="25"/>
  <c r="BC48" i="25"/>
  <c r="BD48" i="25"/>
  <c r="BE48" i="25"/>
  <c r="BF48" i="25"/>
  <c r="BG48" i="25"/>
  <c r="BH48" i="25"/>
  <c r="BI48" i="25"/>
  <c r="BJ48" i="25"/>
  <c r="BK48" i="25"/>
  <c r="BL48" i="25"/>
  <c r="BM48" i="25"/>
  <c r="BN48" i="25"/>
  <c r="BO48" i="25"/>
  <c r="BP48" i="25"/>
  <c r="BQ48" i="25"/>
  <c r="BR48" i="25"/>
  <c r="BS48" i="25"/>
  <c r="BT48" i="25"/>
  <c r="BU48" i="25"/>
  <c r="BV48" i="25"/>
  <c r="BW48" i="25"/>
  <c r="BX48" i="25"/>
  <c r="BY48" i="25"/>
  <c r="BZ48" i="25"/>
  <c r="CA48" i="25"/>
  <c r="CB48" i="25"/>
  <c r="CC48" i="25"/>
  <c r="CD48" i="25"/>
  <c r="CE48" i="25"/>
  <c r="CF48" i="25"/>
  <c r="CG48" i="25"/>
  <c r="CH48" i="25"/>
  <c r="E49" i="25"/>
  <c r="F49" i="25"/>
  <c r="G49" i="25"/>
  <c r="H49" i="25"/>
  <c r="I49" i="25"/>
  <c r="J49" i="25"/>
  <c r="K49" i="25"/>
  <c r="L49" i="25"/>
  <c r="M49" i="25"/>
  <c r="N49" i="25"/>
  <c r="O49" i="25"/>
  <c r="P49" i="25"/>
  <c r="Q49" i="25"/>
  <c r="R49" i="25"/>
  <c r="S49" i="25"/>
  <c r="T49" i="25"/>
  <c r="U49" i="25"/>
  <c r="V49" i="25"/>
  <c r="W49" i="25"/>
  <c r="X49" i="25"/>
  <c r="Y49" i="25"/>
  <c r="Z49" i="25"/>
  <c r="AA49" i="25"/>
  <c r="AB49" i="25"/>
  <c r="AC49" i="25"/>
  <c r="AD49" i="25"/>
  <c r="AE49" i="25"/>
  <c r="AF49" i="25"/>
  <c r="AG49" i="25"/>
  <c r="AH49" i="25"/>
  <c r="AI49" i="25"/>
  <c r="AJ49" i="25"/>
  <c r="AK49" i="25"/>
  <c r="AL49" i="25"/>
  <c r="AM49" i="25"/>
  <c r="AN49" i="25"/>
  <c r="AO49" i="25"/>
  <c r="AP49" i="25"/>
  <c r="AQ49" i="25"/>
  <c r="AR49" i="25"/>
  <c r="AS49" i="25"/>
  <c r="AT49" i="25"/>
  <c r="AU49" i="25"/>
  <c r="AV49" i="25"/>
  <c r="AW49" i="25"/>
  <c r="AX49" i="25"/>
  <c r="AY49" i="25"/>
  <c r="AZ49" i="25"/>
  <c r="BA49" i="25"/>
  <c r="BB49" i="25"/>
  <c r="BC49" i="25"/>
  <c r="BD49" i="25"/>
  <c r="BE49" i="25"/>
  <c r="BF49" i="25"/>
  <c r="BG49" i="25"/>
  <c r="BH49" i="25"/>
  <c r="BI49" i="25"/>
  <c r="BJ49" i="25"/>
  <c r="BK49" i="25"/>
  <c r="BL49" i="25"/>
  <c r="BM49" i="25"/>
  <c r="BN49" i="25"/>
  <c r="BO49" i="25"/>
  <c r="BP49" i="25"/>
  <c r="BQ49" i="25"/>
  <c r="BR49" i="25"/>
  <c r="BS49" i="25"/>
  <c r="BT49" i="25"/>
  <c r="BU49" i="25"/>
  <c r="BV49" i="25"/>
  <c r="BW49" i="25"/>
  <c r="BX49" i="25"/>
  <c r="BY49" i="25"/>
  <c r="BZ49" i="25"/>
  <c r="CA49" i="25"/>
  <c r="CB49" i="25"/>
  <c r="CC49" i="25"/>
  <c r="CD49" i="25"/>
  <c r="CE49" i="25"/>
  <c r="CF49" i="25"/>
  <c r="CG49" i="25"/>
  <c r="CH49" i="25"/>
  <c r="E50" i="25"/>
  <c r="F50" i="25"/>
  <c r="G50" i="25"/>
  <c r="H50" i="25"/>
  <c r="I50" i="25"/>
  <c r="J50" i="25"/>
  <c r="K50" i="25"/>
  <c r="L50" i="25"/>
  <c r="M50" i="25"/>
  <c r="N50" i="25"/>
  <c r="O50" i="25"/>
  <c r="P50" i="25"/>
  <c r="Q50" i="25"/>
  <c r="R50" i="25"/>
  <c r="S50" i="25"/>
  <c r="T50" i="25"/>
  <c r="U50" i="25"/>
  <c r="V50" i="25"/>
  <c r="W50" i="25"/>
  <c r="X50" i="25"/>
  <c r="Y50" i="25"/>
  <c r="Z50" i="25"/>
  <c r="AA50" i="25"/>
  <c r="AB50" i="25"/>
  <c r="AC50" i="25"/>
  <c r="AD50" i="25"/>
  <c r="AE50" i="25"/>
  <c r="AF50" i="25"/>
  <c r="AG50" i="25"/>
  <c r="AH50" i="25"/>
  <c r="AI50" i="25"/>
  <c r="AJ50" i="25"/>
  <c r="AK50" i="25"/>
  <c r="AL50" i="25"/>
  <c r="AM50" i="25"/>
  <c r="AN50" i="25"/>
  <c r="AO50" i="25"/>
  <c r="AP50" i="25"/>
  <c r="AQ50" i="25"/>
  <c r="AR50" i="25"/>
  <c r="AS50" i="25"/>
  <c r="AT50" i="25"/>
  <c r="AU50" i="25"/>
  <c r="AV50" i="25"/>
  <c r="AW50" i="25"/>
  <c r="AX50" i="25"/>
  <c r="AY50" i="25"/>
  <c r="AZ50" i="25"/>
  <c r="BA50" i="25"/>
  <c r="BB50" i="25"/>
  <c r="BC50" i="25"/>
  <c r="BD50" i="25"/>
  <c r="BE50" i="25"/>
  <c r="BF50" i="25"/>
  <c r="BG50" i="25"/>
  <c r="BH50" i="25"/>
  <c r="BI50" i="25"/>
  <c r="BJ50" i="25"/>
  <c r="BK50" i="25"/>
  <c r="BL50" i="25"/>
  <c r="BM50" i="25"/>
  <c r="BN50" i="25"/>
  <c r="BO50" i="25"/>
  <c r="BP50" i="25"/>
  <c r="BQ50" i="25"/>
  <c r="BR50" i="25"/>
  <c r="BS50" i="25"/>
  <c r="BT50" i="25"/>
  <c r="BU50" i="25"/>
  <c r="BV50" i="25"/>
  <c r="BW50" i="25"/>
  <c r="BX50" i="25"/>
  <c r="BY50" i="25"/>
  <c r="BZ50" i="25"/>
  <c r="CA50" i="25"/>
  <c r="CB50" i="25"/>
  <c r="CC50" i="25"/>
  <c r="CD50" i="25"/>
  <c r="CE50" i="25"/>
  <c r="CF50" i="25"/>
  <c r="CG50" i="25"/>
  <c r="CH50" i="25"/>
  <c r="E51" i="25"/>
  <c r="F51" i="25"/>
  <c r="G51" i="25"/>
  <c r="H51" i="25"/>
  <c r="I51" i="25"/>
  <c r="J51" i="25"/>
  <c r="K51" i="25"/>
  <c r="L51" i="25"/>
  <c r="M51" i="25"/>
  <c r="N51" i="25"/>
  <c r="O51" i="25"/>
  <c r="P51" i="25"/>
  <c r="Q51" i="25"/>
  <c r="R51" i="25"/>
  <c r="S51" i="25"/>
  <c r="T51" i="25"/>
  <c r="U51" i="25"/>
  <c r="V51" i="25"/>
  <c r="W51" i="25"/>
  <c r="X51" i="25"/>
  <c r="Y51" i="25"/>
  <c r="Z51" i="25"/>
  <c r="AA51" i="25"/>
  <c r="AB51" i="25"/>
  <c r="AC51" i="25"/>
  <c r="AD51" i="25"/>
  <c r="AE51" i="25"/>
  <c r="AF51" i="25"/>
  <c r="AG51" i="25"/>
  <c r="AH51" i="25"/>
  <c r="AI51" i="25"/>
  <c r="AJ51" i="25"/>
  <c r="AK51" i="25"/>
  <c r="AL51" i="25"/>
  <c r="AM51" i="25"/>
  <c r="AN51" i="25"/>
  <c r="AO51" i="25"/>
  <c r="AP51" i="25"/>
  <c r="AQ51" i="25"/>
  <c r="AR51" i="25"/>
  <c r="AS51" i="25"/>
  <c r="AT51" i="25"/>
  <c r="AU51" i="25"/>
  <c r="AV51" i="25"/>
  <c r="AW51" i="25"/>
  <c r="AX51" i="25"/>
  <c r="AY51" i="25"/>
  <c r="AZ51" i="25"/>
  <c r="BA51" i="25"/>
  <c r="BB51" i="25"/>
  <c r="BC51" i="25"/>
  <c r="BD51" i="25"/>
  <c r="BE51" i="25"/>
  <c r="BF51" i="25"/>
  <c r="BG51" i="25"/>
  <c r="BH51" i="25"/>
  <c r="BI51" i="25"/>
  <c r="BJ51" i="25"/>
  <c r="BK51" i="25"/>
  <c r="BL51" i="25"/>
  <c r="BM51" i="25"/>
  <c r="BN51" i="25"/>
  <c r="BO51" i="25"/>
  <c r="BP51" i="25"/>
  <c r="BQ51" i="25"/>
  <c r="BR51" i="25"/>
  <c r="BS51" i="25"/>
  <c r="BT51" i="25"/>
  <c r="BU51" i="25"/>
  <c r="BV51" i="25"/>
  <c r="BW51" i="25"/>
  <c r="BX51" i="25"/>
  <c r="BY51" i="25"/>
  <c r="BZ51" i="25"/>
  <c r="CA51" i="25"/>
  <c r="CB51" i="25"/>
  <c r="CC51" i="25"/>
  <c r="CD51" i="25"/>
  <c r="CE51" i="25"/>
  <c r="CF51" i="25"/>
  <c r="CG51" i="25"/>
  <c r="CH51" i="25"/>
  <c r="E52" i="25"/>
  <c r="F52" i="25"/>
  <c r="G52" i="25"/>
  <c r="H52" i="25"/>
  <c r="I52" i="25"/>
  <c r="J52" i="25"/>
  <c r="K52" i="25"/>
  <c r="L52" i="25"/>
  <c r="M52" i="25"/>
  <c r="N52" i="25"/>
  <c r="O52" i="25"/>
  <c r="P52" i="25"/>
  <c r="Q52" i="25"/>
  <c r="R52" i="25"/>
  <c r="S52" i="25"/>
  <c r="T52" i="25"/>
  <c r="U52" i="25"/>
  <c r="V52" i="25"/>
  <c r="W52" i="25"/>
  <c r="X52" i="25"/>
  <c r="Y52" i="25"/>
  <c r="Z52" i="25"/>
  <c r="AA52" i="25"/>
  <c r="AB52" i="25"/>
  <c r="AC52" i="25"/>
  <c r="AD52" i="25"/>
  <c r="AE52" i="25"/>
  <c r="AF52" i="25"/>
  <c r="AG52" i="25"/>
  <c r="AH52" i="25"/>
  <c r="AI52" i="25"/>
  <c r="AJ52" i="25"/>
  <c r="AK52" i="25"/>
  <c r="AL52" i="25"/>
  <c r="AM52" i="25"/>
  <c r="AN52" i="25"/>
  <c r="AO52" i="25"/>
  <c r="AP52" i="25"/>
  <c r="AQ52" i="25"/>
  <c r="AR52" i="25"/>
  <c r="AS52" i="25"/>
  <c r="AT52" i="25"/>
  <c r="AU52" i="25"/>
  <c r="AV52" i="25"/>
  <c r="AW52" i="25"/>
  <c r="AX52" i="25"/>
  <c r="AY52" i="25"/>
  <c r="AZ52" i="25"/>
  <c r="BA52" i="25"/>
  <c r="BB52" i="25"/>
  <c r="BC52" i="25"/>
  <c r="BD52" i="25"/>
  <c r="BE52" i="25"/>
  <c r="BF52" i="25"/>
  <c r="BG52" i="25"/>
  <c r="BH52" i="25"/>
  <c r="BI52" i="25"/>
  <c r="BJ52" i="25"/>
  <c r="BK52" i="25"/>
  <c r="BL52" i="25"/>
  <c r="BM52" i="25"/>
  <c r="BN52" i="25"/>
  <c r="BO52" i="25"/>
  <c r="BP52" i="25"/>
  <c r="BQ52" i="25"/>
  <c r="BR52" i="25"/>
  <c r="BS52" i="25"/>
  <c r="BT52" i="25"/>
  <c r="BU52" i="25"/>
  <c r="BV52" i="25"/>
  <c r="BW52" i="25"/>
  <c r="BX52" i="25"/>
  <c r="BY52" i="25"/>
  <c r="BZ52" i="25"/>
  <c r="CA52" i="25"/>
  <c r="CB52" i="25"/>
  <c r="CC52" i="25"/>
  <c r="CD52" i="25"/>
  <c r="CE52" i="25"/>
  <c r="CF52" i="25"/>
  <c r="CG52" i="25"/>
  <c r="CH52" i="25"/>
  <c r="E53" i="25"/>
  <c r="F53" i="25"/>
  <c r="G53" i="25"/>
  <c r="H53" i="25"/>
  <c r="I53" i="25"/>
  <c r="J53" i="25"/>
  <c r="K53" i="25"/>
  <c r="L53" i="25"/>
  <c r="M53" i="25"/>
  <c r="N53" i="25"/>
  <c r="O53" i="25"/>
  <c r="P53" i="25"/>
  <c r="Q53" i="25"/>
  <c r="R53" i="25"/>
  <c r="S53" i="25"/>
  <c r="T53" i="25"/>
  <c r="U53" i="25"/>
  <c r="V53" i="25"/>
  <c r="W53" i="25"/>
  <c r="X53" i="25"/>
  <c r="Y53" i="25"/>
  <c r="Z53" i="25"/>
  <c r="AA53" i="25"/>
  <c r="AB53" i="25"/>
  <c r="AC53" i="25"/>
  <c r="AD53" i="25"/>
  <c r="AE53" i="25"/>
  <c r="AF53" i="25"/>
  <c r="AG53" i="25"/>
  <c r="AH53" i="25"/>
  <c r="AI53" i="25"/>
  <c r="AJ53" i="25"/>
  <c r="AK53" i="25"/>
  <c r="AL53" i="25"/>
  <c r="AM53" i="25"/>
  <c r="AN53" i="25"/>
  <c r="AO53" i="25"/>
  <c r="AP53" i="25"/>
  <c r="AQ53" i="25"/>
  <c r="AR53" i="25"/>
  <c r="AS53" i="25"/>
  <c r="AT53" i="25"/>
  <c r="AU53" i="25"/>
  <c r="AV53" i="25"/>
  <c r="AW53" i="25"/>
  <c r="AX53" i="25"/>
  <c r="AY53" i="25"/>
  <c r="AZ53" i="25"/>
  <c r="BA53" i="25"/>
  <c r="BB53" i="25"/>
  <c r="BC53" i="25"/>
  <c r="BD53" i="25"/>
  <c r="BE53" i="25"/>
  <c r="BF53" i="25"/>
  <c r="BG53" i="25"/>
  <c r="BH53" i="25"/>
  <c r="BI53" i="25"/>
  <c r="BJ53" i="25"/>
  <c r="BK53" i="25"/>
  <c r="BL53" i="25"/>
  <c r="BM53" i="25"/>
  <c r="BN53" i="25"/>
  <c r="BO53" i="25"/>
  <c r="BP53" i="25"/>
  <c r="BQ53" i="25"/>
  <c r="BR53" i="25"/>
  <c r="BS53" i="25"/>
  <c r="BT53" i="25"/>
  <c r="BU53" i="25"/>
  <c r="BV53" i="25"/>
  <c r="BW53" i="25"/>
  <c r="BX53" i="25"/>
  <c r="BY53" i="25"/>
  <c r="BZ53" i="25"/>
  <c r="CA53" i="25"/>
  <c r="CB53" i="25"/>
  <c r="CC53" i="25"/>
  <c r="CD53" i="25"/>
  <c r="CE53" i="25"/>
  <c r="CF53" i="25"/>
  <c r="CG53" i="25"/>
  <c r="CH53" i="25"/>
  <c r="E54" i="25"/>
  <c r="F54" i="25"/>
  <c r="G54" i="25"/>
  <c r="H54" i="25"/>
  <c r="I54" i="25"/>
  <c r="J54" i="25"/>
  <c r="K54" i="25"/>
  <c r="L54" i="25"/>
  <c r="M54" i="25"/>
  <c r="N54" i="25"/>
  <c r="O54" i="25"/>
  <c r="P54" i="25"/>
  <c r="Q54" i="25"/>
  <c r="R54" i="25"/>
  <c r="S54" i="25"/>
  <c r="T54" i="25"/>
  <c r="U54" i="25"/>
  <c r="V54" i="25"/>
  <c r="W54" i="25"/>
  <c r="X54" i="25"/>
  <c r="Y54" i="25"/>
  <c r="Z54" i="25"/>
  <c r="AA54" i="25"/>
  <c r="AB54" i="25"/>
  <c r="AC54" i="25"/>
  <c r="AD54" i="25"/>
  <c r="AE54" i="25"/>
  <c r="AF54" i="25"/>
  <c r="AG54" i="25"/>
  <c r="AH54" i="25"/>
  <c r="AI54" i="25"/>
  <c r="AJ54" i="25"/>
  <c r="AK54" i="25"/>
  <c r="AL54" i="25"/>
  <c r="AM54" i="25"/>
  <c r="AN54" i="25"/>
  <c r="AO54" i="25"/>
  <c r="AP54" i="25"/>
  <c r="AQ54" i="25"/>
  <c r="AR54" i="25"/>
  <c r="AS54" i="25"/>
  <c r="AT54" i="25"/>
  <c r="AU54" i="25"/>
  <c r="AV54" i="25"/>
  <c r="AW54" i="25"/>
  <c r="AX54" i="25"/>
  <c r="AY54" i="25"/>
  <c r="AZ54" i="25"/>
  <c r="BA54" i="25"/>
  <c r="BB54" i="25"/>
  <c r="BC54" i="25"/>
  <c r="BD54" i="25"/>
  <c r="BE54" i="25"/>
  <c r="BF54" i="25"/>
  <c r="BG54" i="25"/>
  <c r="BH54" i="25"/>
  <c r="BI54" i="25"/>
  <c r="BJ54" i="25"/>
  <c r="BK54" i="25"/>
  <c r="BL54" i="25"/>
  <c r="BM54" i="25"/>
  <c r="BN54" i="25"/>
  <c r="BO54" i="25"/>
  <c r="BP54" i="25"/>
  <c r="BQ54" i="25"/>
  <c r="BR54" i="25"/>
  <c r="BS54" i="25"/>
  <c r="BT54" i="25"/>
  <c r="BU54" i="25"/>
  <c r="BV54" i="25"/>
  <c r="BW54" i="25"/>
  <c r="BX54" i="25"/>
  <c r="BY54" i="25"/>
  <c r="BZ54" i="25"/>
  <c r="CA54" i="25"/>
  <c r="CB54" i="25"/>
  <c r="CC54" i="25"/>
  <c r="CD54" i="25"/>
  <c r="CE54" i="25"/>
  <c r="CF54" i="25"/>
  <c r="CG54" i="25"/>
  <c r="CH54" i="25"/>
  <c r="E55" i="25"/>
  <c r="F55" i="25"/>
  <c r="G55" i="25"/>
  <c r="H55" i="25"/>
  <c r="I55" i="25"/>
  <c r="J55" i="25"/>
  <c r="K55" i="25"/>
  <c r="L55" i="25"/>
  <c r="M55" i="25"/>
  <c r="N55" i="25"/>
  <c r="O55" i="25"/>
  <c r="P55" i="25"/>
  <c r="Q55" i="25"/>
  <c r="R55" i="25"/>
  <c r="S55" i="25"/>
  <c r="T55" i="25"/>
  <c r="U55" i="25"/>
  <c r="V55" i="25"/>
  <c r="W55" i="25"/>
  <c r="X55" i="25"/>
  <c r="Y55" i="25"/>
  <c r="Z55" i="25"/>
  <c r="AA55" i="25"/>
  <c r="AB55" i="25"/>
  <c r="AC55" i="25"/>
  <c r="AD55" i="25"/>
  <c r="AE55" i="25"/>
  <c r="AF55" i="25"/>
  <c r="AG55" i="25"/>
  <c r="AH55" i="25"/>
  <c r="AI55" i="25"/>
  <c r="AJ55" i="25"/>
  <c r="AK55" i="25"/>
  <c r="AL55" i="25"/>
  <c r="AM55" i="25"/>
  <c r="AN55" i="25"/>
  <c r="AO55" i="25"/>
  <c r="AP55" i="25"/>
  <c r="AQ55" i="25"/>
  <c r="AR55" i="25"/>
  <c r="AS55" i="25"/>
  <c r="AT55" i="25"/>
  <c r="AU55" i="25"/>
  <c r="AV55" i="25"/>
  <c r="AW55" i="25"/>
  <c r="AX55" i="25"/>
  <c r="AY55" i="25"/>
  <c r="AZ55" i="25"/>
  <c r="BA55" i="25"/>
  <c r="BB55" i="25"/>
  <c r="BC55" i="25"/>
  <c r="BD55" i="25"/>
  <c r="BE55" i="25"/>
  <c r="BF55" i="25"/>
  <c r="BG55" i="25"/>
  <c r="BH55" i="25"/>
  <c r="BI55" i="25"/>
  <c r="BJ55" i="25"/>
  <c r="BK55" i="25"/>
  <c r="BL55" i="25"/>
  <c r="BM55" i="25"/>
  <c r="BN55" i="25"/>
  <c r="BO55" i="25"/>
  <c r="BP55" i="25"/>
  <c r="BQ55" i="25"/>
  <c r="BR55" i="25"/>
  <c r="BS55" i="25"/>
  <c r="BT55" i="25"/>
  <c r="BU55" i="25"/>
  <c r="BV55" i="25"/>
  <c r="BW55" i="25"/>
  <c r="BX55" i="25"/>
  <c r="BY55" i="25"/>
  <c r="BZ55" i="25"/>
  <c r="CA55" i="25"/>
  <c r="CB55" i="25"/>
  <c r="CC55" i="25"/>
  <c r="CD55" i="25"/>
  <c r="CE55" i="25"/>
  <c r="CF55" i="25"/>
  <c r="CG55" i="25"/>
  <c r="CH55" i="25"/>
  <c r="E56" i="25"/>
  <c r="F56" i="25"/>
  <c r="G56" i="25"/>
  <c r="H56" i="25"/>
  <c r="I56" i="25"/>
  <c r="J56" i="25"/>
  <c r="K56" i="25"/>
  <c r="L56" i="25"/>
  <c r="M56" i="25"/>
  <c r="N56" i="25"/>
  <c r="O56" i="25"/>
  <c r="P56" i="25"/>
  <c r="Q56" i="25"/>
  <c r="R56" i="25"/>
  <c r="S56" i="25"/>
  <c r="T56" i="25"/>
  <c r="U56" i="25"/>
  <c r="V56" i="25"/>
  <c r="W56" i="25"/>
  <c r="X56" i="25"/>
  <c r="Y56" i="25"/>
  <c r="Z56" i="25"/>
  <c r="AA56" i="25"/>
  <c r="AB56" i="25"/>
  <c r="AC56" i="25"/>
  <c r="AD56" i="25"/>
  <c r="AE56" i="25"/>
  <c r="AF56" i="25"/>
  <c r="AG56" i="25"/>
  <c r="AH56" i="25"/>
  <c r="AI56" i="25"/>
  <c r="AJ56" i="25"/>
  <c r="AK56" i="25"/>
  <c r="AL56" i="25"/>
  <c r="AM56" i="25"/>
  <c r="AN56" i="25"/>
  <c r="AO56" i="25"/>
  <c r="AP56" i="25"/>
  <c r="AQ56" i="25"/>
  <c r="AR56" i="25"/>
  <c r="AS56" i="25"/>
  <c r="AT56" i="25"/>
  <c r="AU56" i="25"/>
  <c r="AV56" i="25"/>
  <c r="AW56" i="25"/>
  <c r="AX56" i="25"/>
  <c r="AY56" i="25"/>
  <c r="AZ56" i="25"/>
  <c r="BA56" i="25"/>
  <c r="BB56" i="25"/>
  <c r="BC56" i="25"/>
  <c r="BD56" i="25"/>
  <c r="BE56" i="25"/>
  <c r="BF56" i="25"/>
  <c r="BG56" i="25"/>
  <c r="BH56" i="25"/>
  <c r="BI56" i="25"/>
  <c r="BJ56" i="25"/>
  <c r="BK56" i="25"/>
  <c r="BL56" i="25"/>
  <c r="BM56" i="25"/>
  <c r="BN56" i="25"/>
  <c r="BO56" i="25"/>
  <c r="BP56" i="25"/>
  <c r="BQ56" i="25"/>
  <c r="BR56" i="25"/>
  <c r="BS56" i="25"/>
  <c r="BT56" i="25"/>
  <c r="BU56" i="25"/>
  <c r="BV56" i="25"/>
  <c r="BW56" i="25"/>
  <c r="BX56" i="25"/>
  <c r="BY56" i="25"/>
  <c r="BZ56" i="25"/>
  <c r="CA56" i="25"/>
  <c r="CB56" i="25"/>
  <c r="CC56" i="25"/>
  <c r="CD56" i="25"/>
  <c r="CE56" i="25"/>
  <c r="CF56" i="25"/>
  <c r="CG56" i="25"/>
  <c r="CH56" i="25"/>
  <c r="E57" i="25"/>
  <c r="F57" i="25"/>
  <c r="G57" i="25"/>
  <c r="H57" i="25"/>
  <c r="I57" i="25"/>
  <c r="J57" i="25"/>
  <c r="K57" i="25"/>
  <c r="L57" i="25"/>
  <c r="M57" i="25"/>
  <c r="N57" i="25"/>
  <c r="O57" i="25"/>
  <c r="P57" i="25"/>
  <c r="Q57" i="25"/>
  <c r="R57" i="25"/>
  <c r="S57" i="25"/>
  <c r="T57" i="25"/>
  <c r="U57" i="25"/>
  <c r="V57" i="25"/>
  <c r="W57" i="25"/>
  <c r="X57" i="25"/>
  <c r="Y57" i="25"/>
  <c r="Z57" i="25"/>
  <c r="AA57" i="25"/>
  <c r="AB57" i="25"/>
  <c r="AC57" i="25"/>
  <c r="AD57" i="25"/>
  <c r="AE57" i="25"/>
  <c r="AF57" i="25"/>
  <c r="AG57" i="25"/>
  <c r="AH57" i="25"/>
  <c r="AI57" i="25"/>
  <c r="AJ57" i="25"/>
  <c r="AK57" i="25"/>
  <c r="AL57" i="25"/>
  <c r="AM57" i="25"/>
  <c r="AN57" i="25"/>
  <c r="AO57" i="25"/>
  <c r="AP57" i="25"/>
  <c r="AQ57" i="25"/>
  <c r="AR57" i="25"/>
  <c r="AS57" i="25"/>
  <c r="AT57" i="25"/>
  <c r="AU57" i="25"/>
  <c r="AV57" i="25"/>
  <c r="AW57" i="25"/>
  <c r="AX57" i="25"/>
  <c r="AY57" i="25"/>
  <c r="AZ57" i="25"/>
  <c r="BA57" i="25"/>
  <c r="BB57" i="25"/>
  <c r="BC57" i="25"/>
  <c r="BD57" i="25"/>
  <c r="BE57" i="25"/>
  <c r="BF57" i="25"/>
  <c r="BG57" i="25"/>
  <c r="BH57" i="25"/>
  <c r="BI57" i="25"/>
  <c r="BJ57" i="25"/>
  <c r="BK57" i="25"/>
  <c r="BL57" i="25"/>
  <c r="BM57" i="25"/>
  <c r="BN57" i="25"/>
  <c r="BO57" i="25"/>
  <c r="BP57" i="25"/>
  <c r="BQ57" i="25"/>
  <c r="BR57" i="25"/>
  <c r="BS57" i="25"/>
  <c r="BT57" i="25"/>
  <c r="BU57" i="25"/>
  <c r="BV57" i="25"/>
  <c r="BW57" i="25"/>
  <c r="BX57" i="25"/>
  <c r="BY57" i="25"/>
  <c r="BZ57" i="25"/>
  <c r="CA57" i="25"/>
  <c r="CB57" i="25"/>
  <c r="CC57" i="25"/>
  <c r="CD57" i="25"/>
  <c r="CE57" i="25"/>
  <c r="CF57" i="25"/>
  <c r="CG57" i="25"/>
  <c r="CH57" i="25"/>
  <c r="E58" i="25"/>
  <c r="F58" i="25"/>
  <c r="G58" i="25"/>
  <c r="H58" i="25"/>
  <c r="I58" i="25"/>
  <c r="J58" i="25"/>
  <c r="K58" i="25"/>
  <c r="L58" i="25"/>
  <c r="M58" i="25"/>
  <c r="N58" i="25"/>
  <c r="O58" i="25"/>
  <c r="P58" i="25"/>
  <c r="Q58" i="25"/>
  <c r="R58" i="25"/>
  <c r="S58" i="25"/>
  <c r="T58" i="25"/>
  <c r="U58" i="25"/>
  <c r="V58" i="25"/>
  <c r="W58" i="25"/>
  <c r="X58" i="25"/>
  <c r="Y58" i="25"/>
  <c r="Z58" i="25"/>
  <c r="AA58" i="25"/>
  <c r="AB58" i="25"/>
  <c r="AC58" i="25"/>
  <c r="AD58" i="25"/>
  <c r="AE58" i="25"/>
  <c r="AF58" i="25"/>
  <c r="AG58" i="25"/>
  <c r="AH58" i="25"/>
  <c r="AI58" i="25"/>
  <c r="AJ58" i="25"/>
  <c r="AK58" i="25"/>
  <c r="AL58" i="25"/>
  <c r="AM58" i="25"/>
  <c r="AN58" i="25"/>
  <c r="AO58" i="25"/>
  <c r="AP58" i="25"/>
  <c r="AQ58" i="25"/>
  <c r="AR58" i="25"/>
  <c r="AS58" i="25"/>
  <c r="AT58" i="25"/>
  <c r="AU58" i="25"/>
  <c r="AV58" i="25"/>
  <c r="AW58" i="25"/>
  <c r="AX58" i="25"/>
  <c r="AY58" i="25"/>
  <c r="AZ58" i="25"/>
  <c r="BA58" i="25"/>
  <c r="BB58" i="25"/>
  <c r="BC58" i="25"/>
  <c r="BD58" i="25"/>
  <c r="BE58" i="25"/>
  <c r="BF58" i="25"/>
  <c r="BG58" i="25"/>
  <c r="BH58" i="25"/>
  <c r="BI58" i="25"/>
  <c r="BJ58" i="25"/>
  <c r="BK58" i="25"/>
  <c r="BL58" i="25"/>
  <c r="BM58" i="25"/>
  <c r="BN58" i="25"/>
  <c r="BO58" i="25"/>
  <c r="BP58" i="25"/>
  <c r="BQ58" i="25"/>
  <c r="BR58" i="25"/>
  <c r="BS58" i="25"/>
  <c r="BT58" i="25"/>
  <c r="BU58" i="25"/>
  <c r="BV58" i="25"/>
  <c r="BW58" i="25"/>
  <c r="BX58" i="25"/>
  <c r="BY58" i="25"/>
  <c r="BZ58" i="25"/>
  <c r="CA58" i="25"/>
  <c r="CB58" i="25"/>
  <c r="CC58" i="25"/>
  <c r="CD58" i="25"/>
  <c r="CE58" i="25"/>
  <c r="CF58" i="25"/>
  <c r="CG58" i="25"/>
  <c r="CH58" i="25"/>
  <c r="E59" i="25"/>
  <c r="F59" i="25"/>
  <c r="G59" i="25"/>
  <c r="H59" i="25"/>
  <c r="I59" i="25"/>
  <c r="J59" i="25"/>
  <c r="K59" i="25"/>
  <c r="L59" i="25"/>
  <c r="M59" i="25"/>
  <c r="N59" i="25"/>
  <c r="O59" i="25"/>
  <c r="P59" i="25"/>
  <c r="Q59" i="25"/>
  <c r="R59" i="25"/>
  <c r="S59" i="25"/>
  <c r="T59" i="25"/>
  <c r="U59" i="25"/>
  <c r="V59" i="25"/>
  <c r="W59" i="25"/>
  <c r="X59" i="25"/>
  <c r="Y59" i="25"/>
  <c r="Z59" i="25"/>
  <c r="AA59" i="25"/>
  <c r="AB59" i="25"/>
  <c r="AC59" i="25"/>
  <c r="AD59" i="25"/>
  <c r="AE59" i="25"/>
  <c r="AF59" i="25"/>
  <c r="AG59" i="25"/>
  <c r="AH59" i="25"/>
  <c r="AI59" i="25"/>
  <c r="AJ59" i="25"/>
  <c r="AK59" i="25"/>
  <c r="AL59" i="25"/>
  <c r="AM59" i="25"/>
  <c r="AN59" i="25"/>
  <c r="AO59" i="25"/>
  <c r="AP59" i="25"/>
  <c r="AQ59" i="25"/>
  <c r="AR59" i="25"/>
  <c r="AS59" i="25"/>
  <c r="AT59" i="25"/>
  <c r="AU59" i="25"/>
  <c r="AV59" i="25"/>
  <c r="AW59" i="25"/>
  <c r="AX59" i="25"/>
  <c r="AY59" i="25"/>
  <c r="AZ59" i="25"/>
  <c r="BA59" i="25"/>
  <c r="BB59" i="25"/>
  <c r="BC59" i="25"/>
  <c r="BD59" i="25"/>
  <c r="BE59" i="25"/>
  <c r="BF59" i="25"/>
  <c r="BG59" i="25"/>
  <c r="BH59" i="25"/>
  <c r="BI59" i="25"/>
  <c r="BJ59" i="25"/>
  <c r="BK59" i="25"/>
  <c r="BL59" i="25"/>
  <c r="BM59" i="25"/>
  <c r="BN59" i="25"/>
  <c r="BO59" i="25"/>
  <c r="BP59" i="25"/>
  <c r="BQ59" i="25"/>
  <c r="BR59" i="25"/>
  <c r="BS59" i="25"/>
  <c r="BT59" i="25"/>
  <c r="BU59" i="25"/>
  <c r="BV59" i="25"/>
  <c r="BW59" i="25"/>
  <c r="BX59" i="25"/>
  <c r="BY59" i="25"/>
  <c r="BZ59" i="25"/>
  <c r="CA59" i="25"/>
  <c r="CB59" i="25"/>
  <c r="CC59" i="25"/>
  <c r="CD59" i="25"/>
  <c r="CE59" i="25"/>
  <c r="CF59" i="25"/>
  <c r="CG59" i="25"/>
  <c r="CH59" i="25"/>
  <c r="E60" i="25"/>
  <c r="F60" i="25"/>
  <c r="G60" i="25"/>
  <c r="H60" i="25"/>
  <c r="I60" i="25"/>
  <c r="J60" i="25"/>
  <c r="K60" i="25"/>
  <c r="L60" i="25"/>
  <c r="M60" i="25"/>
  <c r="N60" i="25"/>
  <c r="O60" i="25"/>
  <c r="P60" i="25"/>
  <c r="Q60" i="25"/>
  <c r="R60" i="25"/>
  <c r="S60" i="25"/>
  <c r="T60" i="25"/>
  <c r="U60" i="25"/>
  <c r="V60" i="25"/>
  <c r="W60" i="25"/>
  <c r="X60" i="25"/>
  <c r="Y60" i="25"/>
  <c r="Z60" i="25"/>
  <c r="AA60" i="25"/>
  <c r="AB60" i="25"/>
  <c r="AC60" i="25"/>
  <c r="AD60" i="25"/>
  <c r="AE60" i="25"/>
  <c r="AF60" i="25"/>
  <c r="AG60" i="25"/>
  <c r="AH60" i="25"/>
  <c r="AI60" i="25"/>
  <c r="AJ60" i="25"/>
  <c r="AK60" i="25"/>
  <c r="AL60" i="25"/>
  <c r="AM60" i="25"/>
  <c r="AN60" i="25"/>
  <c r="AO60" i="25"/>
  <c r="AP60" i="25"/>
  <c r="AQ60" i="25"/>
  <c r="AR60" i="25"/>
  <c r="AS60" i="25"/>
  <c r="AT60" i="25"/>
  <c r="AU60" i="25"/>
  <c r="AV60" i="25"/>
  <c r="AW60" i="25"/>
  <c r="AX60" i="25"/>
  <c r="AY60" i="25"/>
  <c r="AZ60" i="25"/>
  <c r="BA60" i="25"/>
  <c r="BB60" i="25"/>
  <c r="BC60" i="25"/>
  <c r="BD60" i="25"/>
  <c r="BE60" i="25"/>
  <c r="BF60" i="25"/>
  <c r="BG60" i="25"/>
  <c r="BH60" i="25"/>
  <c r="BI60" i="25"/>
  <c r="BJ60" i="25"/>
  <c r="BK60" i="25"/>
  <c r="BL60" i="25"/>
  <c r="BM60" i="25"/>
  <c r="BN60" i="25"/>
  <c r="BO60" i="25"/>
  <c r="BP60" i="25"/>
  <c r="BQ60" i="25"/>
  <c r="BR60" i="25"/>
  <c r="BS60" i="25"/>
  <c r="BT60" i="25"/>
  <c r="BU60" i="25"/>
  <c r="BV60" i="25"/>
  <c r="BW60" i="25"/>
  <c r="BX60" i="25"/>
  <c r="BY60" i="25"/>
  <c r="BZ60" i="25"/>
  <c r="CA60" i="25"/>
  <c r="CB60" i="25"/>
  <c r="CC60" i="25"/>
  <c r="CD60" i="25"/>
  <c r="CE60" i="25"/>
  <c r="CF60" i="25"/>
  <c r="CG60" i="25"/>
  <c r="CH60" i="25"/>
  <c r="E61" i="25"/>
  <c r="F61" i="25"/>
  <c r="G61" i="25"/>
  <c r="H61" i="25"/>
  <c r="I61" i="25"/>
  <c r="J61" i="25"/>
  <c r="K61" i="25"/>
  <c r="L61" i="25"/>
  <c r="M61" i="25"/>
  <c r="N61" i="25"/>
  <c r="O61" i="25"/>
  <c r="P61" i="25"/>
  <c r="Q61" i="25"/>
  <c r="R61" i="25"/>
  <c r="S61" i="25"/>
  <c r="T61" i="25"/>
  <c r="U61" i="25"/>
  <c r="V61" i="25"/>
  <c r="W61" i="25"/>
  <c r="X61" i="25"/>
  <c r="Y61" i="25"/>
  <c r="Z61" i="25"/>
  <c r="AA61" i="25"/>
  <c r="AB61" i="25"/>
  <c r="AC61" i="25"/>
  <c r="AD61" i="25"/>
  <c r="AE61" i="25"/>
  <c r="AF61" i="25"/>
  <c r="AG61" i="25"/>
  <c r="AH61" i="25"/>
  <c r="AI61" i="25"/>
  <c r="AJ61" i="25"/>
  <c r="AK61" i="25"/>
  <c r="AL61" i="25"/>
  <c r="AM61" i="25"/>
  <c r="AN61" i="25"/>
  <c r="AO61" i="25"/>
  <c r="AP61" i="25"/>
  <c r="AQ61" i="25"/>
  <c r="AR61" i="25"/>
  <c r="AS61" i="25"/>
  <c r="AT61" i="25"/>
  <c r="AU61" i="25"/>
  <c r="AV61" i="25"/>
  <c r="AW61" i="25"/>
  <c r="AX61" i="25"/>
  <c r="AY61" i="25"/>
  <c r="AZ61" i="25"/>
  <c r="BA61" i="25"/>
  <c r="BB61" i="25"/>
  <c r="BC61" i="25"/>
  <c r="BD61" i="25"/>
  <c r="BE61" i="25"/>
  <c r="BF61" i="25"/>
  <c r="BG61" i="25"/>
  <c r="BH61" i="25"/>
  <c r="BI61" i="25"/>
  <c r="BJ61" i="25"/>
  <c r="BK61" i="25"/>
  <c r="BL61" i="25"/>
  <c r="BM61" i="25"/>
  <c r="BN61" i="25"/>
  <c r="BO61" i="25"/>
  <c r="BP61" i="25"/>
  <c r="BQ61" i="25"/>
  <c r="BR61" i="25"/>
  <c r="BS61" i="25"/>
  <c r="BT61" i="25"/>
  <c r="BU61" i="25"/>
  <c r="BV61" i="25"/>
  <c r="BW61" i="25"/>
  <c r="BX61" i="25"/>
  <c r="BY61" i="25"/>
  <c r="BZ61" i="25"/>
  <c r="CA61" i="25"/>
  <c r="CB61" i="25"/>
  <c r="CC61" i="25"/>
  <c r="CD61" i="25"/>
  <c r="CE61" i="25"/>
  <c r="CF61" i="25"/>
  <c r="CG61" i="25"/>
  <c r="CH61" i="25"/>
  <c r="E62" i="25"/>
  <c r="F62" i="25"/>
  <c r="G62" i="25"/>
  <c r="H62" i="25"/>
  <c r="I62" i="25"/>
  <c r="J62" i="25"/>
  <c r="K62" i="25"/>
  <c r="L62" i="25"/>
  <c r="M62" i="25"/>
  <c r="N62" i="25"/>
  <c r="O62" i="25"/>
  <c r="P62" i="25"/>
  <c r="Q62" i="25"/>
  <c r="R62" i="25"/>
  <c r="S62" i="25"/>
  <c r="T62" i="25"/>
  <c r="U62" i="25"/>
  <c r="V62" i="25"/>
  <c r="W62" i="25"/>
  <c r="X62" i="25"/>
  <c r="Y62" i="25"/>
  <c r="Z62" i="25"/>
  <c r="AA62" i="25"/>
  <c r="AB62" i="25"/>
  <c r="AC62" i="25"/>
  <c r="AD62" i="25"/>
  <c r="AE62" i="25"/>
  <c r="AF62" i="25"/>
  <c r="AG62" i="25"/>
  <c r="AH62" i="25"/>
  <c r="AI62" i="25"/>
  <c r="AJ62" i="25"/>
  <c r="AK62" i="25"/>
  <c r="AL62" i="25"/>
  <c r="AM62" i="25"/>
  <c r="AN62" i="25"/>
  <c r="AO62" i="25"/>
  <c r="AP62" i="25"/>
  <c r="AQ62" i="25"/>
  <c r="AR62" i="25"/>
  <c r="AS62" i="25"/>
  <c r="AT62" i="25"/>
  <c r="AU62" i="25"/>
  <c r="AV62" i="25"/>
  <c r="AW62" i="25"/>
  <c r="AX62" i="25"/>
  <c r="AY62" i="25"/>
  <c r="AZ62" i="25"/>
  <c r="BA62" i="25"/>
  <c r="BB62" i="25"/>
  <c r="BC62" i="25"/>
  <c r="BD62" i="25"/>
  <c r="BE62" i="25"/>
  <c r="BF62" i="25"/>
  <c r="BG62" i="25"/>
  <c r="BH62" i="25"/>
  <c r="BI62" i="25"/>
  <c r="BJ62" i="25"/>
  <c r="BK62" i="25"/>
  <c r="BL62" i="25"/>
  <c r="BM62" i="25"/>
  <c r="BN62" i="25"/>
  <c r="BO62" i="25"/>
  <c r="BP62" i="25"/>
  <c r="BQ62" i="25"/>
  <c r="BR62" i="25"/>
  <c r="BS62" i="25"/>
  <c r="BT62" i="25"/>
  <c r="BU62" i="25"/>
  <c r="BV62" i="25"/>
  <c r="BW62" i="25"/>
  <c r="BX62" i="25"/>
  <c r="BY62" i="25"/>
  <c r="BZ62" i="25"/>
  <c r="CA62" i="25"/>
  <c r="CB62" i="25"/>
  <c r="CC62" i="25"/>
  <c r="CD62" i="25"/>
  <c r="CE62" i="25"/>
  <c r="CF62" i="25"/>
  <c r="CG62" i="25"/>
  <c r="CH62" i="25"/>
  <c r="E63" i="25"/>
  <c r="F63" i="25"/>
  <c r="G63" i="25"/>
  <c r="H63" i="25"/>
  <c r="I63" i="25"/>
  <c r="J63" i="25"/>
  <c r="K63" i="25"/>
  <c r="L63" i="25"/>
  <c r="M63" i="25"/>
  <c r="N63" i="25"/>
  <c r="O63" i="25"/>
  <c r="P63" i="25"/>
  <c r="Q63" i="25"/>
  <c r="R63" i="25"/>
  <c r="S63" i="25"/>
  <c r="T63" i="25"/>
  <c r="U63" i="25"/>
  <c r="V63" i="25"/>
  <c r="W63" i="25"/>
  <c r="X63" i="25"/>
  <c r="Y63" i="25"/>
  <c r="Z63" i="25"/>
  <c r="AA63" i="25"/>
  <c r="AB63" i="25"/>
  <c r="AC63" i="25"/>
  <c r="AD63" i="25"/>
  <c r="AE63" i="25"/>
  <c r="AF63" i="25"/>
  <c r="AG63" i="25"/>
  <c r="AH63" i="25"/>
  <c r="AI63" i="25"/>
  <c r="AJ63" i="25"/>
  <c r="AK63" i="25"/>
  <c r="AL63" i="25"/>
  <c r="AM63" i="25"/>
  <c r="AN63" i="25"/>
  <c r="AO63" i="25"/>
  <c r="AP63" i="25"/>
  <c r="AQ63" i="25"/>
  <c r="AR63" i="25"/>
  <c r="AS63" i="25"/>
  <c r="AT63" i="25"/>
  <c r="AU63" i="25"/>
  <c r="AV63" i="25"/>
  <c r="AW63" i="25"/>
  <c r="AX63" i="25"/>
  <c r="AY63" i="25"/>
  <c r="AZ63" i="25"/>
  <c r="BA63" i="25"/>
  <c r="BB63" i="25"/>
  <c r="BC63" i="25"/>
  <c r="BD63" i="25"/>
  <c r="BE63" i="25"/>
  <c r="BF63" i="25"/>
  <c r="BG63" i="25"/>
  <c r="BH63" i="25"/>
  <c r="BI63" i="25"/>
  <c r="BJ63" i="25"/>
  <c r="BK63" i="25"/>
  <c r="BL63" i="25"/>
  <c r="BM63" i="25"/>
  <c r="BN63" i="25"/>
  <c r="BO63" i="25"/>
  <c r="BP63" i="25"/>
  <c r="BQ63" i="25"/>
  <c r="BR63" i="25"/>
  <c r="BS63" i="25"/>
  <c r="BT63" i="25"/>
  <c r="BU63" i="25"/>
  <c r="BV63" i="25"/>
  <c r="BW63" i="25"/>
  <c r="BX63" i="25"/>
  <c r="BY63" i="25"/>
  <c r="BZ63" i="25"/>
  <c r="CA63" i="25"/>
  <c r="CB63" i="25"/>
  <c r="CC63" i="25"/>
  <c r="CD63" i="25"/>
  <c r="CE63" i="25"/>
  <c r="CF63" i="25"/>
  <c r="CG63" i="25"/>
  <c r="CH63" i="25"/>
  <c r="E64" i="25"/>
  <c r="F64" i="25"/>
  <c r="G64" i="25"/>
  <c r="H64" i="25"/>
  <c r="I64" i="25"/>
  <c r="J64" i="25"/>
  <c r="K64" i="25"/>
  <c r="L64" i="25"/>
  <c r="M64" i="25"/>
  <c r="N64" i="25"/>
  <c r="O64" i="25"/>
  <c r="P64" i="25"/>
  <c r="Q64" i="25"/>
  <c r="R64" i="25"/>
  <c r="S64" i="25"/>
  <c r="T64" i="25"/>
  <c r="U64" i="25"/>
  <c r="V64" i="25"/>
  <c r="W64" i="25"/>
  <c r="X64" i="25"/>
  <c r="Y64" i="25"/>
  <c r="Z64" i="25"/>
  <c r="AA64" i="25"/>
  <c r="AB64" i="25"/>
  <c r="AC64" i="25"/>
  <c r="AD64" i="25"/>
  <c r="AE64" i="25"/>
  <c r="AF64" i="25"/>
  <c r="AG64" i="25"/>
  <c r="AH64" i="25"/>
  <c r="AI64" i="25"/>
  <c r="AJ64" i="25"/>
  <c r="AK64" i="25"/>
  <c r="AL64" i="25"/>
  <c r="AM64" i="25"/>
  <c r="AN64" i="25"/>
  <c r="AO64" i="25"/>
  <c r="AP64" i="25"/>
  <c r="AQ64" i="25"/>
  <c r="AR64" i="25"/>
  <c r="AS64" i="25"/>
  <c r="AT64" i="25"/>
  <c r="AU64" i="25"/>
  <c r="AV64" i="25"/>
  <c r="AW64" i="25"/>
  <c r="AX64" i="25"/>
  <c r="AY64" i="25"/>
  <c r="AZ64" i="25"/>
  <c r="BA64" i="25"/>
  <c r="BB64" i="25"/>
  <c r="BC64" i="25"/>
  <c r="BD64" i="25"/>
  <c r="BE64" i="25"/>
  <c r="BF64" i="25"/>
  <c r="BG64" i="25"/>
  <c r="BH64" i="25"/>
  <c r="BI64" i="25"/>
  <c r="BJ64" i="25"/>
  <c r="BK64" i="25"/>
  <c r="BL64" i="25"/>
  <c r="BM64" i="25"/>
  <c r="BN64" i="25"/>
  <c r="BO64" i="25"/>
  <c r="BP64" i="25"/>
  <c r="BQ64" i="25"/>
  <c r="BR64" i="25"/>
  <c r="BS64" i="25"/>
  <c r="BT64" i="25"/>
  <c r="BU64" i="25"/>
  <c r="BV64" i="25"/>
  <c r="BW64" i="25"/>
  <c r="BX64" i="25"/>
  <c r="BY64" i="25"/>
  <c r="BZ64" i="25"/>
  <c r="CA64" i="25"/>
  <c r="CB64" i="25"/>
  <c r="CC64" i="25"/>
  <c r="CD64" i="25"/>
  <c r="CE64" i="25"/>
  <c r="CF64" i="25"/>
  <c r="CG64" i="25"/>
  <c r="CH64" i="25"/>
  <c r="E65" i="25"/>
  <c r="F65" i="25"/>
  <c r="G65" i="25"/>
  <c r="H65" i="25"/>
  <c r="I65" i="25"/>
  <c r="J65" i="25"/>
  <c r="K65" i="25"/>
  <c r="L65" i="25"/>
  <c r="M65" i="25"/>
  <c r="N65" i="25"/>
  <c r="O65" i="25"/>
  <c r="P65" i="25"/>
  <c r="Q65" i="25"/>
  <c r="R65" i="25"/>
  <c r="S65" i="25"/>
  <c r="T65" i="25"/>
  <c r="U65" i="25"/>
  <c r="V65" i="25"/>
  <c r="W65" i="25"/>
  <c r="X65" i="25"/>
  <c r="Y65" i="25"/>
  <c r="Z65" i="25"/>
  <c r="AA65" i="25"/>
  <c r="AB65" i="25"/>
  <c r="AC65" i="25"/>
  <c r="AD65" i="25"/>
  <c r="AE65" i="25"/>
  <c r="AF65" i="25"/>
  <c r="AG65" i="25"/>
  <c r="AH65" i="25"/>
  <c r="AI65" i="25"/>
  <c r="AJ65" i="25"/>
  <c r="AK65" i="25"/>
  <c r="AL65" i="25"/>
  <c r="AM65" i="25"/>
  <c r="AN65" i="25"/>
  <c r="AO65" i="25"/>
  <c r="AP65" i="25"/>
  <c r="AQ65" i="25"/>
  <c r="AR65" i="25"/>
  <c r="AS65" i="25"/>
  <c r="AT65" i="25"/>
  <c r="AU65" i="25"/>
  <c r="AV65" i="25"/>
  <c r="AW65" i="25"/>
  <c r="AX65" i="25"/>
  <c r="AY65" i="25"/>
  <c r="AZ65" i="25"/>
  <c r="BA65" i="25"/>
  <c r="BB65" i="25"/>
  <c r="BC65" i="25"/>
  <c r="BD65" i="25"/>
  <c r="BE65" i="25"/>
  <c r="BF65" i="25"/>
  <c r="BG65" i="25"/>
  <c r="BH65" i="25"/>
  <c r="BI65" i="25"/>
  <c r="BJ65" i="25"/>
  <c r="BK65" i="25"/>
  <c r="BL65" i="25"/>
  <c r="BM65" i="25"/>
  <c r="BN65" i="25"/>
  <c r="BO65" i="25"/>
  <c r="BP65" i="25"/>
  <c r="BQ65" i="25"/>
  <c r="BR65" i="25"/>
  <c r="BS65" i="25"/>
  <c r="BT65" i="25"/>
  <c r="BU65" i="25"/>
  <c r="BV65" i="25"/>
  <c r="BW65" i="25"/>
  <c r="BX65" i="25"/>
  <c r="BY65" i="25"/>
  <c r="BZ65" i="25"/>
  <c r="CA65" i="25"/>
  <c r="CB65" i="25"/>
  <c r="CC65" i="25"/>
  <c r="CD65" i="25"/>
  <c r="CE65" i="25"/>
  <c r="CF65" i="25"/>
  <c r="CG65" i="25"/>
  <c r="CH65" i="25"/>
  <c r="E66" i="25"/>
  <c r="F66" i="25"/>
  <c r="G66" i="25"/>
  <c r="H66" i="25"/>
  <c r="I66" i="25"/>
  <c r="J66" i="25"/>
  <c r="K66" i="25"/>
  <c r="L66" i="25"/>
  <c r="M66" i="25"/>
  <c r="N66" i="25"/>
  <c r="O66" i="25"/>
  <c r="P66" i="25"/>
  <c r="Q66" i="25"/>
  <c r="R66" i="25"/>
  <c r="S66" i="25"/>
  <c r="T66" i="25"/>
  <c r="U66" i="25"/>
  <c r="V66" i="25"/>
  <c r="W66" i="25"/>
  <c r="X66" i="25"/>
  <c r="Y66" i="25"/>
  <c r="Z66" i="25"/>
  <c r="AA66" i="25"/>
  <c r="AB66" i="25"/>
  <c r="AC66" i="25"/>
  <c r="AD66" i="25"/>
  <c r="AE66" i="25"/>
  <c r="AF66" i="25"/>
  <c r="AG66" i="25"/>
  <c r="AH66" i="25"/>
  <c r="AI66" i="25"/>
  <c r="AJ66" i="25"/>
  <c r="AK66" i="25"/>
  <c r="AL66" i="25"/>
  <c r="AM66" i="25"/>
  <c r="AN66" i="25"/>
  <c r="AO66" i="25"/>
  <c r="AP66" i="25"/>
  <c r="AQ66" i="25"/>
  <c r="AR66" i="25"/>
  <c r="AS66" i="25"/>
  <c r="AT66" i="25"/>
  <c r="AU66" i="25"/>
  <c r="AV66" i="25"/>
  <c r="AW66" i="25"/>
  <c r="AX66" i="25"/>
  <c r="AY66" i="25"/>
  <c r="AZ66" i="25"/>
  <c r="BA66" i="25"/>
  <c r="BB66" i="25"/>
  <c r="BC66" i="25"/>
  <c r="BD66" i="25"/>
  <c r="BE66" i="25"/>
  <c r="BF66" i="25"/>
  <c r="BG66" i="25"/>
  <c r="BH66" i="25"/>
  <c r="BI66" i="25"/>
  <c r="BJ66" i="25"/>
  <c r="BK66" i="25"/>
  <c r="BL66" i="25"/>
  <c r="BM66" i="25"/>
  <c r="BN66" i="25"/>
  <c r="BO66" i="25"/>
  <c r="BP66" i="25"/>
  <c r="BQ66" i="25"/>
  <c r="BR66" i="25"/>
  <c r="BS66" i="25"/>
  <c r="BT66" i="25"/>
  <c r="BU66" i="25"/>
  <c r="BV66" i="25"/>
  <c r="BW66" i="25"/>
  <c r="BX66" i="25"/>
  <c r="BY66" i="25"/>
  <c r="BZ66" i="25"/>
  <c r="CA66" i="25"/>
  <c r="CB66" i="25"/>
  <c r="CC66" i="25"/>
  <c r="CD66" i="25"/>
  <c r="CE66" i="25"/>
  <c r="CF66" i="25"/>
  <c r="CG66" i="25"/>
  <c r="CH66" i="25"/>
  <c r="E67" i="25"/>
  <c r="F67" i="25"/>
  <c r="G67" i="25"/>
  <c r="H67" i="25"/>
  <c r="I67" i="25"/>
  <c r="J67" i="25"/>
  <c r="K67" i="25"/>
  <c r="L67" i="25"/>
  <c r="M67" i="25"/>
  <c r="N67" i="25"/>
  <c r="O67" i="25"/>
  <c r="P67" i="25"/>
  <c r="Q67" i="25"/>
  <c r="R67" i="25"/>
  <c r="S67" i="25"/>
  <c r="T67" i="25"/>
  <c r="U67" i="25"/>
  <c r="V67" i="25"/>
  <c r="W67" i="25"/>
  <c r="X67" i="25"/>
  <c r="Y67" i="25"/>
  <c r="Z67" i="25"/>
  <c r="AA67" i="25"/>
  <c r="AB67" i="25"/>
  <c r="AC67" i="25"/>
  <c r="AD67" i="25"/>
  <c r="AE67" i="25"/>
  <c r="AF67" i="25"/>
  <c r="AG67" i="25"/>
  <c r="AH67" i="25"/>
  <c r="AI67" i="25"/>
  <c r="AJ67" i="25"/>
  <c r="AK67" i="25"/>
  <c r="AL67" i="25"/>
  <c r="AM67" i="25"/>
  <c r="AN67" i="25"/>
  <c r="AO67" i="25"/>
  <c r="AP67" i="25"/>
  <c r="AQ67" i="25"/>
  <c r="AR67" i="25"/>
  <c r="AS67" i="25"/>
  <c r="AT67" i="25"/>
  <c r="AU67" i="25"/>
  <c r="AV67" i="25"/>
  <c r="AW67" i="25"/>
  <c r="AX67" i="25"/>
  <c r="AY67" i="25"/>
  <c r="AZ67" i="25"/>
  <c r="BA67" i="25"/>
  <c r="BB67" i="25"/>
  <c r="BC67" i="25"/>
  <c r="BD67" i="25"/>
  <c r="BE67" i="25"/>
  <c r="BF67" i="25"/>
  <c r="BG67" i="25"/>
  <c r="BH67" i="25"/>
  <c r="BI67" i="25"/>
  <c r="BJ67" i="25"/>
  <c r="BK67" i="25"/>
  <c r="BL67" i="25"/>
  <c r="BM67" i="25"/>
  <c r="BN67" i="25"/>
  <c r="BO67" i="25"/>
  <c r="BP67" i="25"/>
  <c r="BQ67" i="25"/>
  <c r="BR67" i="25"/>
  <c r="BS67" i="25"/>
  <c r="BT67" i="25"/>
  <c r="BU67" i="25"/>
  <c r="BV67" i="25"/>
  <c r="BW67" i="25"/>
  <c r="BX67" i="25"/>
  <c r="BY67" i="25"/>
  <c r="BZ67" i="25"/>
  <c r="CA67" i="25"/>
  <c r="CB67" i="25"/>
  <c r="CC67" i="25"/>
  <c r="CD67" i="25"/>
  <c r="CE67" i="25"/>
  <c r="CF67" i="25"/>
  <c r="CG67" i="25"/>
  <c r="CH67" i="25"/>
  <c r="E68" i="25"/>
  <c r="F68" i="25"/>
  <c r="G68" i="25"/>
  <c r="H68" i="25"/>
  <c r="I68" i="25"/>
  <c r="J68" i="25"/>
  <c r="K68" i="25"/>
  <c r="L68" i="25"/>
  <c r="M68" i="25"/>
  <c r="N68" i="25"/>
  <c r="O68" i="25"/>
  <c r="P68" i="25"/>
  <c r="Q68" i="25"/>
  <c r="R68" i="25"/>
  <c r="S68" i="25"/>
  <c r="T68" i="25"/>
  <c r="U68" i="25"/>
  <c r="V68" i="25"/>
  <c r="W68" i="25"/>
  <c r="X68" i="25"/>
  <c r="Y68" i="25"/>
  <c r="Z68" i="25"/>
  <c r="AA68" i="25"/>
  <c r="AB68" i="25"/>
  <c r="AC68" i="25"/>
  <c r="AD68" i="25"/>
  <c r="AE68" i="25"/>
  <c r="AF68" i="25"/>
  <c r="AG68" i="25"/>
  <c r="AH68" i="25"/>
  <c r="AI68" i="25"/>
  <c r="AJ68" i="25"/>
  <c r="AK68" i="25"/>
  <c r="AL68" i="25"/>
  <c r="AM68" i="25"/>
  <c r="AN68" i="25"/>
  <c r="AO68" i="25"/>
  <c r="AP68" i="25"/>
  <c r="AQ68" i="25"/>
  <c r="AR68" i="25"/>
  <c r="AS68" i="25"/>
  <c r="AT68" i="25"/>
  <c r="AU68" i="25"/>
  <c r="AV68" i="25"/>
  <c r="AW68" i="25"/>
  <c r="AX68" i="25"/>
  <c r="AY68" i="25"/>
  <c r="AZ68" i="25"/>
  <c r="BA68" i="25"/>
  <c r="BB68" i="25"/>
  <c r="BC68" i="25"/>
  <c r="BD68" i="25"/>
  <c r="BE68" i="25"/>
  <c r="BF68" i="25"/>
  <c r="BG68" i="25"/>
  <c r="BH68" i="25"/>
  <c r="BI68" i="25"/>
  <c r="BJ68" i="25"/>
  <c r="BK68" i="25"/>
  <c r="BL68" i="25"/>
  <c r="BM68" i="25"/>
  <c r="BN68" i="25"/>
  <c r="BO68" i="25"/>
  <c r="BP68" i="25"/>
  <c r="BQ68" i="25"/>
  <c r="BR68" i="25"/>
  <c r="BS68" i="25"/>
  <c r="BT68" i="25"/>
  <c r="BU68" i="25"/>
  <c r="BV68" i="25"/>
  <c r="BW68" i="25"/>
  <c r="BX68" i="25"/>
  <c r="BY68" i="25"/>
  <c r="BZ68" i="25"/>
  <c r="CA68" i="25"/>
  <c r="CB68" i="25"/>
  <c r="CC68" i="25"/>
  <c r="CD68" i="25"/>
  <c r="CE68" i="25"/>
  <c r="CF68" i="25"/>
  <c r="CG68" i="25"/>
  <c r="CH68" i="25"/>
  <c r="E69" i="25"/>
  <c r="F69" i="25"/>
  <c r="G69" i="25"/>
  <c r="H69" i="25"/>
  <c r="I69" i="25"/>
  <c r="J69" i="25"/>
  <c r="K69" i="25"/>
  <c r="L69" i="25"/>
  <c r="M69" i="25"/>
  <c r="N69" i="25"/>
  <c r="O69" i="25"/>
  <c r="P69" i="25"/>
  <c r="Q69" i="25"/>
  <c r="R69" i="25"/>
  <c r="S69" i="25"/>
  <c r="T69" i="25"/>
  <c r="U69" i="25"/>
  <c r="V69" i="25"/>
  <c r="W69" i="25"/>
  <c r="X69" i="25"/>
  <c r="Y69" i="25"/>
  <c r="Z69" i="25"/>
  <c r="AA69" i="25"/>
  <c r="AB69" i="25"/>
  <c r="AC69" i="25"/>
  <c r="AD69" i="25"/>
  <c r="AE69" i="25"/>
  <c r="AF69" i="25"/>
  <c r="AG69" i="25"/>
  <c r="AH69" i="25"/>
  <c r="AI69" i="25"/>
  <c r="AJ69" i="25"/>
  <c r="AK69" i="25"/>
  <c r="AL69" i="25"/>
  <c r="AM69" i="25"/>
  <c r="AN69" i="25"/>
  <c r="AO69" i="25"/>
  <c r="AP69" i="25"/>
  <c r="AQ69" i="25"/>
  <c r="AR69" i="25"/>
  <c r="AS69" i="25"/>
  <c r="AT69" i="25"/>
  <c r="AU69" i="25"/>
  <c r="AV69" i="25"/>
  <c r="AW69" i="25"/>
  <c r="AX69" i="25"/>
  <c r="AY69" i="25"/>
  <c r="AZ69" i="25"/>
  <c r="BA69" i="25"/>
  <c r="BB69" i="25"/>
  <c r="BC69" i="25"/>
  <c r="BD69" i="25"/>
  <c r="BE69" i="25"/>
  <c r="BF69" i="25"/>
  <c r="BG69" i="25"/>
  <c r="BH69" i="25"/>
  <c r="BI69" i="25"/>
  <c r="BJ69" i="25"/>
  <c r="BK69" i="25"/>
  <c r="BL69" i="25"/>
  <c r="BM69" i="25"/>
  <c r="BN69" i="25"/>
  <c r="BO69" i="25"/>
  <c r="BP69" i="25"/>
  <c r="BQ69" i="25"/>
  <c r="BR69" i="25"/>
  <c r="BS69" i="25"/>
  <c r="BT69" i="25"/>
  <c r="BU69" i="25"/>
  <c r="BV69" i="25"/>
  <c r="BW69" i="25"/>
  <c r="BX69" i="25"/>
  <c r="BY69" i="25"/>
  <c r="BZ69" i="25"/>
  <c r="CA69" i="25"/>
  <c r="CB69" i="25"/>
  <c r="CC69" i="25"/>
  <c r="CD69" i="25"/>
  <c r="CE69" i="25"/>
  <c r="CF69" i="25"/>
  <c r="CG69" i="25"/>
  <c r="CH69" i="25"/>
  <c r="E70" i="25"/>
  <c r="F70" i="25"/>
  <c r="G70" i="25"/>
  <c r="H70" i="25"/>
  <c r="I70" i="25"/>
  <c r="J70" i="25"/>
  <c r="K70" i="25"/>
  <c r="L70" i="25"/>
  <c r="M70" i="25"/>
  <c r="N70" i="25"/>
  <c r="O70" i="25"/>
  <c r="P70" i="25"/>
  <c r="Q70" i="25"/>
  <c r="R70" i="25"/>
  <c r="S70" i="25"/>
  <c r="T70" i="25"/>
  <c r="U70" i="25"/>
  <c r="V70" i="25"/>
  <c r="W70" i="25"/>
  <c r="X70" i="25"/>
  <c r="Y70" i="25"/>
  <c r="Z70" i="25"/>
  <c r="AA70" i="25"/>
  <c r="AB70" i="25"/>
  <c r="AC70" i="25"/>
  <c r="AD70" i="25"/>
  <c r="AE70" i="25"/>
  <c r="AF70" i="25"/>
  <c r="AG70" i="25"/>
  <c r="AH70" i="25"/>
  <c r="AI70" i="25"/>
  <c r="AJ70" i="25"/>
  <c r="AK70" i="25"/>
  <c r="AL70" i="25"/>
  <c r="AM70" i="25"/>
  <c r="AN70" i="25"/>
  <c r="AO70" i="25"/>
  <c r="AP70" i="25"/>
  <c r="AQ70" i="25"/>
  <c r="AR70" i="25"/>
  <c r="AS70" i="25"/>
  <c r="AT70" i="25"/>
  <c r="AU70" i="25"/>
  <c r="AV70" i="25"/>
  <c r="AW70" i="25"/>
  <c r="AX70" i="25"/>
  <c r="AY70" i="25"/>
  <c r="AZ70" i="25"/>
  <c r="BA70" i="25"/>
  <c r="BB70" i="25"/>
  <c r="BC70" i="25"/>
  <c r="BD70" i="25"/>
  <c r="BE70" i="25"/>
  <c r="BF70" i="25"/>
  <c r="BG70" i="25"/>
  <c r="BH70" i="25"/>
  <c r="BI70" i="25"/>
  <c r="BJ70" i="25"/>
  <c r="BK70" i="25"/>
  <c r="BL70" i="25"/>
  <c r="BM70" i="25"/>
  <c r="BN70" i="25"/>
  <c r="BO70" i="25"/>
  <c r="BP70" i="25"/>
  <c r="BQ70" i="25"/>
  <c r="BR70" i="25"/>
  <c r="BS70" i="25"/>
  <c r="BT70" i="25"/>
  <c r="BU70" i="25"/>
  <c r="BV70" i="25"/>
  <c r="BW70" i="25"/>
  <c r="BX70" i="25"/>
  <c r="BY70" i="25"/>
  <c r="BZ70" i="25"/>
  <c r="CA70" i="25"/>
  <c r="CB70" i="25"/>
  <c r="CC70" i="25"/>
  <c r="CD70" i="25"/>
  <c r="CE70" i="25"/>
  <c r="CF70" i="25"/>
  <c r="CG70" i="25"/>
  <c r="CH70" i="25"/>
  <c r="E71" i="25"/>
  <c r="F71" i="25"/>
  <c r="G71" i="25"/>
  <c r="H71" i="25"/>
  <c r="I71" i="25"/>
  <c r="J71" i="25"/>
  <c r="K71" i="25"/>
  <c r="L71" i="25"/>
  <c r="M71" i="25"/>
  <c r="N71" i="25"/>
  <c r="O71" i="25"/>
  <c r="P71" i="25"/>
  <c r="Q71" i="25"/>
  <c r="R71" i="25"/>
  <c r="S71" i="25"/>
  <c r="T71" i="25"/>
  <c r="U71" i="25"/>
  <c r="V71" i="25"/>
  <c r="W71" i="25"/>
  <c r="X71" i="25"/>
  <c r="Y71" i="25"/>
  <c r="Z71" i="25"/>
  <c r="AA71" i="25"/>
  <c r="AB71" i="25"/>
  <c r="AC71" i="25"/>
  <c r="AD71" i="25"/>
  <c r="AE71" i="25"/>
  <c r="AF71" i="25"/>
  <c r="AG71" i="25"/>
  <c r="AH71" i="25"/>
  <c r="AI71" i="25"/>
  <c r="AJ71" i="25"/>
  <c r="AK71" i="25"/>
  <c r="AL71" i="25"/>
  <c r="AM71" i="25"/>
  <c r="AN71" i="25"/>
  <c r="AO71" i="25"/>
  <c r="AP71" i="25"/>
  <c r="AQ71" i="25"/>
  <c r="AR71" i="25"/>
  <c r="AS71" i="25"/>
  <c r="AT71" i="25"/>
  <c r="AU71" i="25"/>
  <c r="AV71" i="25"/>
  <c r="AW71" i="25"/>
  <c r="AX71" i="25"/>
  <c r="AY71" i="25"/>
  <c r="AZ71" i="25"/>
  <c r="BA71" i="25"/>
  <c r="BB71" i="25"/>
  <c r="BC71" i="25"/>
  <c r="BD71" i="25"/>
  <c r="BE71" i="25"/>
  <c r="BF71" i="25"/>
  <c r="BG71" i="25"/>
  <c r="BH71" i="25"/>
  <c r="BI71" i="25"/>
  <c r="BJ71" i="25"/>
  <c r="BK71" i="25"/>
  <c r="BL71" i="25"/>
  <c r="BM71" i="25"/>
  <c r="BN71" i="25"/>
  <c r="BO71" i="25"/>
  <c r="BP71" i="25"/>
  <c r="BQ71" i="25"/>
  <c r="BR71" i="25"/>
  <c r="BS71" i="25"/>
  <c r="BT71" i="25"/>
  <c r="BU71" i="25"/>
  <c r="BV71" i="25"/>
  <c r="BW71" i="25"/>
  <c r="BX71" i="25"/>
  <c r="BY71" i="25"/>
  <c r="BZ71" i="25"/>
  <c r="CA71" i="25"/>
  <c r="CB71" i="25"/>
  <c r="CC71" i="25"/>
  <c r="CD71" i="25"/>
  <c r="CE71" i="25"/>
  <c r="CF71" i="25"/>
  <c r="CG71" i="25"/>
  <c r="CH71" i="25"/>
  <c r="E72" i="25"/>
  <c r="F72" i="25"/>
  <c r="G72" i="25"/>
  <c r="H72" i="25"/>
  <c r="I72" i="25"/>
  <c r="J72" i="25"/>
  <c r="K72" i="25"/>
  <c r="L72" i="25"/>
  <c r="M72" i="25"/>
  <c r="N72" i="25"/>
  <c r="O72" i="25"/>
  <c r="P72" i="25"/>
  <c r="Q72" i="25"/>
  <c r="R72" i="25"/>
  <c r="S72" i="25"/>
  <c r="T72" i="25"/>
  <c r="U72" i="25"/>
  <c r="V72" i="25"/>
  <c r="W72" i="25"/>
  <c r="X72" i="25"/>
  <c r="Y72" i="25"/>
  <c r="Z72" i="25"/>
  <c r="AA72" i="25"/>
  <c r="AB72" i="25"/>
  <c r="AC72" i="25"/>
  <c r="AD72" i="25"/>
  <c r="AE72" i="25"/>
  <c r="AF72" i="25"/>
  <c r="AG72" i="25"/>
  <c r="AH72" i="25"/>
  <c r="AI72" i="25"/>
  <c r="AJ72" i="25"/>
  <c r="AK72" i="25"/>
  <c r="AL72" i="25"/>
  <c r="AM72" i="25"/>
  <c r="AN72" i="25"/>
  <c r="AO72" i="25"/>
  <c r="AP72" i="25"/>
  <c r="AQ72" i="25"/>
  <c r="AR72" i="25"/>
  <c r="AS72" i="25"/>
  <c r="AT72" i="25"/>
  <c r="AU72" i="25"/>
  <c r="AV72" i="25"/>
  <c r="AW72" i="25"/>
  <c r="AX72" i="25"/>
  <c r="AY72" i="25"/>
  <c r="AZ72" i="25"/>
  <c r="BA72" i="25"/>
  <c r="BB72" i="25"/>
  <c r="BC72" i="25"/>
  <c r="BD72" i="25"/>
  <c r="BE72" i="25"/>
  <c r="BF72" i="25"/>
  <c r="BG72" i="25"/>
  <c r="BH72" i="25"/>
  <c r="BI72" i="25"/>
  <c r="BJ72" i="25"/>
  <c r="BK72" i="25"/>
  <c r="BL72" i="25"/>
  <c r="BM72" i="25"/>
  <c r="BN72" i="25"/>
  <c r="BO72" i="25"/>
  <c r="BP72" i="25"/>
  <c r="BQ72" i="25"/>
  <c r="BR72" i="25"/>
  <c r="BS72" i="25"/>
  <c r="BT72" i="25"/>
  <c r="BU72" i="25"/>
  <c r="BV72" i="25"/>
  <c r="BW72" i="25"/>
  <c r="BX72" i="25"/>
  <c r="BY72" i="25"/>
  <c r="BZ72" i="25"/>
  <c r="CA72" i="25"/>
  <c r="CB72" i="25"/>
  <c r="CC72" i="25"/>
  <c r="CD72" i="25"/>
  <c r="CE72" i="25"/>
  <c r="CF72" i="25"/>
  <c r="CG72" i="25"/>
  <c r="CH72" i="25"/>
  <c r="E73" i="25"/>
  <c r="F73" i="25"/>
  <c r="G73" i="25"/>
  <c r="H73" i="25"/>
  <c r="I73" i="25"/>
  <c r="J73" i="25"/>
  <c r="K73" i="25"/>
  <c r="L73" i="25"/>
  <c r="M73" i="25"/>
  <c r="N73" i="25"/>
  <c r="O73" i="25"/>
  <c r="P73" i="25"/>
  <c r="Q73" i="25"/>
  <c r="R73" i="25"/>
  <c r="S73" i="25"/>
  <c r="T73" i="25"/>
  <c r="U73" i="25"/>
  <c r="V73" i="25"/>
  <c r="W73" i="25"/>
  <c r="X73" i="25"/>
  <c r="Y73" i="25"/>
  <c r="Z73" i="25"/>
  <c r="AA73" i="25"/>
  <c r="AB73" i="25"/>
  <c r="AC73" i="25"/>
  <c r="AD73" i="25"/>
  <c r="AE73" i="25"/>
  <c r="AF73" i="25"/>
  <c r="AG73" i="25"/>
  <c r="AH73" i="25"/>
  <c r="AI73" i="25"/>
  <c r="AJ73" i="25"/>
  <c r="AK73" i="25"/>
  <c r="AL73" i="25"/>
  <c r="AM73" i="25"/>
  <c r="AN73" i="25"/>
  <c r="AO73" i="25"/>
  <c r="AP73" i="25"/>
  <c r="AQ73" i="25"/>
  <c r="AR73" i="25"/>
  <c r="AS73" i="25"/>
  <c r="AT73" i="25"/>
  <c r="AU73" i="25"/>
  <c r="AV73" i="25"/>
  <c r="AW73" i="25"/>
  <c r="AX73" i="25"/>
  <c r="AY73" i="25"/>
  <c r="AZ73" i="25"/>
  <c r="BA73" i="25"/>
  <c r="BB73" i="25"/>
  <c r="BC73" i="25"/>
  <c r="BD73" i="25"/>
  <c r="BE73" i="25"/>
  <c r="BF73" i="25"/>
  <c r="BG73" i="25"/>
  <c r="BH73" i="25"/>
  <c r="BI73" i="25"/>
  <c r="BJ73" i="25"/>
  <c r="BK73" i="25"/>
  <c r="BL73" i="25"/>
  <c r="BM73" i="25"/>
  <c r="BN73" i="25"/>
  <c r="BO73" i="25"/>
  <c r="BP73" i="25"/>
  <c r="BQ73" i="25"/>
  <c r="BR73" i="25"/>
  <c r="BS73" i="25"/>
  <c r="BT73" i="25"/>
  <c r="BU73" i="25"/>
  <c r="BV73" i="25"/>
  <c r="BW73" i="25"/>
  <c r="BX73" i="25"/>
  <c r="BY73" i="25"/>
  <c r="BZ73" i="25"/>
  <c r="CA73" i="25"/>
  <c r="CB73" i="25"/>
  <c r="CC73" i="25"/>
  <c r="CD73" i="25"/>
  <c r="CE73" i="25"/>
  <c r="CF73" i="25"/>
  <c r="CG73" i="25"/>
  <c r="CH73" i="25"/>
  <c r="E74" i="25"/>
  <c r="F74" i="25"/>
  <c r="G74" i="25"/>
  <c r="H74" i="25"/>
  <c r="I74" i="25"/>
  <c r="J74" i="25"/>
  <c r="K74" i="25"/>
  <c r="L74" i="25"/>
  <c r="M74" i="25"/>
  <c r="N74" i="25"/>
  <c r="O74" i="25"/>
  <c r="P74" i="25"/>
  <c r="Q74" i="25"/>
  <c r="R74" i="25"/>
  <c r="S74" i="25"/>
  <c r="T74" i="25"/>
  <c r="U74" i="25"/>
  <c r="V74" i="25"/>
  <c r="W74" i="25"/>
  <c r="X74" i="25"/>
  <c r="Y74" i="25"/>
  <c r="Z74" i="25"/>
  <c r="AA74" i="25"/>
  <c r="AB74" i="25"/>
  <c r="AC74" i="25"/>
  <c r="AD74" i="25"/>
  <c r="AE74" i="25"/>
  <c r="AF74" i="25"/>
  <c r="AG74" i="25"/>
  <c r="AH74" i="25"/>
  <c r="AI74" i="25"/>
  <c r="AJ74" i="25"/>
  <c r="AK74" i="25"/>
  <c r="AL74" i="25"/>
  <c r="AM74" i="25"/>
  <c r="AN74" i="25"/>
  <c r="AO74" i="25"/>
  <c r="AP74" i="25"/>
  <c r="AQ74" i="25"/>
  <c r="AR74" i="25"/>
  <c r="AS74" i="25"/>
  <c r="AT74" i="25"/>
  <c r="AU74" i="25"/>
  <c r="AV74" i="25"/>
  <c r="AW74" i="25"/>
  <c r="AX74" i="25"/>
  <c r="AY74" i="25"/>
  <c r="AZ74" i="25"/>
  <c r="BA74" i="25"/>
  <c r="BB74" i="25"/>
  <c r="BC74" i="25"/>
  <c r="BD74" i="25"/>
  <c r="BE74" i="25"/>
  <c r="BF74" i="25"/>
  <c r="BG74" i="25"/>
  <c r="BH74" i="25"/>
  <c r="BI74" i="25"/>
  <c r="BJ74" i="25"/>
  <c r="BK74" i="25"/>
  <c r="BL74" i="25"/>
  <c r="BM74" i="25"/>
  <c r="BN74" i="25"/>
  <c r="BO74" i="25"/>
  <c r="BP74" i="25"/>
  <c r="BQ74" i="25"/>
  <c r="BR74" i="25"/>
  <c r="BS74" i="25"/>
  <c r="BT74" i="25"/>
  <c r="BU74" i="25"/>
  <c r="BV74" i="25"/>
  <c r="BW74" i="25"/>
  <c r="BX74" i="25"/>
  <c r="BY74" i="25"/>
  <c r="BZ74" i="25"/>
  <c r="CA74" i="25"/>
  <c r="CB74" i="25"/>
  <c r="CC74" i="25"/>
  <c r="CD74" i="25"/>
  <c r="CE74" i="25"/>
  <c r="CF74" i="25"/>
  <c r="CG74" i="25"/>
  <c r="CH74" i="25"/>
  <c r="E75" i="25"/>
  <c r="F75" i="25"/>
  <c r="G75" i="25"/>
  <c r="H75" i="25"/>
  <c r="I75" i="25"/>
  <c r="J75" i="25"/>
  <c r="K75" i="25"/>
  <c r="L75" i="25"/>
  <c r="M75" i="25"/>
  <c r="N75" i="25"/>
  <c r="O75" i="25"/>
  <c r="P75" i="25"/>
  <c r="Q75" i="25"/>
  <c r="R75" i="25"/>
  <c r="S75" i="25"/>
  <c r="T75" i="25"/>
  <c r="U75" i="25"/>
  <c r="V75" i="25"/>
  <c r="W75" i="25"/>
  <c r="X75" i="25"/>
  <c r="Y75" i="25"/>
  <c r="Z75" i="25"/>
  <c r="AA75" i="25"/>
  <c r="AB75" i="25"/>
  <c r="AC75" i="25"/>
  <c r="AD75" i="25"/>
  <c r="AE75" i="25"/>
  <c r="AF75" i="25"/>
  <c r="AG75" i="25"/>
  <c r="AH75" i="25"/>
  <c r="AI75" i="25"/>
  <c r="AJ75" i="25"/>
  <c r="AK75" i="25"/>
  <c r="AL75" i="25"/>
  <c r="AM75" i="25"/>
  <c r="AN75" i="25"/>
  <c r="AO75" i="25"/>
  <c r="AP75" i="25"/>
  <c r="AQ75" i="25"/>
  <c r="AR75" i="25"/>
  <c r="AS75" i="25"/>
  <c r="AT75" i="25"/>
  <c r="AU75" i="25"/>
  <c r="AV75" i="25"/>
  <c r="AW75" i="25"/>
  <c r="AX75" i="25"/>
  <c r="AY75" i="25"/>
  <c r="AZ75" i="25"/>
  <c r="BA75" i="25"/>
  <c r="BB75" i="25"/>
  <c r="BC75" i="25"/>
  <c r="BD75" i="25"/>
  <c r="BE75" i="25"/>
  <c r="BF75" i="25"/>
  <c r="BG75" i="25"/>
  <c r="BH75" i="25"/>
  <c r="BI75" i="25"/>
  <c r="BJ75" i="25"/>
  <c r="BK75" i="25"/>
  <c r="BL75" i="25"/>
  <c r="BM75" i="25"/>
  <c r="BN75" i="25"/>
  <c r="BO75" i="25"/>
  <c r="BP75" i="25"/>
  <c r="BQ75" i="25"/>
  <c r="BR75" i="25"/>
  <c r="BS75" i="25"/>
  <c r="BT75" i="25"/>
  <c r="BU75" i="25"/>
  <c r="BV75" i="25"/>
  <c r="BW75" i="25"/>
  <c r="BX75" i="25"/>
  <c r="BY75" i="25"/>
  <c r="BZ75" i="25"/>
  <c r="CA75" i="25"/>
  <c r="CB75" i="25"/>
  <c r="CC75" i="25"/>
  <c r="CD75" i="25"/>
  <c r="CE75" i="25"/>
  <c r="CF75" i="25"/>
  <c r="CG75" i="25"/>
  <c r="CH75" i="25"/>
  <c r="E76" i="25"/>
  <c r="F76" i="25"/>
  <c r="G76" i="25"/>
  <c r="H76" i="25"/>
  <c r="I76" i="25"/>
  <c r="J76" i="25"/>
  <c r="K76" i="25"/>
  <c r="L76" i="25"/>
  <c r="M76" i="25"/>
  <c r="N76" i="25"/>
  <c r="O76" i="25"/>
  <c r="P76" i="25"/>
  <c r="Q76" i="25"/>
  <c r="R76" i="25"/>
  <c r="S76" i="25"/>
  <c r="T76" i="25"/>
  <c r="U76" i="25"/>
  <c r="V76" i="25"/>
  <c r="W76" i="25"/>
  <c r="X76" i="25"/>
  <c r="Y76" i="25"/>
  <c r="Z76" i="25"/>
  <c r="AA76" i="25"/>
  <c r="AB76" i="25"/>
  <c r="AC76" i="25"/>
  <c r="AD76" i="25"/>
  <c r="AE76" i="25"/>
  <c r="AF76" i="25"/>
  <c r="AG76" i="25"/>
  <c r="AH76" i="25"/>
  <c r="AI76" i="25"/>
  <c r="AJ76" i="25"/>
  <c r="AK76" i="25"/>
  <c r="AL76" i="25"/>
  <c r="AM76" i="25"/>
  <c r="AN76" i="25"/>
  <c r="AO76" i="25"/>
  <c r="AP76" i="25"/>
  <c r="AQ76" i="25"/>
  <c r="AR76" i="25"/>
  <c r="AS76" i="25"/>
  <c r="AT76" i="25"/>
  <c r="AU76" i="25"/>
  <c r="AV76" i="25"/>
  <c r="AW76" i="25"/>
  <c r="AX76" i="25"/>
  <c r="AY76" i="25"/>
  <c r="AZ76" i="25"/>
  <c r="BA76" i="25"/>
  <c r="BB76" i="25"/>
  <c r="BC76" i="25"/>
  <c r="BD76" i="25"/>
  <c r="BE76" i="25"/>
  <c r="BF76" i="25"/>
  <c r="BG76" i="25"/>
  <c r="BH76" i="25"/>
  <c r="BI76" i="25"/>
  <c r="BJ76" i="25"/>
  <c r="BK76" i="25"/>
  <c r="BL76" i="25"/>
  <c r="BM76" i="25"/>
  <c r="BN76" i="25"/>
  <c r="BO76" i="25"/>
  <c r="BP76" i="25"/>
  <c r="BQ76" i="25"/>
  <c r="BR76" i="25"/>
  <c r="BS76" i="25"/>
  <c r="BT76" i="25"/>
  <c r="BU76" i="25"/>
  <c r="BV76" i="25"/>
  <c r="BW76" i="25"/>
  <c r="BX76" i="25"/>
  <c r="BY76" i="25"/>
  <c r="BZ76" i="25"/>
  <c r="CA76" i="25"/>
  <c r="CB76" i="25"/>
  <c r="CC76" i="25"/>
  <c r="CD76" i="25"/>
  <c r="CE76" i="25"/>
  <c r="CF76" i="25"/>
  <c r="CG76" i="25"/>
  <c r="CH76" i="25"/>
  <c r="E77" i="25"/>
  <c r="F77" i="25"/>
  <c r="G77" i="25"/>
  <c r="H77" i="25"/>
  <c r="I77" i="25"/>
  <c r="J77" i="25"/>
  <c r="K77" i="25"/>
  <c r="L77" i="25"/>
  <c r="M77" i="25"/>
  <c r="N77" i="25"/>
  <c r="O77" i="25"/>
  <c r="P77" i="25"/>
  <c r="Q77" i="25"/>
  <c r="R77" i="25"/>
  <c r="S77" i="25"/>
  <c r="T77" i="25"/>
  <c r="U77" i="25"/>
  <c r="V77" i="25"/>
  <c r="W77" i="25"/>
  <c r="X77" i="25"/>
  <c r="Y77" i="25"/>
  <c r="Z77" i="25"/>
  <c r="AA77" i="25"/>
  <c r="AB77" i="25"/>
  <c r="AC77" i="25"/>
  <c r="AD77" i="25"/>
  <c r="AE77" i="25"/>
  <c r="AF77" i="25"/>
  <c r="AG77" i="25"/>
  <c r="AH77" i="25"/>
  <c r="AI77" i="25"/>
  <c r="AJ77" i="25"/>
  <c r="AK77" i="25"/>
  <c r="AL77" i="25"/>
  <c r="AM77" i="25"/>
  <c r="AN77" i="25"/>
  <c r="AO77" i="25"/>
  <c r="AP77" i="25"/>
  <c r="AQ77" i="25"/>
  <c r="AR77" i="25"/>
  <c r="AS77" i="25"/>
  <c r="AT77" i="25"/>
  <c r="AU77" i="25"/>
  <c r="AV77" i="25"/>
  <c r="AW77" i="25"/>
  <c r="AX77" i="25"/>
  <c r="AY77" i="25"/>
  <c r="AZ77" i="25"/>
  <c r="BA77" i="25"/>
  <c r="BB77" i="25"/>
  <c r="BC77" i="25"/>
  <c r="BD77" i="25"/>
  <c r="BE77" i="25"/>
  <c r="BF77" i="25"/>
  <c r="BG77" i="25"/>
  <c r="BH77" i="25"/>
  <c r="BI77" i="25"/>
  <c r="BJ77" i="25"/>
  <c r="BK77" i="25"/>
  <c r="BL77" i="25"/>
  <c r="BM77" i="25"/>
  <c r="BN77" i="25"/>
  <c r="BO77" i="25"/>
  <c r="BP77" i="25"/>
  <c r="BQ77" i="25"/>
  <c r="BR77" i="25"/>
  <c r="BS77" i="25"/>
  <c r="BT77" i="25"/>
  <c r="BU77" i="25"/>
  <c r="BV77" i="25"/>
  <c r="BW77" i="25"/>
  <c r="BX77" i="25"/>
  <c r="BY77" i="25"/>
  <c r="BZ77" i="25"/>
  <c r="CA77" i="25"/>
  <c r="CB77" i="25"/>
  <c r="CC77" i="25"/>
  <c r="CD77" i="25"/>
  <c r="CE77" i="25"/>
  <c r="CF77" i="25"/>
  <c r="CG77" i="25"/>
  <c r="CH77" i="25"/>
  <c r="E78" i="25"/>
  <c r="F78" i="25"/>
  <c r="G78" i="25"/>
  <c r="H78" i="25"/>
  <c r="I78" i="25"/>
  <c r="J78" i="25"/>
  <c r="K78" i="25"/>
  <c r="L78" i="25"/>
  <c r="M78" i="25"/>
  <c r="N78" i="25"/>
  <c r="O78" i="25"/>
  <c r="P78" i="25"/>
  <c r="Q78" i="25"/>
  <c r="R78" i="25"/>
  <c r="S78" i="25"/>
  <c r="T78" i="25"/>
  <c r="U78" i="25"/>
  <c r="V78" i="25"/>
  <c r="W78" i="25"/>
  <c r="X78" i="25"/>
  <c r="Y78" i="25"/>
  <c r="Z78" i="25"/>
  <c r="AA78" i="25"/>
  <c r="AB78" i="25"/>
  <c r="AC78" i="25"/>
  <c r="AD78" i="25"/>
  <c r="AE78" i="25"/>
  <c r="AF78" i="25"/>
  <c r="AG78" i="25"/>
  <c r="AH78" i="25"/>
  <c r="AI78" i="25"/>
  <c r="AJ78" i="25"/>
  <c r="AK78" i="25"/>
  <c r="AL78" i="25"/>
  <c r="AM78" i="25"/>
  <c r="AN78" i="25"/>
  <c r="AO78" i="25"/>
  <c r="AP78" i="25"/>
  <c r="AQ78" i="25"/>
  <c r="AR78" i="25"/>
  <c r="AS78" i="25"/>
  <c r="AT78" i="25"/>
  <c r="AU78" i="25"/>
  <c r="AV78" i="25"/>
  <c r="AW78" i="25"/>
  <c r="AX78" i="25"/>
  <c r="AY78" i="25"/>
  <c r="AZ78" i="25"/>
  <c r="BA78" i="25"/>
  <c r="BB78" i="25"/>
  <c r="BC78" i="25"/>
  <c r="BD78" i="25"/>
  <c r="BE78" i="25"/>
  <c r="BF78" i="25"/>
  <c r="BG78" i="25"/>
  <c r="BH78" i="25"/>
  <c r="BI78" i="25"/>
  <c r="BJ78" i="25"/>
  <c r="BK78" i="25"/>
  <c r="BL78" i="25"/>
  <c r="BM78" i="25"/>
  <c r="BN78" i="25"/>
  <c r="BO78" i="25"/>
  <c r="BP78" i="25"/>
  <c r="BQ78" i="25"/>
  <c r="BR78" i="25"/>
  <c r="BS78" i="25"/>
  <c r="BT78" i="25"/>
  <c r="BU78" i="25"/>
  <c r="BV78" i="25"/>
  <c r="BW78" i="25"/>
  <c r="BX78" i="25"/>
  <c r="BY78" i="25"/>
  <c r="BZ78" i="25"/>
  <c r="CA78" i="25"/>
  <c r="CB78" i="25"/>
  <c r="CC78" i="25"/>
  <c r="CD78" i="25"/>
  <c r="CE78" i="25"/>
  <c r="CF78" i="25"/>
  <c r="CG78" i="25"/>
  <c r="CH78" i="25"/>
  <c r="E79" i="25"/>
  <c r="F79" i="25"/>
  <c r="G79" i="25"/>
  <c r="H79" i="25"/>
  <c r="I79" i="25"/>
  <c r="J79" i="25"/>
  <c r="K79" i="25"/>
  <c r="L79" i="25"/>
  <c r="M79" i="25"/>
  <c r="N79" i="25"/>
  <c r="O79" i="25"/>
  <c r="P79" i="25"/>
  <c r="Q79" i="25"/>
  <c r="R79" i="25"/>
  <c r="S79" i="25"/>
  <c r="T79" i="25"/>
  <c r="U79" i="25"/>
  <c r="V79" i="25"/>
  <c r="W79" i="25"/>
  <c r="X79" i="25"/>
  <c r="Y79" i="25"/>
  <c r="Z79" i="25"/>
  <c r="AA79" i="25"/>
  <c r="AB79" i="25"/>
  <c r="AC79" i="25"/>
  <c r="AD79" i="25"/>
  <c r="AE79" i="25"/>
  <c r="AF79" i="25"/>
  <c r="AG79" i="25"/>
  <c r="AH79" i="25"/>
  <c r="AI79" i="25"/>
  <c r="AJ79" i="25"/>
  <c r="AK79" i="25"/>
  <c r="AL79" i="25"/>
  <c r="AM79" i="25"/>
  <c r="AN79" i="25"/>
  <c r="AO79" i="25"/>
  <c r="AP79" i="25"/>
  <c r="AQ79" i="25"/>
  <c r="AR79" i="25"/>
  <c r="AS79" i="25"/>
  <c r="AT79" i="25"/>
  <c r="AU79" i="25"/>
  <c r="AV79" i="25"/>
  <c r="AW79" i="25"/>
  <c r="AX79" i="25"/>
  <c r="AY79" i="25"/>
  <c r="AZ79" i="25"/>
  <c r="BA79" i="25"/>
  <c r="BB79" i="25"/>
  <c r="BC79" i="25"/>
  <c r="BD79" i="25"/>
  <c r="BE79" i="25"/>
  <c r="BF79" i="25"/>
  <c r="BG79" i="25"/>
  <c r="BH79" i="25"/>
  <c r="BI79" i="25"/>
  <c r="BJ79" i="25"/>
  <c r="BK79" i="25"/>
  <c r="BL79" i="25"/>
  <c r="BM79" i="25"/>
  <c r="BN79" i="25"/>
  <c r="BO79" i="25"/>
  <c r="BP79" i="25"/>
  <c r="BQ79" i="25"/>
  <c r="BR79" i="25"/>
  <c r="BS79" i="25"/>
  <c r="BT79" i="25"/>
  <c r="BU79" i="25"/>
  <c r="BV79" i="25"/>
  <c r="BW79" i="25"/>
  <c r="BX79" i="25"/>
  <c r="BY79" i="25"/>
  <c r="BZ79" i="25"/>
  <c r="CA79" i="25"/>
  <c r="CB79" i="25"/>
  <c r="CC79" i="25"/>
  <c r="CD79" i="25"/>
  <c r="CE79" i="25"/>
  <c r="CF79" i="25"/>
  <c r="CG79" i="25"/>
  <c r="CH79" i="25"/>
  <c r="E80" i="25"/>
  <c r="F80" i="25"/>
  <c r="G80" i="25"/>
  <c r="H80" i="25"/>
  <c r="I80" i="25"/>
  <c r="J80" i="25"/>
  <c r="K80" i="25"/>
  <c r="L80" i="25"/>
  <c r="M80" i="25"/>
  <c r="N80" i="25"/>
  <c r="O80" i="25"/>
  <c r="P80" i="25"/>
  <c r="Q80" i="25"/>
  <c r="R80" i="25"/>
  <c r="S80" i="25"/>
  <c r="T80" i="25"/>
  <c r="U80" i="25"/>
  <c r="V80" i="25"/>
  <c r="W80" i="25"/>
  <c r="X80" i="25"/>
  <c r="Y80" i="25"/>
  <c r="Z80" i="25"/>
  <c r="AA80" i="25"/>
  <c r="AB80" i="25"/>
  <c r="AC80" i="25"/>
  <c r="AD80" i="25"/>
  <c r="AE80" i="25"/>
  <c r="AF80" i="25"/>
  <c r="AG80" i="25"/>
  <c r="AH80" i="25"/>
  <c r="AI80" i="25"/>
  <c r="AJ80" i="25"/>
  <c r="AK80" i="25"/>
  <c r="AL80" i="25"/>
  <c r="AM80" i="25"/>
  <c r="AN80" i="25"/>
  <c r="AO80" i="25"/>
  <c r="AP80" i="25"/>
  <c r="AQ80" i="25"/>
  <c r="AR80" i="25"/>
  <c r="AS80" i="25"/>
  <c r="AT80" i="25"/>
  <c r="AU80" i="25"/>
  <c r="AV80" i="25"/>
  <c r="AW80" i="25"/>
  <c r="AX80" i="25"/>
  <c r="AY80" i="25"/>
  <c r="AZ80" i="25"/>
  <c r="BA80" i="25"/>
  <c r="BB80" i="25"/>
  <c r="BC80" i="25"/>
  <c r="BD80" i="25"/>
  <c r="BE80" i="25"/>
  <c r="BF80" i="25"/>
  <c r="BG80" i="25"/>
  <c r="BH80" i="25"/>
  <c r="BI80" i="25"/>
  <c r="BJ80" i="25"/>
  <c r="BK80" i="25"/>
  <c r="BL80" i="25"/>
  <c r="BM80" i="25"/>
  <c r="BN80" i="25"/>
  <c r="BO80" i="25"/>
  <c r="BP80" i="25"/>
  <c r="BQ80" i="25"/>
  <c r="BR80" i="25"/>
  <c r="BS80" i="25"/>
  <c r="BT80" i="25"/>
  <c r="BU80" i="25"/>
  <c r="BV80" i="25"/>
  <c r="BW80" i="25"/>
  <c r="BX80" i="25"/>
  <c r="BY80" i="25"/>
  <c r="BZ80" i="25"/>
  <c r="CA80" i="25"/>
  <c r="CB80" i="25"/>
  <c r="CC80" i="25"/>
  <c r="CD80" i="25"/>
  <c r="CE80" i="25"/>
  <c r="CF80" i="25"/>
  <c r="CG80" i="25"/>
  <c r="CH80" i="25"/>
  <c r="E81" i="25"/>
  <c r="F81" i="25"/>
  <c r="G81" i="25"/>
  <c r="H81" i="25"/>
  <c r="I81" i="25"/>
  <c r="J81" i="25"/>
  <c r="K81" i="25"/>
  <c r="L81" i="25"/>
  <c r="M81" i="25"/>
  <c r="N81" i="25"/>
  <c r="N82" i="25" s="1"/>
  <c r="N83" i="25" s="1"/>
  <c r="O81" i="25"/>
  <c r="P81" i="25"/>
  <c r="Q81" i="25"/>
  <c r="R81" i="25"/>
  <c r="S81" i="25"/>
  <c r="T81" i="25"/>
  <c r="T82" i="25" s="1" a="1"/>
  <c r="T82" i="25" s="1"/>
  <c r="T83" i="25" s="1"/>
  <c r="U81" i="25"/>
  <c r="V81" i="25"/>
  <c r="V82" i="25" s="1"/>
  <c r="V83" i="25" s="1"/>
  <c r="W81" i="25"/>
  <c r="W82" i="25" s="1"/>
  <c r="W83" i="25" s="1"/>
  <c r="X81" i="25"/>
  <c r="X82" i="25" s="1"/>
  <c r="X83" i="25" s="1"/>
  <c r="Y81" i="25"/>
  <c r="Z81" i="25"/>
  <c r="AA81" i="25"/>
  <c r="AB81" i="25"/>
  <c r="AC81" i="25"/>
  <c r="AC82" i="25" s="1"/>
  <c r="AC83" i="25" s="1"/>
  <c r="AD81" i="25"/>
  <c r="AE81" i="25"/>
  <c r="AF81" i="25"/>
  <c r="AG81" i="25"/>
  <c r="AH81" i="25"/>
  <c r="AH82" i="25" s="1"/>
  <c r="AH83" i="25" s="1"/>
  <c r="AI81" i="25"/>
  <c r="AI82" i="25" s="1" a="1"/>
  <c r="AI82" i="25" s="1"/>
  <c r="AI83" i="25" s="1"/>
  <c r="AJ81" i="25"/>
  <c r="AK81" i="25"/>
  <c r="AK82" i="25" s="1"/>
  <c r="AK83" i="25" s="1"/>
  <c r="AL81" i="25"/>
  <c r="AM81" i="25"/>
  <c r="AN81" i="25"/>
  <c r="AO81" i="25"/>
  <c r="AP81" i="25"/>
  <c r="AQ81" i="25"/>
  <c r="AR81" i="25"/>
  <c r="AR82" i="25" s="1"/>
  <c r="AR83" i="25" s="1"/>
  <c r="AS81" i="25"/>
  <c r="AS82" i="25" s="1"/>
  <c r="AS83" i="25" s="1"/>
  <c r="AT81" i="25"/>
  <c r="AU81" i="25"/>
  <c r="AV81" i="25"/>
  <c r="AW81" i="25"/>
  <c r="AW82" i="25" s="1"/>
  <c r="AW83" i="25" s="1"/>
  <c r="AX81" i="25"/>
  <c r="AX82" i="25" s="1" a="1"/>
  <c r="AX82" i="25" s="1"/>
  <c r="AX83" i="25" s="1"/>
  <c r="AY81" i="25"/>
  <c r="AY82" i="25" s="1" a="1"/>
  <c r="AY82" i="25" s="1"/>
  <c r="AY83" i="25" s="1"/>
  <c r="AZ81" i="25"/>
  <c r="AZ82" i="25" s="1" a="1"/>
  <c r="AZ82" i="25" s="1"/>
  <c r="AZ83" i="25" s="1"/>
  <c r="BA81" i="25"/>
  <c r="BA82" i="25" s="1"/>
  <c r="BA83" i="25" s="1"/>
  <c r="BB81" i="25"/>
  <c r="BC81" i="25"/>
  <c r="BD81" i="25"/>
  <c r="BD82" i="25" s="1"/>
  <c r="BD83" i="25" s="1"/>
  <c r="BE81" i="25"/>
  <c r="BF81" i="25"/>
  <c r="BF82" i="25" s="1"/>
  <c r="BF83" i="25" s="1"/>
  <c r="BG81" i="25"/>
  <c r="BG82" i="25" s="1" a="1"/>
  <c r="BG82" i="25" s="1"/>
  <c r="BG83" i="25" s="1"/>
  <c r="BH81" i="25"/>
  <c r="BH82" i="25" s="1"/>
  <c r="BH83" i="25" s="1"/>
  <c r="BI81" i="25"/>
  <c r="BI82" i="25" s="1"/>
  <c r="BI83" i="25" s="1"/>
  <c r="BJ81" i="25"/>
  <c r="BJ82" i="25" s="1" a="1"/>
  <c r="BK81" i="25"/>
  <c r="BK82" i="25" s="1" a="1"/>
  <c r="BK82" i="25" s="1"/>
  <c r="BK83" i="25" s="1"/>
  <c r="BL81" i="25"/>
  <c r="BL82" i="25" s="1"/>
  <c r="BL83" i="25" s="1"/>
  <c r="BM81" i="25"/>
  <c r="BM82" i="25" s="1" a="1"/>
  <c r="BM82" i="25" s="1"/>
  <c r="BM83" i="25" s="1"/>
  <c r="BN81" i="25"/>
  <c r="BN82" i="25" s="1" a="1"/>
  <c r="BN82" i="25" s="1"/>
  <c r="BN83" i="25" s="1"/>
  <c r="BO81" i="25"/>
  <c r="BO82" i="25" s="1" a="1"/>
  <c r="BO82" i="25" s="1"/>
  <c r="BO83" i="25" s="1"/>
  <c r="BP81" i="25"/>
  <c r="BP82" i="25" s="1"/>
  <c r="BP83" i="25" s="1"/>
  <c r="BQ81" i="25"/>
  <c r="BQ82" i="25" s="1"/>
  <c r="BQ83" i="25" s="1"/>
  <c r="BR81" i="25"/>
  <c r="BS81" i="25"/>
  <c r="BS82" i="25" s="1" a="1"/>
  <c r="BS82" i="25" s="1"/>
  <c r="BS83" i="25" s="1"/>
  <c r="BT81" i="25"/>
  <c r="BU81" i="25"/>
  <c r="BU82" i="25" s="1" a="1"/>
  <c r="BU82" i="25" s="1"/>
  <c r="BU83" i="25" s="1"/>
  <c r="BV81" i="25"/>
  <c r="BV82" i="25" s="1" a="1"/>
  <c r="BV82" i="25" s="1"/>
  <c r="BV83" i="25" s="1"/>
  <c r="BW81" i="25"/>
  <c r="BW82" i="25" s="1"/>
  <c r="BW83" i="25" s="1"/>
  <c r="BX81" i="25"/>
  <c r="BX82" i="25" s="1" a="1"/>
  <c r="BX82" i="25" s="1"/>
  <c r="BX83" i="25" s="1"/>
  <c r="BY81" i="25"/>
  <c r="BY82" i="25" s="1" a="1"/>
  <c r="BZ81" i="25"/>
  <c r="BZ82" i="25" s="1" a="1"/>
  <c r="BZ82" i="25" s="1"/>
  <c r="BZ83" i="25" s="1"/>
  <c r="CA81" i="25"/>
  <c r="CA82" i="25" s="1" a="1"/>
  <c r="CB81" i="25"/>
  <c r="CB82" i="25" s="1" a="1"/>
  <c r="CB82" i="25" s="1"/>
  <c r="CB83" i="25" s="1"/>
  <c r="CC81" i="25"/>
  <c r="CC82" i="25" s="1" a="1"/>
  <c r="CC82" i="25" s="1"/>
  <c r="CC83" i="25" s="1"/>
  <c r="CD81" i="25"/>
  <c r="CD82" i="25" s="1" a="1"/>
  <c r="CD82" i="25" s="1"/>
  <c r="CD83" i="25" s="1"/>
  <c r="CE81" i="25"/>
  <c r="CE82" i="25" s="1"/>
  <c r="CE83" i="25" s="1"/>
  <c r="CF81" i="25"/>
  <c r="CF82" i="25" s="1"/>
  <c r="CF83" i="25" s="1"/>
  <c r="CG81" i="25"/>
  <c r="CH81" i="25"/>
  <c r="CH82" i="25" s="1" a="1"/>
  <c r="CH82" i="25" s="1"/>
  <c r="CH83" i="25" s="1"/>
  <c r="E82" i="25" a="1"/>
  <c r="E82" i="25"/>
  <c r="E83" i="25" s="1"/>
  <c r="F82" i="25" a="1"/>
  <c r="G82" i="25" a="1"/>
  <c r="G82" i="25"/>
  <c r="G83" i="25" s="1"/>
  <c r="H82" i="25" a="1"/>
  <c r="H82" i="25"/>
  <c r="H83" i="25" s="1"/>
  <c r="I82" i="25" a="1"/>
  <c r="I82" i="25"/>
  <c r="I83" i="25" s="1"/>
  <c r="J82" i="25" a="1"/>
  <c r="J82" i="25" s="1"/>
  <c r="J83" i="25" s="1"/>
  <c r="K82" i="25" a="1"/>
  <c r="K82" i="25"/>
  <c r="K83" i="25" s="1"/>
  <c r="L82" i="25" a="1"/>
  <c r="M82" i="25" a="1"/>
  <c r="M82" i="25"/>
  <c r="M83" i="25" s="1"/>
  <c r="N82" i="25" a="1"/>
  <c r="O82" i="25" a="1"/>
  <c r="O82" i="25"/>
  <c r="O83" i="25" s="1"/>
  <c r="P82" i="25" a="1"/>
  <c r="P82" i="25"/>
  <c r="P83" i="25" s="1"/>
  <c r="Q82" i="25" a="1"/>
  <c r="Q82" i="25"/>
  <c r="Q83" i="25" s="1"/>
  <c r="R82" i="25" a="1"/>
  <c r="R82" i="25" s="1"/>
  <c r="R83" i="25" s="1"/>
  <c r="S82" i="25" a="1"/>
  <c r="S82" i="25"/>
  <c r="S83" i="25" s="1"/>
  <c r="U82" i="25" a="1"/>
  <c r="V82" i="25" a="1"/>
  <c r="W82" i="25" a="1"/>
  <c r="X82" i="25" a="1"/>
  <c r="Y82" i="25" a="1"/>
  <c r="Y82" i="25" s="1"/>
  <c r="Y83" i="25" s="1"/>
  <c r="Z82" i="25" a="1"/>
  <c r="Z82" i="25"/>
  <c r="Z83" i="25" s="1"/>
  <c r="AA82" i="25" a="1"/>
  <c r="AB82" i="25" a="1"/>
  <c r="AB82" i="25"/>
  <c r="AB83" i="25" s="1"/>
  <c r="AC82" i="25" a="1"/>
  <c r="AD82" i="25" a="1"/>
  <c r="AD82" i="25"/>
  <c r="AD83" i="25" s="1"/>
  <c r="AE82" i="25" a="1"/>
  <c r="AE82" i="25"/>
  <c r="AE83" i="25" s="1"/>
  <c r="AF82" i="25" a="1"/>
  <c r="AF82" i="25"/>
  <c r="AF83" i="25" s="1"/>
  <c r="AG82" i="25" a="1"/>
  <c r="AH82" i="25" a="1"/>
  <c r="AJ82" i="25" a="1"/>
  <c r="AK82" i="25" a="1"/>
  <c r="AL82" i="25" a="1"/>
  <c r="AL82" i="25"/>
  <c r="AL83" i="25" s="1"/>
  <c r="AM82" i="25" a="1"/>
  <c r="AM82" i="25"/>
  <c r="AM83" i="25" s="1"/>
  <c r="AN82" i="25" a="1"/>
  <c r="AO82" i="25" a="1"/>
  <c r="AO82" i="25"/>
  <c r="AO83" i="25" s="1"/>
  <c r="AP82" i="25" a="1"/>
  <c r="AQ82" i="25" a="1"/>
  <c r="AQ82" i="25"/>
  <c r="AQ83" i="25" s="1"/>
  <c r="AR82" i="25" a="1"/>
  <c r="AS82" i="25" a="1"/>
  <c r="AT82" i="25" a="1"/>
  <c r="AT82" i="25"/>
  <c r="AU82" i="25" a="1"/>
  <c r="AV82" i="25" a="1"/>
  <c r="AW82" i="25" a="1"/>
  <c r="BA82" i="25" a="1"/>
  <c r="BB82" i="25" a="1"/>
  <c r="BB82" i="25"/>
  <c r="BB83" i="25" s="1"/>
  <c r="BC82" i="25" a="1"/>
  <c r="BD82" i="25" a="1"/>
  <c r="BE82" i="25" a="1"/>
  <c r="BF82" i="25" a="1"/>
  <c r="BH82" i="25" a="1"/>
  <c r="BI82" i="25" a="1"/>
  <c r="BL82" i="25" a="1"/>
  <c r="BP82" i="25" a="1"/>
  <c r="BQ82" i="25" a="1"/>
  <c r="BR82" i="25" a="1"/>
  <c r="BT82" i="25" a="1"/>
  <c r="BW82" i="25" a="1"/>
  <c r="CE82" i="25" a="1"/>
  <c r="CF82" i="25" a="1"/>
  <c r="CG82" i="25" a="1"/>
  <c r="AT83" i="25"/>
  <c r="C2" i="24" a="1"/>
  <c r="C2" i="24" s="1"/>
  <c r="E2" i="24"/>
  <c r="C3" i="24" a="1"/>
  <c r="C3" i="24" s="1"/>
  <c r="E3" i="24"/>
  <c r="C4" i="24" a="1"/>
  <c r="C4" i="24" s="1"/>
  <c r="E4" i="24"/>
  <c r="C5" i="24" a="1"/>
  <c r="C5" i="24" s="1"/>
  <c r="E5" i="24"/>
  <c r="C6" i="24" a="1"/>
  <c r="C6" i="24" s="1"/>
  <c r="E6" i="24"/>
  <c r="C7" i="24" a="1"/>
  <c r="C7" i="24" s="1"/>
  <c r="E7" i="24"/>
  <c r="C8" i="24" a="1"/>
  <c r="C8" i="24" s="1"/>
  <c r="E8" i="24"/>
  <c r="C9" i="24" a="1"/>
  <c r="C9" i="24" s="1"/>
  <c r="E9" i="24"/>
  <c r="C10" i="24" a="1"/>
  <c r="C10" i="24" s="1"/>
  <c r="E10" i="24"/>
  <c r="C11" i="24" a="1"/>
  <c r="C11" i="24" s="1"/>
  <c r="E11" i="24"/>
  <c r="C12" i="24" a="1"/>
  <c r="C12" i="24" s="1"/>
  <c r="E12" i="24"/>
  <c r="C13" i="24" a="1"/>
  <c r="C13" i="24" s="1"/>
  <c r="E13" i="24"/>
  <c r="C14" i="24" a="1"/>
  <c r="C14" i="24" s="1"/>
  <c r="E14" i="24"/>
  <c r="C15" i="24" a="1"/>
  <c r="C15" i="24" s="1"/>
  <c r="E15" i="24"/>
  <c r="C16" i="24" a="1"/>
  <c r="C16" i="24" s="1"/>
  <c r="E16" i="24"/>
  <c r="C17" i="24" a="1"/>
  <c r="C17" i="24" s="1"/>
  <c r="E17" i="24"/>
  <c r="C18" i="24" a="1"/>
  <c r="C18" i="24" s="1"/>
  <c r="E18" i="24"/>
  <c r="C19" i="24" a="1"/>
  <c r="C19" i="24" s="1"/>
  <c r="E19" i="24"/>
  <c r="C20" i="24" a="1"/>
  <c r="C20" i="24" s="1"/>
  <c r="E20" i="24"/>
  <c r="C21" i="24" a="1"/>
  <c r="C21" i="24" s="1"/>
  <c r="E21" i="24"/>
  <c r="C22" i="24" a="1"/>
  <c r="C22" i="24" s="1"/>
  <c r="E22" i="24"/>
  <c r="C23" i="24" a="1"/>
  <c r="C23" i="24" s="1"/>
  <c r="E23" i="24"/>
  <c r="C24" i="24" a="1"/>
  <c r="C24" i="24" s="1"/>
  <c r="E24" i="24"/>
  <c r="C25" i="24" a="1"/>
  <c r="C25" i="24" s="1"/>
  <c r="E25" i="24"/>
  <c r="C26" i="24" a="1"/>
  <c r="C26" i="24" s="1"/>
  <c r="E26" i="24"/>
  <c r="C27" i="24" a="1"/>
  <c r="C27" i="24" s="1"/>
  <c r="E27" i="24"/>
  <c r="C28" i="24" a="1"/>
  <c r="C28" i="24" s="1"/>
  <c r="E28" i="24"/>
  <c r="C29" i="24" a="1"/>
  <c r="C29" i="24" s="1"/>
  <c r="E29" i="24"/>
  <c r="C30" i="24" a="1"/>
  <c r="C30" i="24" s="1"/>
  <c r="E30" i="24"/>
  <c r="C31" i="24" a="1"/>
  <c r="C31" i="24" s="1"/>
  <c r="E31" i="24"/>
  <c r="C32" i="24" a="1"/>
  <c r="C32" i="24" s="1"/>
  <c r="E32" i="24"/>
  <c r="C33" i="24" a="1"/>
  <c r="C33" i="24" s="1"/>
  <c r="E33" i="24"/>
  <c r="C34" i="24" a="1"/>
  <c r="C34" i="24" s="1"/>
  <c r="E34" i="24"/>
  <c r="C35" i="24" a="1"/>
  <c r="C35" i="24" s="1"/>
  <c r="E35" i="24"/>
  <c r="C36" i="24" a="1"/>
  <c r="C36" i="24" s="1"/>
  <c r="E36" i="24"/>
  <c r="C37" i="24" a="1"/>
  <c r="C37" i="24" s="1"/>
  <c r="E37" i="24"/>
  <c r="C38" i="24" a="1"/>
  <c r="C38" i="24" s="1"/>
  <c r="E38" i="24"/>
  <c r="C39" i="24" a="1"/>
  <c r="C39" i="24" s="1"/>
  <c r="E39" i="24"/>
  <c r="C40" i="24" a="1"/>
  <c r="C40" i="24" s="1"/>
  <c r="E40" i="24"/>
  <c r="C41" i="24" a="1"/>
  <c r="C41" i="24" s="1"/>
  <c r="E41" i="24"/>
  <c r="C42" i="24" a="1"/>
  <c r="C42" i="24" s="1"/>
  <c r="E42" i="24"/>
  <c r="C43" i="24" a="1"/>
  <c r="C43" i="24" s="1"/>
  <c r="E43" i="24"/>
  <c r="C44" i="24" a="1"/>
  <c r="C44" i="24" s="1"/>
  <c r="E44" i="24"/>
  <c r="C45" i="24" a="1"/>
  <c r="C45" i="24" s="1"/>
  <c r="E45" i="24"/>
  <c r="C46" i="24" a="1"/>
  <c r="C46" i="24" s="1"/>
  <c r="E46" i="24"/>
  <c r="C47" i="24" a="1"/>
  <c r="C47" i="24" s="1"/>
  <c r="E47" i="24"/>
  <c r="C48" i="24" a="1"/>
  <c r="C48" i="24" s="1"/>
  <c r="E48" i="24"/>
  <c r="C49" i="24" a="1"/>
  <c r="C49" i="24" s="1"/>
  <c r="E49" i="24"/>
  <c r="C50" i="24" a="1"/>
  <c r="C50" i="24" s="1"/>
  <c r="E50" i="24"/>
  <c r="C51" i="24" a="1"/>
  <c r="C51" i="24" s="1"/>
  <c r="E51" i="24"/>
  <c r="C52" i="24" a="1"/>
  <c r="C52" i="24" s="1"/>
  <c r="E52" i="24"/>
  <c r="C53" i="24" a="1"/>
  <c r="C53" i="24" s="1"/>
  <c r="E53" i="24"/>
  <c r="C54" i="24" a="1"/>
  <c r="C54" i="24" s="1"/>
  <c r="E54" i="24"/>
  <c r="C55" i="24" a="1"/>
  <c r="C55" i="24" s="1"/>
  <c r="E55" i="24"/>
  <c r="C56" i="24" a="1"/>
  <c r="C56" i="24" s="1"/>
  <c r="E56" i="24"/>
  <c r="C57" i="24" a="1"/>
  <c r="C57" i="24" s="1"/>
  <c r="E57" i="24"/>
  <c r="C58" i="24" a="1"/>
  <c r="C58" i="24" s="1"/>
  <c r="E58" i="24"/>
  <c r="C59" i="24" a="1"/>
  <c r="C59" i="24" s="1"/>
  <c r="E59" i="24"/>
  <c r="C60" i="24" a="1"/>
  <c r="C60" i="24" s="1"/>
  <c r="E60" i="24"/>
  <c r="C61" i="24" a="1"/>
  <c r="C61" i="24" s="1"/>
  <c r="E61" i="24"/>
  <c r="C62" i="24" a="1"/>
  <c r="C62" i="24" s="1"/>
  <c r="E62" i="24"/>
  <c r="C63" i="24" a="1"/>
  <c r="C63" i="24" s="1"/>
  <c r="E63" i="24"/>
  <c r="C64" i="24" a="1"/>
  <c r="C64" i="24" s="1"/>
  <c r="E64" i="24"/>
  <c r="C65" i="24" a="1"/>
  <c r="C65" i="24" s="1"/>
  <c r="E65" i="24"/>
  <c r="C66" i="24" a="1"/>
  <c r="C66" i="24" s="1"/>
  <c r="E66" i="24"/>
  <c r="C67" i="24" a="1"/>
  <c r="C67" i="24" s="1"/>
  <c r="E67" i="24"/>
  <c r="C68" i="24" a="1"/>
  <c r="C68" i="24" s="1"/>
  <c r="E68" i="24"/>
  <c r="C69" i="24" a="1"/>
  <c r="C69" i="24" s="1"/>
  <c r="E69" i="24"/>
  <c r="C70" i="24" a="1"/>
  <c r="C70" i="24" s="1"/>
  <c r="E70" i="24"/>
  <c r="C71" i="24" a="1"/>
  <c r="C71" i="24" s="1"/>
  <c r="E71" i="24"/>
  <c r="C72" i="24" a="1"/>
  <c r="C72" i="24" s="1"/>
  <c r="E72" i="24"/>
  <c r="C73" i="24" a="1"/>
  <c r="C73" i="24" s="1"/>
  <c r="E73" i="24"/>
  <c r="C74" i="24" a="1"/>
  <c r="C74" i="24" s="1"/>
  <c r="E74" i="24"/>
  <c r="C75" i="24" a="1"/>
  <c r="C75" i="24" s="1"/>
  <c r="E75" i="24"/>
  <c r="C76" i="24" a="1"/>
  <c r="C76" i="24" s="1"/>
  <c r="E76" i="24"/>
  <c r="C77" i="24" a="1"/>
  <c r="C77" i="24" s="1"/>
  <c r="E77" i="24"/>
  <c r="C78" i="24" a="1"/>
  <c r="C78" i="24" s="1"/>
  <c r="E78" i="24"/>
  <c r="C79" i="24" a="1"/>
  <c r="C79" i="24" s="1"/>
  <c r="E79" i="24"/>
  <c r="C80" i="24" a="1"/>
  <c r="C80" i="24" s="1"/>
  <c r="E80" i="24"/>
  <c r="C81" i="24" a="1"/>
  <c r="C81" i="24" s="1"/>
  <c r="E81" i="24"/>
  <c r="C82" i="24" a="1"/>
  <c r="C82" i="24" s="1"/>
  <c r="E82" i="24"/>
  <c r="C83" i="24" a="1"/>
  <c r="C83" i="24" s="1"/>
  <c r="E83" i="24"/>
  <c r="C84" i="24" a="1"/>
  <c r="C84" i="24" s="1"/>
  <c r="E84" i="24"/>
  <c r="C85" i="24" a="1"/>
  <c r="C85" i="24" s="1"/>
  <c r="E85" i="24"/>
  <c r="C86" i="24" a="1"/>
  <c r="C86" i="24" s="1"/>
  <c r="E86" i="24"/>
  <c r="C87" i="24" a="1"/>
  <c r="C87" i="24" s="1"/>
  <c r="E87" i="24"/>
  <c r="C88" i="24" a="1"/>
  <c r="C88" i="24" s="1"/>
  <c r="E88" i="24"/>
  <c r="C89" i="24" a="1"/>
  <c r="C89" i="24" s="1"/>
  <c r="E89" i="24"/>
  <c r="C90" i="24" a="1"/>
  <c r="C90" i="24" s="1"/>
  <c r="E90" i="24"/>
  <c r="C91" i="24" a="1"/>
  <c r="C91" i="24" s="1"/>
  <c r="E91" i="24"/>
  <c r="C92" i="24" a="1"/>
  <c r="C92" i="24" s="1"/>
  <c r="E92" i="24"/>
  <c r="C93" i="24" a="1"/>
  <c r="C93" i="24" s="1"/>
  <c r="E93" i="24"/>
  <c r="C94" i="24" a="1"/>
  <c r="C94" i="24" s="1"/>
  <c r="E94" i="24"/>
  <c r="C95" i="24" a="1"/>
  <c r="C95" i="24" s="1"/>
  <c r="E95" i="24"/>
  <c r="C96" i="24" a="1"/>
  <c r="C96" i="24" s="1"/>
  <c r="E96" i="24"/>
  <c r="C97" i="24" a="1"/>
  <c r="C97" i="24" s="1"/>
  <c r="E97" i="24"/>
  <c r="C98" i="24" a="1"/>
  <c r="C98" i="24" s="1"/>
  <c r="E98" i="24"/>
  <c r="C99" i="24" a="1"/>
  <c r="C99" i="24" s="1"/>
  <c r="E99" i="24"/>
  <c r="C100" i="24" a="1"/>
  <c r="C100" i="24" s="1"/>
  <c r="E100" i="24"/>
  <c r="C101" i="24" a="1"/>
  <c r="C101" i="24" s="1"/>
  <c r="E101" i="24"/>
  <c r="C102" i="24" a="1"/>
  <c r="C102" i="24" s="1"/>
  <c r="E102" i="24"/>
  <c r="C103" i="24" a="1"/>
  <c r="C103" i="24" s="1"/>
  <c r="E103" i="24"/>
  <c r="C104" i="24" a="1"/>
  <c r="C104" i="24" s="1"/>
  <c r="E104" i="24"/>
  <c r="C105" i="24" a="1"/>
  <c r="C105" i="24" s="1"/>
  <c r="E105" i="24"/>
  <c r="C106" i="24" a="1"/>
  <c r="C106" i="24" s="1"/>
  <c r="E106" i="24"/>
  <c r="C107" i="24" a="1"/>
  <c r="C107" i="24" s="1"/>
  <c r="E107" i="24"/>
  <c r="C108" i="24" a="1"/>
  <c r="C108" i="24" s="1"/>
  <c r="E108" i="24"/>
  <c r="C109" i="24" a="1"/>
  <c r="C109" i="24" s="1"/>
  <c r="E109" i="24"/>
  <c r="C110" i="24" a="1"/>
  <c r="C110" i="24" s="1"/>
  <c r="E110" i="24"/>
  <c r="C111" i="24" a="1"/>
  <c r="C111" i="24" s="1"/>
  <c r="E111" i="24"/>
  <c r="C112" i="24" a="1"/>
  <c r="C112" i="24" s="1"/>
  <c r="E112" i="24"/>
  <c r="C113" i="24" a="1"/>
  <c r="C113" i="24" s="1"/>
  <c r="E113" i="24"/>
  <c r="C114" i="24" a="1"/>
  <c r="C114" i="24" s="1"/>
  <c r="E114" i="24"/>
  <c r="C115" i="24" a="1"/>
  <c r="C115" i="24" s="1"/>
  <c r="E115" i="24"/>
  <c r="C116" i="24" a="1"/>
  <c r="C116" i="24" s="1"/>
  <c r="E116" i="24"/>
  <c r="C117" i="24" a="1"/>
  <c r="C117" i="24" s="1"/>
  <c r="E117" i="24"/>
  <c r="C118" i="24" a="1"/>
  <c r="C118" i="24" s="1"/>
  <c r="E118" i="24"/>
  <c r="C119" i="24" a="1"/>
  <c r="C119" i="24" s="1"/>
  <c r="E119" i="24"/>
  <c r="C120" i="24" a="1"/>
  <c r="C120" i="24" s="1"/>
  <c r="E120" i="24"/>
  <c r="C121" i="24" a="1"/>
  <c r="C121" i="24" s="1"/>
  <c r="E121" i="24"/>
  <c r="C122" i="24" a="1"/>
  <c r="C122" i="24" s="1"/>
  <c r="E122" i="24"/>
  <c r="C123" i="24" a="1"/>
  <c r="C123" i="24" s="1"/>
  <c r="E123" i="24"/>
  <c r="C124" i="24" a="1"/>
  <c r="C124" i="24" s="1"/>
  <c r="E124" i="24"/>
  <c r="C125" i="24" a="1"/>
  <c r="C125" i="24" s="1"/>
  <c r="E125" i="24"/>
  <c r="C126" i="24" a="1"/>
  <c r="C126" i="24" s="1"/>
  <c r="E126" i="24"/>
  <c r="C127" i="24" a="1"/>
  <c r="C127" i="24" s="1"/>
  <c r="E127" i="24"/>
  <c r="C128" i="24" a="1"/>
  <c r="C128" i="24" s="1"/>
  <c r="E128" i="24"/>
  <c r="C129" i="24" a="1"/>
  <c r="C129" i="24" s="1"/>
  <c r="E129" i="24"/>
  <c r="C130" i="24" a="1"/>
  <c r="C130" i="24" s="1"/>
  <c r="E130" i="24"/>
  <c r="C131" i="24" a="1"/>
  <c r="C131" i="24" s="1"/>
  <c r="E131" i="24"/>
  <c r="C132" i="24" a="1"/>
  <c r="C132" i="24" s="1"/>
  <c r="E132" i="24"/>
  <c r="C133" i="24" a="1"/>
  <c r="C133" i="24" s="1"/>
  <c r="E133" i="24"/>
  <c r="C134" i="24" a="1"/>
  <c r="C134" i="24" s="1"/>
  <c r="E134" i="24"/>
  <c r="C135" i="24" a="1"/>
  <c r="C135" i="24" s="1"/>
  <c r="E135" i="24"/>
  <c r="C136" i="24" a="1"/>
  <c r="C136" i="24" s="1"/>
  <c r="E136" i="24"/>
  <c r="C137" i="24" a="1"/>
  <c r="C137" i="24" s="1"/>
  <c r="E137" i="24"/>
  <c r="C138" i="24" a="1"/>
  <c r="C138" i="24" s="1"/>
  <c r="E138" i="24"/>
  <c r="C139" i="24" a="1"/>
  <c r="C139" i="24" s="1"/>
  <c r="E139" i="24"/>
  <c r="C140" i="24" a="1"/>
  <c r="C140" i="24" s="1"/>
  <c r="E140" i="24"/>
  <c r="C141" i="24" a="1"/>
  <c r="C141" i="24" s="1"/>
  <c r="E141" i="24"/>
  <c r="C142" i="24" a="1"/>
  <c r="C142" i="24" s="1"/>
  <c r="E142" i="24"/>
  <c r="C143" i="24" a="1"/>
  <c r="C143" i="24" s="1"/>
  <c r="E143" i="24"/>
  <c r="C144" i="24" a="1"/>
  <c r="C144" i="24" s="1"/>
  <c r="E144" i="24"/>
  <c r="C145" i="24" a="1"/>
  <c r="C145" i="24" s="1"/>
  <c r="E145" i="24"/>
  <c r="C146" i="24" a="1"/>
  <c r="C146" i="24" s="1"/>
  <c r="E146" i="24"/>
  <c r="C147" i="24" a="1"/>
  <c r="C147" i="24" s="1"/>
  <c r="E147" i="24"/>
  <c r="C148" i="24" a="1"/>
  <c r="C148" i="24" s="1"/>
  <c r="E148" i="24"/>
  <c r="C149" i="24" a="1"/>
  <c r="C149" i="24" s="1"/>
  <c r="E149" i="24"/>
  <c r="C150" i="24" a="1"/>
  <c r="C150" i="24" s="1"/>
  <c r="E150" i="24"/>
  <c r="C151" i="24" a="1"/>
  <c r="C151" i="24" s="1"/>
  <c r="E151" i="24"/>
  <c r="C152" i="24" a="1"/>
  <c r="C152" i="24" s="1"/>
  <c r="E152" i="24"/>
  <c r="C153" i="24" a="1"/>
  <c r="C153" i="24" s="1"/>
  <c r="E153" i="24"/>
  <c r="C154" i="24" a="1"/>
  <c r="C154" i="24" s="1"/>
  <c r="E154" i="24"/>
  <c r="C155" i="24" a="1"/>
  <c r="C155" i="24" s="1"/>
  <c r="E155" i="24"/>
  <c r="C156" i="24" a="1"/>
  <c r="C156" i="24" s="1"/>
  <c r="E156" i="24"/>
  <c r="C157" i="24" a="1"/>
  <c r="C157" i="24" s="1"/>
  <c r="E157" i="24"/>
  <c r="C158" i="24" a="1"/>
  <c r="C158" i="24" s="1"/>
  <c r="E158" i="24"/>
  <c r="C159" i="24" a="1"/>
  <c r="C159" i="24" s="1"/>
  <c r="E159" i="24"/>
  <c r="C160" i="24" a="1"/>
  <c r="C160" i="24" s="1"/>
  <c r="E160" i="24"/>
  <c r="C161" i="24" a="1"/>
  <c r="C161" i="24" s="1"/>
  <c r="E161" i="24"/>
  <c r="C162" i="24" a="1"/>
  <c r="C162" i="24" s="1"/>
  <c r="E162" i="24"/>
  <c r="C163" i="24" a="1"/>
  <c r="C163" i="24" s="1"/>
  <c r="E163" i="24"/>
  <c r="C164" i="24" a="1"/>
  <c r="C164" i="24" s="1"/>
  <c r="E164" i="24"/>
  <c r="C165" i="24" a="1"/>
  <c r="C165" i="24" s="1"/>
  <c r="E165" i="24"/>
  <c r="C166" i="24" a="1"/>
  <c r="C166" i="24" s="1"/>
  <c r="E166" i="24"/>
  <c r="C167" i="24" a="1"/>
  <c r="C167" i="24" s="1"/>
  <c r="E167" i="24"/>
  <c r="C168" i="24" a="1"/>
  <c r="C168" i="24" s="1"/>
  <c r="E168" i="24"/>
  <c r="C169" i="24" a="1"/>
  <c r="C169" i="24" s="1"/>
  <c r="E169" i="24"/>
  <c r="C170" i="24" a="1"/>
  <c r="C170" i="24" s="1"/>
  <c r="E170" i="24"/>
  <c r="C171" i="24" a="1"/>
  <c r="C171" i="24" s="1"/>
  <c r="E171" i="24"/>
  <c r="C172" i="24" a="1"/>
  <c r="C172" i="24" s="1"/>
  <c r="E172" i="24"/>
  <c r="C173" i="24" a="1"/>
  <c r="C173" i="24" s="1"/>
  <c r="E173" i="24"/>
  <c r="C174" i="24" a="1"/>
  <c r="C174" i="24" s="1"/>
  <c r="E174" i="24"/>
  <c r="C175" i="24" a="1"/>
  <c r="C175" i="24" s="1"/>
  <c r="E175" i="24"/>
  <c r="C176" i="24" a="1"/>
  <c r="C176" i="24" s="1"/>
  <c r="E176" i="24"/>
  <c r="C177" i="24" a="1"/>
  <c r="C177" i="24" s="1"/>
  <c r="E177" i="24"/>
  <c r="C178" i="24" a="1"/>
  <c r="C178" i="24" s="1"/>
  <c r="E178" i="24"/>
  <c r="C179" i="24" a="1"/>
  <c r="C179" i="24" s="1"/>
  <c r="E179" i="24"/>
  <c r="C180" i="24" a="1"/>
  <c r="C180" i="24" s="1"/>
  <c r="E180" i="24"/>
  <c r="C181" i="24" a="1"/>
  <c r="C181" i="24" s="1"/>
  <c r="E181" i="24"/>
  <c r="C182" i="24" a="1"/>
  <c r="C182" i="24" s="1"/>
  <c r="E182" i="24"/>
  <c r="C183" i="24" a="1"/>
  <c r="C183" i="24" s="1"/>
  <c r="E183" i="24"/>
  <c r="C184" i="24" a="1"/>
  <c r="C184" i="24" s="1"/>
  <c r="E184" i="24"/>
  <c r="C185" i="24" a="1"/>
  <c r="C185" i="24" s="1"/>
  <c r="E185" i="24"/>
  <c r="C186" i="24" a="1"/>
  <c r="C186" i="24" s="1"/>
  <c r="E186" i="24"/>
  <c r="C187" i="24" a="1"/>
  <c r="C187" i="24" s="1"/>
  <c r="E187" i="24"/>
  <c r="C188" i="24" a="1"/>
  <c r="C188" i="24" s="1"/>
  <c r="E188" i="24"/>
  <c r="C189" i="24" a="1"/>
  <c r="C189" i="24" s="1"/>
  <c r="E189" i="24"/>
  <c r="C190" i="24" a="1"/>
  <c r="C190" i="24" s="1"/>
  <c r="E190" i="24"/>
  <c r="C191" i="24" a="1"/>
  <c r="C191" i="24" s="1"/>
  <c r="E191" i="24"/>
  <c r="C192" i="24" a="1"/>
  <c r="C192" i="24" s="1"/>
  <c r="E192" i="24"/>
  <c r="C193" i="24" a="1"/>
  <c r="C193" i="24" s="1"/>
  <c r="E193" i="24"/>
  <c r="C194" i="24" a="1"/>
  <c r="C194" i="24" s="1"/>
  <c r="E194" i="24"/>
  <c r="C195" i="24" a="1"/>
  <c r="C195" i="24" s="1"/>
  <c r="E195" i="24"/>
  <c r="C196" i="24" a="1"/>
  <c r="C196" i="24" s="1"/>
  <c r="E196" i="24"/>
  <c r="C197" i="24" a="1"/>
  <c r="C197" i="24" s="1"/>
  <c r="E197" i="24"/>
  <c r="C198" i="24" a="1"/>
  <c r="C198" i="24" s="1"/>
  <c r="E198" i="24"/>
  <c r="C199" i="24" a="1"/>
  <c r="C199" i="24" s="1"/>
  <c r="E199" i="24"/>
  <c r="C200" i="24" a="1"/>
  <c r="C200" i="24" s="1"/>
  <c r="E200" i="24"/>
  <c r="C201" i="24" a="1"/>
  <c r="C201" i="24" s="1"/>
  <c r="E201" i="24"/>
  <c r="C202" i="24" a="1"/>
  <c r="C202" i="24" s="1"/>
  <c r="E202" i="24"/>
  <c r="C203" i="24" a="1"/>
  <c r="C203" i="24" s="1"/>
  <c r="E203" i="24"/>
  <c r="C204" i="24" a="1"/>
  <c r="C204" i="24" s="1"/>
  <c r="E204" i="24"/>
  <c r="C205" i="24" a="1"/>
  <c r="C205" i="24" s="1"/>
  <c r="E205" i="24"/>
  <c r="C206" i="24" a="1"/>
  <c r="C206" i="24" s="1"/>
  <c r="E206" i="24"/>
  <c r="C207" i="24" a="1"/>
  <c r="C207" i="24" s="1"/>
  <c r="E207" i="24"/>
  <c r="C208" i="24" a="1"/>
  <c r="C208" i="24" s="1"/>
  <c r="E208" i="24"/>
  <c r="C209" i="24" a="1"/>
  <c r="C209" i="24" s="1"/>
  <c r="E209" i="24"/>
  <c r="C210" i="24" a="1"/>
  <c r="C210" i="24" s="1"/>
  <c r="E210" i="24"/>
  <c r="C211" i="24" a="1"/>
  <c r="C211" i="24" s="1"/>
  <c r="E211" i="24"/>
  <c r="C212" i="24" a="1"/>
  <c r="C212" i="24" s="1"/>
  <c r="E212" i="24"/>
  <c r="C213" i="24" a="1"/>
  <c r="C213" i="24" s="1"/>
  <c r="E213" i="24"/>
  <c r="C214" i="24" a="1"/>
  <c r="C214" i="24" s="1"/>
  <c r="E214" i="24"/>
  <c r="C215" i="24" a="1"/>
  <c r="C215" i="24" s="1"/>
  <c r="E215" i="24"/>
  <c r="C216" i="24" a="1"/>
  <c r="C216" i="24" s="1"/>
  <c r="E216" i="24"/>
  <c r="C217" i="24" a="1"/>
  <c r="C217" i="24" s="1"/>
  <c r="E217" i="24"/>
  <c r="C218" i="24" a="1"/>
  <c r="C218" i="24" s="1"/>
  <c r="E218" i="24"/>
  <c r="C219" i="24" a="1"/>
  <c r="C219" i="24" s="1"/>
  <c r="E219" i="24"/>
  <c r="C220" i="24" a="1"/>
  <c r="C220" i="24" s="1"/>
  <c r="E220" i="24"/>
  <c r="C221" i="24" a="1"/>
  <c r="C221" i="24" s="1"/>
  <c r="E221" i="24"/>
  <c r="C222" i="24" a="1"/>
  <c r="C222" i="24" s="1"/>
  <c r="E222" i="24"/>
  <c r="C223" i="24" a="1"/>
  <c r="C223" i="24" s="1"/>
  <c r="E223" i="24"/>
  <c r="C224" i="24" a="1"/>
  <c r="C224" i="24" s="1"/>
  <c r="E224" i="24"/>
  <c r="C225" i="24" a="1"/>
  <c r="C225" i="24" s="1"/>
  <c r="E225" i="24"/>
  <c r="C226" i="24" a="1"/>
  <c r="C226" i="24" s="1"/>
  <c r="E226" i="24"/>
  <c r="C227" i="24" a="1"/>
  <c r="C227" i="24" s="1"/>
  <c r="E227" i="24"/>
  <c r="C228" i="24" a="1"/>
  <c r="C228" i="24" s="1"/>
  <c r="E228" i="24"/>
  <c r="C229" i="24" a="1"/>
  <c r="C229" i="24" s="1"/>
  <c r="E229" i="24"/>
  <c r="C230" i="24" a="1"/>
  <c r="C230" i="24" s="1"/>
  <c r="E230" i="24"/>
  <c r="C231" i="24" a="1"/>
  <c r="C231" i="24" s="1"/>
  <c r="E231" i="24"/>
  <c r="C232" i="24" a="1"/>
  <c r="C232" i="24" s="1"/>
  <c r="E232" i="24"/>
  <c r="C233" i="24" a="1"/>
  <c r="C233" i="24" s="1"/>
  <c r="E233" i="24"/>
  <c r="C234" i="24" a="1"/>
  <c r="C234" i="24" s="1"/>
  <c r="E234" i="24"/>
  <c r="C235" i="24" a="1"/>
  <c r="C235" i="24" s="1"/>
  <c r="E235" i="24"/>
  <c r="C236" i="24" a="1"/>
  <c r="C236" i="24" s="1"/>
  <c r="E236" i="24"/>
  <c r="C237" i="24" a="1"/>
  <c r="C237" i="24" s="1"/>
  <c r="E237" i="24"/>
  <c r="C238" i="24" a="1"/>
  <c r="C238" i="24" s="1"/>
  <c r="E238" i="24"/>
  <c r="C239" i="24" a="1"/>
  <c r="C239" i="24" s="1"/>
  <c r="E239" i="24"/>
  <c r="C240" i="24" a="1"/>
  <c r="C240" i="24" s="1"/>
  <c r="E240" i="24"/>
  <c r="C241" i="24" a="1"/>
  <c r="C241" i="24" s="1"/>
  <c r="E241" i="24"/>
  <c r="C242" i="24" a="1"/>
  <c r="C242" i="24" s="1"/>
  <c r="E242" i="24"/>
  <c r="C243" i="24" a="1"/>
  <c r="C243" i="24" s="1"/>
  <c r="E243" i="24"/>
  <c r="C244" i="24" a="1"/>
  <c r="C244" i="24" s="1"/>
  <c r="E244" i="24"/>
  <c r="C245" i="24" a="1"/>
  <c r="C245" i="24" s="1"/>
  <c r="E245" i="24"/>
  <c r="C246" i="24" a="1"/>
  <c r="C246" i="24" s="1"/>
  <c r="E246" i="24"/>
  <c r="C247" i="24" a="1"/>
  <c r="C247" i="24" s="1"/>
  <c r="E247" i="24"/>
  <c r="C248" i="24" a="1"/>
  <c r="C248" i="24" s="1"/>
  <c r="E248" i="24"/>
  <c r="C249" i="24" a="1"/>
  <c r="C249" i="24" s="1"/>
  <c r="E249" i="24"/>
  <c r="C250" i="24" a="1"/>
  <c r="C250" i="24" s="1"/>
  <c r="E250" i="24"/>
  <c r="C251" i="24" a="1"/>
  <c r="C251" i="24" s="1"/>
  <c r="E251" i="24"/>
  <c r="C252" i="24" a="1"/>
  <c r="C252" i="24" s="1"/>
  <c r="E252" i="24"/>
  <c r="C253" i="24" a="1"/>
  <c r="C253" i="24" s="1"/>
  <c r="E253" i="24"/>
  <c r="C254" i="24" a="1"/>
  <c r="C254" i="24" s="1"/>
  <c r="E254" i="24"/>
  <c r="C255" i="24" a="1"/>
  <c r="C255" i="24" s="1"/>
  <c r="E255" i="24"/>
  <c r="C256" i="24" a="1"/>
  <c r="C256" i="24" s="1"/>
  <c r="E256" i="24"/>
  <c r="C257" i="24" a="1"/>
  <c r="C257" i="24" s="1"/>
  <c r="E257" i="24"/>
  <c r="C258" i="24" a="1"/>
  <c r="C258" i="24" s="1"/>
  <c r="E258" i="24"/>
  <c r="C259" i="24" a="1"/>
  <c r="C259" i="24" s="1"/>
  <c r="E259" i="24"/>
  <c r="C260" i="24" a="1"/>
  <c r="C260" i="24" s="1"/>
  <c r="E260" i="24"/>
  <c r="C261" i="24" a="1"/>
  <c r="C261" i="24" s="1"/>
  <c r="E261" i="24"/>
  <c r="C262" i="24" a="1"/>
  <c r="C262" i="24" s="1"/>
  <c r="E262" i="24"/>
  <c r="C263" i="24" a="1"/>
  <c r="C263" i="24" s="1"/>
  <c r="E263" i="24"/>
  <c r="C264" i="24" a="1"/>
  <c r="C264" i="24" s="1"/>
  <c r="E264" i="24"/>
  <c r="C265" i="24" a="1"/>
  <c r="C265" i="24" s="1"/>
  <c r="E265" i="24"/>
  <c r="C266" i="24" a="1"/>
  <c r="C266" i="24" s="1"/>
  <c r="E266" i="24"/>
  <c r="C267" i="24" a="1"/>
  <c r="C267" i="24" s="1"/>
  <c r="E267" i="24"/>
  <c r="C268" i="24" a="1"/>
  <c r="C268" i="24" s="1"/>
  <c r="E268" i="24"/>
  <c r="C269" i="24" a="1"/>
  <c r="C269" i="24" s="1"/>
  <c r="E269" i="24"/>
  <c r="C270" i="24" a="1"/>
  <c r="C270" i="24" s="1"/>
  <c r="E270" i="24"/>
  <c r="C271" i="24" a="1"/>
  <c r="C271" i="24" s="1"/>
  <c r="E271" i="24"/>
  <c r="C272" i="24" a="1"/>
  <c r="C272" i="24" s="1"/>
  <c r="E272" i="24"/>
  <c r="C273" i="24" a="1"/>
  <c r="C273" i="24" s="1"/>
  <c r="E273" i="24"/>
  <c r="C274" i="24" a="1"/>
  <c r="C274" i="24" s="1"/>
  <c r="E274" i="24"/>
  <c r="C275" i="24" a="1"/>
  <c r="C275" i="24" s="1"/>
  <c r="E275" i="24"/>
  <c r="C276" i="24" a="1"/>
  <c r="C276" i="24" s="1"/>
  <c r="E276" i="24"/>
  <c r="C277" i="24" a="1"/>
  <c r="C277" i="24" s="1"/>
  <c r="E277" i="24"/>
  <c r="C278" i="24" a="1"/>
  <c r="C278" i="24" s="1"/>
  <c r="E278" i="24"/>
  <c r="C279" i="24" a="1"/>
  <c r="C279" i="24" s="1"/>
  <c r="E279" i="24"/>
  <c r="C280" i="24" a="1"/>
  <c r="C280" i="24" s="1"/>
  <c r="E280" i="24"/>
  <c r="C281" i="24" a="1"/>
  <c r="C281" i="24" s="1"/>
  <c r="E281" i="24"/>
  <c r="C282" i="24" a="1"/>
  <c r="C282" i="24" s="1"/>
  <c r="E282" i="24"/>
  <c r="C283" i="24" a="1"/>
  <c r="C283" i="24" s="1"/>
  <c r="E283" i="24"/>
  <c r="C284" i="24" a="1"/>
  <c r="C284" i="24" s="1"/>
  <c r="E284" i="24"/>
  <c r="C285" i="24" a="1"/>
  <c r="C285" i="24" s="1"/>
  <c r="E285" i="24"/>
  <c r="C286" i="24" a="1"/>
  <c r="C286" i="24" s="1"/>
  <c r="E286" i="24"/>
  <c r="C287" i="24" a="1"/>
  <c r="C287" i="24" s="1"/>
  <c r="E287" i="24"/>
  <c r="C288" i="24" a="1"/>
  <c r="C288" i="24" s="1"/>
  <c r="E288" i="24"/>
  <c r="C289" i="24" a="1"/>
  <c r="C289" i="24" s="1"/>
  <c r="E289" i="24"/>
  <c r="C290" i="24" a="1"/>
  <c r="C290" i="24" s="1"/>
  <c r="E290" i="24"/>
  <c r="C291" i="24" a="1"/>
  <c r="C291" i="24" s="1"/>
  <c r="E291" i="24"/>
  <c r="C292" i="24" a="1"/>
  <c r="C292" i="24" s="1"/>
  <c r="E292" i="24"/>
  <c r="C293" i="24" a="1"/>
  <c r="C293" i="24" s="1"/>
  <c r="E293" i="24"/>
  <c r="C294" i="24" a="1"/>
  <c r="C294" i="24" s="1"/>
  <c r="E294" i="24"/>
  <c r="C295" i="24" a="1"/>
  <c r="C295" i="24" s="1"/>
  <c r="E295" i="24"/>
  <c r="C296" i="24" a="1"/>
  <c r="C296" i="24" s="1"/>
  <c r="E296" i="24"/>
  <c r="C297" i="24" a="1"/>
  <c r="C297" i="24" s="1"/>
  <c r="E297" i="24"/>
  <c r="C298" i="24" a="1"/>
  <c r="C298" i="24" s="1"/>
  <c r="E298" i="24"/>
  <c r="C299" i="24" a="1"/>
  <c r="C299" i="24" s="1"/>
  <c r="E299" i="24"/>
  <c r="C300" i="24" a="1"/>
  <c r="C300" i="24" s="1"/>
  <c r="E300" i="24"/>
  <c r="C301" i="24" a="1"/>
  <c r="C301" i="24" s="1"/>
  <c r="E301" i="24"/>
  <c r="C302" i="24" a="1"/>
  <c r="C302" i="24" s="1"/>
  <c r="E302" i="24"/>
  <c r="C303" i="24" a="1"/>
  <c r="C303" i="24" s="1"/>
  <c r="E303" i="24"/>
  <c r="C304" i="24" a="1"/>
  <c r="C304" i="24" s="1"/>
  <c r="E304" i="24"/>
  <c r="C305" i="24" a="1"/>
  <c r="C305" i="24" s="1"/>
  <c r="E305" i="24"/>
  <c r="C306" i="24" a="1"/>
  <c r="C306" i="24" s="1"/>
  <c r="E306" i="24"/>
  <c r="C307" i="24" a="1"/>
  <c r="C307" i="24" s="1"/>
  <c r="E307" i="24"/>
  <c r="C308" i="24" a="1"/>
  <c r="C308" i="24" s="1"/>
  <c r="E308" i="24"/>
  <c r="C309" i="24" a="1"/>
  <c r="C309" i="24" s="1"/>
  <c r="E309" i="24"/>
  <c r="C310" i="24" a="1"/>
  <c r="C310" i="24" s="1"/>
  <c r="E310" i="24"/>
  <c r="C311" i="24" a="1"/>
  <c r="C311" i="24" s="1"/>
  <c r="E311" i="24"/>
  <c r="C312" i="24" a="1"/>
  <c r="C312" i="24" s="1"/>
  <c r="E312" i="24"/>
  <c r="C313" i="24" a="1"/>
  <c r="C313" i="24" s="1"/>
  <c r="E313" i="24"/>
  <c r="C314" i="24" a="1"/>
  <c r="C314" i="24" s="1"/>
  <c r="E314" i="24"/>
  <c r="C315" i="24" a="1"/>
  <c r="C315" i="24" s="1"/>
  <c r="E315" i="24"/>
  <c r="C316" i="24" a="1"/>
  <c r="C316" i="24" s="1"/>
  <c r="E316" i="24"/>
  <c r="C317" i="24" a="1"/>
  <c r="C317" i="24" s="1"/>
  <c r="E317" i="24"/>
  <c r="C318" i="24" a="1"/>
  <c r="C318" i="24" s="1"/>
  <c r="E318" i="24"/>
  <c r="C319" i="24" a="1"/>
  <c r="C319" i="24" s="1"/>
  <c r="E319" i="24"/>
  <c r="C320" i="24" a="1"/>
  <c r="C320" i="24" s="1"/>
  <c r="E320" i="24"/>
  <c r="C321" i="24" a="1"/>
  <c r="C321" i="24" s="1"/>
  <c r="E321" i="24"/>
  <c r="C322" i="24" a="1"/>
  <c r="C322" i="24" s="1"/>
  <c r="E322" i="24"/>
  <c r="C323" i="24" a="1"/>
  <c r="C323" i="24" s="1"/>
  <c r="E323" i="24"/>
  <c r="C324" i="24" a="1"/>
  <c r="C324" i="24" s="1"/>
  <c r="E324" i="24"/>
  <c r="C325" i="24" a="1"/>
  <c r="C325" i="24" s="1"/>
  <c r="E325" i="24"/>
  <c r="C326" i="24" a="1"/>
  <c r="C326" i="24" s="1"/>
  <c r="E326" i="24"/>
  <c r="C327" i="24" a="1"/>
  <c r="C327" i="24" s="1"/>
  <c r="E327" i="24"/>
  <c r="C328" i="24" a="1"/>
  <c r="C328" i="24" s="1"/>
  <c r="E328" i="24"/>
  <c r="C329" i="24" a="1"/>
  <c r="C329" i="24" s="1"/>
  <c r="E329" i="24"/>
  <c r="C330" i="24" a="1"/>
  <c r="C330" i="24" s="1"/>
  <c r="E330" i="24"/>
  <c r="C331" i="24" a="1"/>
  <c r="C331" i="24" s="1"/>
  <c r="E331" i="24"/>
  <c r="C332" i="24" a="1"/>
  <c r="C332" i="24" s="1"/>
  <c r="E332" i="24"/>
  <c r="C333" i="24" a="1"/>
  <c r="C333" i="24" s="1"/>
  <c r="E333" i="24"/>
  <c r="C334" i="24" a="1"/>
  <c r="C334" i="24" s="1"/>
  <c r="E334" i="24"/>
  <c r="C335" i="24" a="1"/>
  <c r="C335" i="24" s="1"/>
  <c r="E335" i="24"/>
  <c r="C336" i="24" a="1"/>
  <c r="C336" i="24" s="1"/>
  <c r="E336" i="24"/>
  <c r="C337" i="24" a="1"/>
  <c r="C337" i="24" s="1"/>
  <c r="E337" i="24"/>
  <c r="C338" i="24" a="1"/>
  <c r="C338" i="24" s="1"/>
  <c r="E338" i="24"/>
  <c r="C339" i="24" a="1"/>
  <c r="C339" i="24" s="1"/>
  <c r="E339" i="24"/>
  <c r="C340" i="24" a="1"/>
  <c r="C340" i="24" s="1"/>
  <c r="E340" i="24"/>
  <c r="C341" i="24" a="1"/>
  <c r="C341" i="24" s="1"/>
  <c r="E341" i="24"/>
  <c r="C342" i="24" a="1"/>
  <c r="C342" i="24" s="1"/>
  <c r="E342" i="24"/>
  <c r="C343" i="24" a="1"/>
  <c r="C343" i="24" s="1"/>
  <c r="E343" i="24"/>
  <c r="C344" i="24" a="1"/>
  <c r="C344" i="24" s="1"/>
  <c r="E344" i="24"/>
  <c r="C345" i="24" a="1"/>
  <c r="C345" i="24" s="1"/>
  <c r="E345" i="24"/>
  <c r="C346" i="24" a="1"/>
  <c r="C346" i="24" s="1"/>
  <c r="E346" i="24"/>
  <c r="C347" i="24" a="1"/>
  <c r="C347" i="24" s="1"/>
  <c r="E347" i="24"/>
  <c r="C348" i="24" a="1"/>
  <c r="C348" i="24" s="1"/>
  <c r="E348" i="24"/>
  <c r="C349" i="24" a="1"/>
  <c r="C349" i="24" s="1"/>
  <c r="E349" i="24"/>
  <c r="C350" i="24" a="1"/>
  <c r="C350" i="24" s="1"/>
  <c r="E350" i="24"/>
  <c r="C351" i="24" a="1"/>
  <c r="C351" i="24" s="1"/>
  <c r="E351" i="24"/>
  <c r="C352" i="24" a="1"/>
  <c r="C352" i="24" s="1"/>
  <c r="E352" i="24"/>
  <c r="C353" i="24" a="1"/>
  <c r="C353" i="24" s="1"/>
  <c r="E353" i="24"/>
  <c r="C354" i="24" a="1"/>
  <c r="C354" i="24" s="1"/>
  <c r="E354" i="24"/>
  <c r="C355" i="24" a="1"/>
  <c r="C355" i="24" s="1"/>
  <c r="E355" i="24"/>
  <c r="C356" i="24" a="1"/>
  <c r="C356" i="24" s="1"/>
  <c r="E356" i="24"/>
  <c r="C357" i="24" a="1"/>
  <c r="C357" i="24" s="1"/>
  <c r="E357" i="24"/>
  <c r="C358" i="24" a="1"/>
  <c r="C358" i="24" s="1"/>
  <c r="E358" i="24"/>
  <c r="C359" i="24" a="1"/>
  <c r="C359" i="24" s="1"/>
  <c r="E359" i="24"/>
  <c r="C360" i="24" a="1"/>
  <c r="C360" i="24" s="1"/>
  <c r="E360" i="24"/>
  <c r="C361" i="24" a="1"/>
  <c r="C361" i="24" s="1"/>
  <c r="E361" i="24"/>
  <c r="C362" i="24" a="1"/>
  <c r="C362" i="24" s="1"/>
  <c r="E362" i="24"/>
  <c r="C363" i="24" a="1"/>
  <c r="C363" i="24" s="1"/>
  <c r="E363" i="24"/>
  <c r="C364" i="24" a="1"/>
  <c r="C364" i="24" s="1"/>
  <c r="E364" i="24"/>
  <c r="C365" i="24" a="1"/>
  <c r="C365" i="24" s="1"/>
  <c r="E365" i="24"/>
  <c r="C366" i="24" a="1"/>
  <c r="C366" i="24" s="1"/>
  <c r="E366" i="24"/>
  <c r="G37" i="15"/>
  <c r="G39" i="15"/>
  <c r="I14" i="15"/>
  <c r="G14" i="15"/>
  <c r="I15" i="15"/>
  <c r="G15" i="15"/>
  <c r="I16" i="15"/>
  <c r="G16" i="15"/>
  <c r="F32" i="30" s="1"/>
  <c r="I17" i="15"/>
  <c r="G17" i="15"/>
  <c r="F33" i="30" s="1"/>
  <c r="I18" i="15"/>
  <c r="G18" i="15"/>
  <c r="F34" i="30" s="1"/>
  <c r="I19" i="15"/>
  <c r="G19" i="15"/>
  <c r="F36" i="30" s="1"/>
  <c r="I20" i="15"/>
  <c r="G20" i="15"/>
  <c r="I21" i="15"/>
  <c r="G21" i="15"/>
  <c r="I22" i="15"/>
  <c r="G22" i="15"/>
  <c r="I23" i="15"/>
  <c r="G23" i="15"/>
  <c r="I24" i="15"/>
  <c r="G24" i="15"/>
  <c r="F42" i="30" s="1"/>
  <c r="I25" i="15"/>
  <c r="G25" i="15"/>
  <c r="E2" i="16" l="1"/>
  <c r="BY82" i="25"/>
  <c r="BY83" i="25" s="1"/>
  <c r="BJ82" i="25"/>
  <c r="BJ83" i="25" s="1"/>
  <c r="AU82" i="25"/>
  <c r="AU83" i="25" s="1"/>
  <c r="BC82" i="25"/>
  <c r="BC83" i="25" s="1"/>
  <c r="AG82" i="25"/>
  <c r="AG83" i="25" s="1"/>
  <c r="AV82" i="25"/>
  <c r="AV83" i="25" s="1"/>
  <c r="AN82" i="25"/>
  <c r="AN83" i="25" s="1"/>
  <c r="CA82" i="25"/>
  <c r="CA83" i="25" s="1"/>
  <c r="BE82" i="25"/>
  <c r="BE83" i="25" s="1"/>
  <c r="AA82" i="25"/>
  <c r="AA83" i="25" s="1"/>
  <c r="BT82" i="25"/>
  <c r="BT83" i="25" s="1"/>
  <c r="AJ82" i="25"/>
  <c r="AJ83" i="25" s="1"/>
  <c r="BR82" i="25"/>
  <c r="BR83" i="25" s="1"/>
  <c r="F82" i="25"/>
  <c r="F83" i="25" s="1"/>
  <c r="CG82" i="25"/>
  <c r="CG83" i="25" s="1"/>
  <c r="L82" i="25"/>
  <c r="L83" i="25" s="1"/>
  <c r="U82" i="25"/>
  <c r="U83" i="25" s="1"/>
  <c r="AP82" i="25"/>
  <c r="AP83" i="25" s="1"/>
  <c r="J5" i="16"/>
  <c r="F43" i="30"/>
  <c r="F38" i="30"/>
  <c r="F29" i="30"/>
  <c r="F58" i="30"/>
  <c r="F37" i="30"/>
  <c r="F61" i="30"/>
  <c r="F41" i="30"/>
  <c r="F39" i="30"/>
  <c r="F30" i="30"/>
  <c r="E30" i="16"/>
  <c r="E15" i="16"/>
  <c r="E16" i="16"/>
  <c r="E32" i="16"/>
  <c r="E12" i="16"/>
  <c r="E28" i="16"/>
  <c r="E22" i="16"/>
  <c r="E26" i="16"/>
  <c r="E11" i="16"/>
  <c r="E18" i="16"/>
  <c r="E8" i="16"/>
  <c r="E17" i="16"/>
  <c r="E21" i="16"/>
  <c r="E3" i="16"/>
  <c r="E31" i="16"/>
  <c r="E25" i="16"/>
  <c r="E10" i="16"/>
  <c r="E13" i="16"/>
  <c r="E20" i="16"/>
  <c r="E23" i="16"/>
  <c r="E4" i="16"/>
  <c r="E9" i="16"/>
  <c r="E14" i="16"/>
  <c r="E19" i="16"/>
  <c r="E24" i="16"/>
  <c r="E29" i="16"/>
  <c r="G3" i="15"/>
  <c r="I8" i="15"/>
  <c r="I9" i="15"/>
  <c r="I10" i="15"/>
  <c r="I11" i="15"/>
  <c r="I12" i="15"/>
  <c r="I13"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3" i="15"/>
  <c r="I4" i="15"/>
  <c r="I5" i="15"/>
  <c r="I6" i="15"/>
  <c r="I7" i="15"/>
  <c r="I2" i="15"/>
  <c r="F14" i="30" l="1"/>
  <c r="G2" i="10"/>
  <c r="H2" i="10" s="1"/>
  <c r="G3" i="10"/>
  <c r="H3" i="10" s="1"/>
  <c r="G4" i="10"/>
  <c r="H4" i="10" s="1"/>
  <c r="G5" i="10"/>
  <c r="H5" i="10" s="1"/>
  <c r="G6" i="10"/>
  <c r="H6" i="10" s="1"/>
  <c r="G7" i="10"/>
  <c r="H7" i="10" s="1"/>
  <c r="G8" i="10"/>
  <c r="H8" i="10" s="1"/>
  <c r="G9" i="10"/>
  <c r="H9" i="10" s="1"/>
  <c r="G10" i="10"/>
  <c r="H10" i="10" s="1"/>
  <c r="G11" i="10"/>
  <c r="H11" i="10" s="1"/>
  <c r="G12" i="10"/>
  <c r="H12" i="10" s="1"/>
  <c r="G13" i="10"/>
  <c r="H13" i="10" s="1"/>
  <c r="G14" i="10"/>
  <c r="H14" i="10" s="1"/>
  <c r="G15" i="10"/>
  <c r="H15" i="10" s="1"/>
  <c r="G16" i="10"/>
  <c r="H16" i="10" s="1"/>
  <c r="G17" i="10"/>
  <c r="H17" i="10" s="1"/>
  <c r="G18" i="10"/>
  <c r="H18" i="10" s="1"/>
  <c r="G19" i="10"/>
  <c r="H19" i="10" s="1"/>
  <c r="G20" i="10"/>
  <c r="H20" i="10" s="1"/>
  <c r="G21" i="10"/>
  <c r="H21" i="10" s="1"/>
  <c r="G22" i="10"/>
  <c r="H22" i="10" s="1"/>
  <c r="G23" i="10"/>
  <c r="H23" i="10" s="1"/>
  <c r="G24" i="10"/>
  <c r="H24" i="10" s="1"/>
  <c r="G25" i="10"/>
  <c r="H25" i="10" s="1"/>
  <c r="G26" i="10"/>
  <c r="H26" i="10" s="1"/>
  <c r="G27" i="10"/>
  <c r="H27" i="10" s="1"/>
  <c r="G28" i="10"/>
  <c r="H28" i="10" s="1"/>
  <c r="G29" i="10"/>
  <c r="H29" i="10" s="1"/>
  <c r="G30" i="10"/>
  <c r="H30" i="10" s="1"/>
  <c r="G31" i="10"/>
  <c r="H31" i="10" s="1"/>
  <c r="G32" i="10"/>
  <c r="H32" i="10" s="1"/>
  <c r="G80" i="15"/>
  <c r="G76" i="15"/>
  <c r="G77" i="15"/>
  <c r="G78" i="15"/>
  <c r="G4" i="15"/>
  <c r="G5" i="15"/>
  <c r="G6" i="15"/>
  <c r="F18" i="30" s="1"/>
  <c r="G7" i="15"/>
  <c r="G8" i="15"/>
  <c r="G9" i="15"/>
  <c r="G10" i="15"/>
  <c r="G11" i="15"/>
  <c r="G12" i="15"/>
  <c r="G13" i="15"/>
  <c r="G26" i="15"/>
  <c r="G27" i="15"/>
  <c r="G28" i="15"/>
  <c r="G29" i="15"/>
  <c r="G30" i="15"/>
  <c r="G31" i="15"/>
  <c r="G32" i="15"/>
  <c r="G33" i="15"/>
  <c r="G34" i="15"/>
  <c r="G35" i="15"/>
  <c r="G36" i="15"/>
  <c r="G38"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G70" i="15"/>
  <c r="G71" i="15"/>
  <c r="G72" i="15"/>
  <c r="G73" i="15"/>
  <c r="G74" i="15"/>
  <c r="G75" i="15"/>
  <c r="G79" i="15"/>
  <c r="G81" i="15"/>
  <c r="J81" i="15" l="1" a="1"/>
  <c r="J81" i="15" s="1"/>
  <c r="F32" i="16" s="1"/>
  <c r="I32" i="16" s="1"/>
  <c r="K32" i="16" s="1"/>
  <c r="J69" i="15" a="1"/>
  <c r="J69" i="15" s="1"/>
  <c r="F26" i="16" s="1"/>
  <c r="I26" i="16" s="1"/>
  <c r="K26" i="16" s="1"/>
  <c r="J56" i="15" a="1"/>
  <c r="J56" i="15" s="1"/>
  <c r="J43" i="15" a="1"/>
  <c r="J43" i="15" s="1"/>
  <c r="J19" i="15" a="1"/>
  <c r="J19" i="15" s="1"/>
  <c r="J80" i="15" a="1"/>
  <c r="J80" i="15" s="1"/>
  <c r="J68" i="15" a="1"/>
  <c r="J68" i="15" s="1"/>
  <c r="J18" i="15" a="1"/>
  <c r="J18" i="15" s="1"/>
  <c r="J4" i="15" a="1"/>
  <c r="J4" i="15" s="1"/>
  <c r="J30" i="15" a="1"/>
  <c r="J30" i="15" s="1"/>
  <c r="J3" i="15" a="1"/>
  <c r="J3" i="15" s="1"/>
  <c r="J79" i="15" a="1"/>
  <c r="J79" i="15" s="1"/>
  <c r="F31" i="16" s="1"/>
  <c r="I31" i="16" s="1"/>
  <c r="K31" i="16" s="1"/>
  <c r="J67" i="15" a="1"/>
  <c r="J67" i="15" s="1"/>
  <c r="J55" i="15" a="1"/>
  <c r="J55" i="15" s="1"/>
  <c r="F19" i="16" s="1"/>
  <c r="J42" i="15" a="1"/>
  <c r="J42" i="15" s="1"/>
  <c r="F15" i="16" s="1"/>
  <c r="I15" i="16" s="1"/>
  <c r="K15" i="16" s="1"/>
  <c r="J17" i="15" a="1"/>
  <c r="J17" i="15" s="1"/>
  <c r="J12" i="15" a="1"/>
  <c r="J12" i="15" s="1"/>
  <c r="J66" i="15" a="1"/>
  <c r="J66" i="15" s="1"/>
  <c r="J54" i="15" a="1"/>
  <c r="J54" i="15" s="1"/>
  <c r="J41" i="15" a="1"/>
  <c r="J41" i="15" s="1"/>
  <c r="J78" i="15" a="1"/>
  <c r="J78" i="15" s="1"/>
  <c r="J65" i="15" a="1"/>
  <c r="J65" i="15" s="1"/>
  <c r="F25" i="16" s="1"/>
  <c r="J53" i="15" a="1"/>
  <c r="J53" i="15" s="1"/>
  <c r="J29" i="15" a="1"/>
  <c r="J29" i="15" s="1"/>
  <c r="J16" i="15" a="1"/>
  <c r="J16" i="15" s="1"/>
  <c r="J15" i="15" a="1"/>
  <c r="J15" i="15" s="1"/>
  <c r="J77" i="15" a="1"/>
  <c r="J77" i="15" s="1"/>
  <c r="J64" i="15" a="1"/>
  <c r="J64" i="15" s="1"/>
  <c r="J52" i="15" a="1"/>
  <c r="J52" i="15" s="1"/>
  <c r="J40" i="15" a="1"/>
  <c r="J40" i="15" s="1"/>
  <c r="F14" i="16" s="1"/>
  <c r="I14" i="16" s="1"/>
  <c r="K14" i="16" s="1"/>
  <c r="J28" i="15" a="1"/>
  <c r="J28" i="15" s="1"/>
  <c r="J13" i="15" a="1"/>
  <c r="J13" i="15" s="1"/>
  <c r="F6" i="16" s="1"/>
  <c r="I6" i="16" s="1"/>
  <c r="K6" i="16" s="1"/>
  <c r="J76" i="15" a="1"/>
  <c r="J76" i="15" s="1"/>
  <c r="J63" i="15" a="1"/>
  <c r="J63" i="15" s="1"/>
  <c r="J51" i="15" a="1"/>
  <c r="J51" i="15" s="1"/>
  <c r="F18" i="16" s="1"/>
  <c r="J39" i="15" a="1"/>
  <c r="J39" i="15" s="1"/>
  <c r="J14" i="15" a="1"/>
  <c r="J14" i="15" s="1"/>
  <c r="J75" i="15" a="1"/>
  <c r="J75" i="15" s="1"/>
  <c r="F30" i="16" s="1"/>
  <c r="I30" i="16" s="1"/>
  <c r="K30" i="16" s="1"/>
  <c r="J62" i="15" a="1"/>
  <c r="J62" i="15" s="1"/>
  <c r="J50" i="15" a="1"/>
  <c r="J50" i="15" s="1"/>
  <c r="J38" i="15" a="1"/>
  <c r="J38" i="15" s="1"/>
  <c r="F13" i="16" s="1"/>
  <c r="I13" i="16" s="1"/>
  <c r="K13" i="16" s="1"/>
  <c r="J27" i="15" a="1"/>
  <c r="J27" i="15" s="1"/>
  <c r="J74" i="15" a="1"/>
  <c r="J74" i="15" s="1"/>
  <c r="F29" i="16" s="1"/>
  <c r="I29" i="16" s="1"/>
  <c r="K29" i="16" s="1"/>
  <c r="J61" i="15" a="1"/>
  <c r="J61" i="15" s="1"/>
  <c r="F24" i="16" s="1"/>
  <c r="J49" i="15" a="1"/>
  <c r="J49" i="15" s="1"/>
  <c r="J37" i="15" a="1"/>
  <c r="J37" i="15" s="1"/>
  <c r="J26" i="15" a="1"/>
  <c r="J26" i="15" s="1"/>
  <c r="F10" i="16" s="1"/>
  <c r="I10" i="16" s="1"/>
  <c r="K10" i="16" s="1"/>
  <c r="J73" i="15" a="1"/>
  <c r="J73" i="15" s="1"/>
  <c r="J60" i="15" a="1"/>
  <c r="J60" i="15" s="1"/>
  <c r="F23" i="16" s="1"/>
  <c r="I23" i="16" s="1"/>
  <c r="K23" i="16" s="1"/>
  <c r="J48" i="15" a="1"/>
  <c r="J48" i="15" s="1"/>
  <c r="F17" i="16" s="1"/>
  <c r="J36" i="15" a="1"/>
  <c r="J36" i="15" s="1"/>
  <c r="J25" i="15" a="1"/>
  <c r="J25" i="15" s="1"/>
  <c r="J11" i="15" a="1"/>
  <c r="J11" i="15" s="1"/>
  <c r="J47" i="15" a="1"/>
  <c r="J47" i="15" s="1"/>
  <c r="J35" i="15" a="1"/>
  <c r="J35" i="15" s="1"/>
  <c r="F12" i="16" s="1"/>
  <c r="I12" i="16" s="1"/>
  <c r="K12" i="16" s="1"/>
  <c r="J24" i="15" a="1"/>
  <c r="J24" i="15" s="1"/>
  <c r="J10" i="15" a="1"/>
  <c r="J10" i="15" s="1"/>
  <c r="F5" i="16" s="1"/>
  <c r="I5" i="16" s="1"/>
  <c r="K5" i="16" s="1"/>
  <c r="J23" i="15" a="1"/>
  <c r="J23" i="15" s="1"/>
  <c r="J8" i="15" a="1"/>
  <c r="J8" i="15" s="1"/>
  <c r="F4" i="16" s="1"/>
  <c r="I4" i="16" s="1"/>
  <c r="K4" i="16" s="1"/>
  <c r="J72" i="15" a="1"/>
  <c r="J72" i="15" s="1"/>
  <c r="F28" i="16" s="1"/>
  <c r="I28" i="16" s="1"/>
  <c r="K28" i="16" s="1"/>
  <c r="J59" i="15" a="1"/>
  <c r="J59" i="15" s="1"/>
  <c r="F22" i="16" s="1"/>
  <c r="I22" i="16" s="1"/>
  <c r="K22" i="16" s="1"/>
  <c r="J46" i="15" a="1"/>
  <c r="J46" i="15" s="1"/>
  <c r="J34" i="15" a="1"/>
  <c r="J34" i="15" s="1"/>
  <c r="J9" i="15" a="1"/>
  <c r="J9" i="15" s="1"/>
  <c r="J71" i="15" a="1"/>
  <c r="J71" i="15" s="1"/>
  <c r="J58" i="15" a="1"/>
  <c r="J58" i="15" s="1"/>
  <c r="F21" i="16" s="1"/>
  <c r="J45" i="15" a="1"/>
  <c r="J45" i="15" s="1"/>
  <c r="F16" i="16" s="1"/>
  <c r="I16" i="16" s="1"/>
  <c r="K16" i="16" s="1"/>
  <c r="J22" i="15" a="1"/>
  <c r="J22" i="15" s="1"/>
  <c r="J33" i="15" a="1"/>
  <c r="J33" i="15" s="1"/>
  <c r="J21" i="15" a="1"/>
  <c r="J21" i="15" s="1"/>
  <c r="J7" i="15" a="1"/>
  <c r="J7" i="15" s="1"/>
  <c r="J20" i="15" a="1"/>
  <c r="J20" i="15" s="1"/>
  <c r="J31" i="15" a="1"/>
  <c r="J31" i="15" s="1"/>
  <c r="J2" i="15" a="1"/>
  <c r="J2" i="15" s="1"/>
  <c r="F2" i="16" s="1"/>
  <c r="I2" i="16" s="1"/>
  <c r="J70" i="15" a="1"/>
  <c r="J70" i="15" s="1"/>
  <c r="F27" i="16" s="1"/>
  <c r="I27" i="16" s="1"/>
  <c r="K27" i="16" s="1"/>
  <c r="J57" i="15" a="1"/>
  <c r="J57" i="15" s="1"/>
  <c r="F20" i="16" s="1"/>
  <c r="I20" i="16" s="1"/>
  <c r="K20" i="16" s="1"/>
  <c r="J44" i="15" a="1"/>
  <c r="J44" i="15" s="1"/>
  <c r="J32" i="15" a="1"/>
  <c r="J32" i="15" s="1"/>
  <c r="J6" i="15" a="1"/>
  <c r="J6" i="15" s="1"/>
  <c r="F3" i="16" s="1"/>
  <c r="I3" i="16" s="1"/>
  <c r="K3" i="16" s="1"/>
  <c r="J5" i="15" a="1"/>
  <c r="J5" i="15" s="1"/>
  <c r="F79" i="30"/>
  <c r="F24" i="30"/>
  <c r="F22" i="30"/>
  <c r="F53" i="30"/>
  <c r="F74" i="30"/>
  <c r="F72" i="30"/>
  <c r="F16" i="30"/>
  <c r="F94" i="30"/>
  <c r="F71" i="30"/>
  <c r="F15" i="30"/>
  <c r="F114" i="30"/>
  <c r="F92" i="30"/>
  <c r="F112" i="30"/>
  <c r="F68" i="30"/>
  <c r="F56" i="30"/>
  <c r="F76" i="30"/>
  <c r="F19" i="30"/>
  <c r="F52" i="30"/>
  <c r="F122" i="30"/>
  <c r="F90" i="30"/>
  <c r="F48" i="30"/>
  <c r="F109" i="30"/>
  <c r="F100" i="30"/>
  <c r="F75" i="30"/>
  <c r="F96" i="30"/>
  <c r="F110" i="30"/>
  <c r="F88" i="30"/>
  <c r="F67" i="30"/>
  <c r="F47" i="30"/>
  <c r="F117" i="30"/>
  <c r="F101" i="30"/>
  <c r="F78" i="30"/>
  <c r="F99" i="30"/>
  <c r="F21" i="30"/>
  <c r="F97" i="30"/>
  <c r="F95" i="30"/>
  <c r="F70" i="30"/>
  <c r="F86" i="30"/>
  <c r="F66" i="30"/>
  <c r="F46" i="30"/>
  <c r="F116" i="30"/>
  <c r="F107" i="30"/>
  <c r="F84" i="30"/>
  <c r="F64" i="30"/>
  <c r="F45" i="30"/>
  <c r="F115" i="30"/>
  <c r="F106" i="30"/>
  <c r="F83" i="30"/>
  <c r="F63" i="30"/>
  <c r="F28" i="30"/>
  <c r="F120" i="30"/>
  <c r="F104" i="30"/>
  <c r="F54" i="30"/>
  <c r="F51" i="30"/>
  <c r="F119" i="30"/>
  <c r="F49" i="30"/>
  <c r="F81" i="30"/>
  <c r="F60" i="30"/>
  <c r="F26" i="30"/>
  <c r="F102" i="30"/>
  <c r="F80" i="30"/>
  <c r="F57" i="30"/>
  <c r="F25" i="30"/>
  <c r="K2" i="16" l="1"/>
  <c r="J2" i="10"/>
  <c r="F11" i="16"/>
  <c r="I11" i="16" s="1"/>
  <c r="K11" i="16" s="1"/>
  <c r="L29" i="10"/>
  <c r="F9" i="16"/>
  <c r="I9" i="16" s="1"/>
  <c r="K9" i="16" s="1"/>
  <c r="J19" i="16"/>
  <c r="I19" i="16"/>
  <c r="F7" i="16"/>
  <c r="J7" i="16" s="1"/>
  <c r="J25" i="16"/>
  <c r="I25" i="16"/>
  <c r="J21" i="16"/>
  <c r="I21" i="16"/>
  <c r="J17" i="16"/>
  <c r="I17" i="16"/>
  <c r="I18" i="16"/>
  <c r="J18" i="16"/>
  <c r="F8" i="16"/>
  <c r="I8" i="16" s="1"/>
  <c r="J24" i="16"/>
  <c r="I24" i="16"/>
  <c r="L26" i="10"/>
  <c r="L5" i="10"/>
  <c r="L3" i="10"/>
  <c r="L30" i="10"/>
  <c r="M29" i="10"/>
  <c r="L11" i="10" l="1"/>
  <c r="L9" i="10"/>
  <c r="K19" i="16"/>
  <c r="K21" i="16"/>
  <c r="K24" i="16"/>
  <c r="K17" i="16"/>
  <c r="K25" i="16"/>
  <c r="K7" i="16"/>
  <c r="L7" i="10"/>
  <c r="M7" i="10" s="1"/>
  <c r="K8" i="16"/>
  <c r="L8" i="10"/>
  <c r="M8" i="10" s="1"/>
  <c r="K18" i="16"/>
  <c r="L4" i="10"/>
  <c r="M4" i="10" s="1"/>
  <c r="L32" i="10"/>
  <c r="M32" i="10" s="1"/>
  <c r="L14" i="10"/>
  <c r="M14" i="10" s="1"/>
  <c r="L16" i="10"/>
  <c r="M16" i="10" s="1"/>
  <c r="L22" i="10"/>
  <c r="M22" i="10" s="1"/>
  <c r="L15" i="10"/>
  <c r="M15" i="10" s="1"/>
  <c r="L23" i="10"/>
  <c r="M23" i="10" s="1"/>
  <c r="L6" i="10"/>
  <c r="M6" i="10" s="1"/>
  <c r="L20" i="10"/>
  <c r="M20" i="10" s="1"/>
  <c r="L10" i="10"/>
  <c r="M10" i="10" s="1"/>
  <c r="L12" i="10"/>
  <c r="M12" i="10" s="1"/>
  <c r="L13" i="10"/>
  <c r="M13" i="10" s="1"/>
  <c r="L28" i="10"/>
  <c r="M28" i="10" s="1"/>
  <c r="M11" i="10"/>
  <c r="M30" i="10"/>
  <c r="M5" i="10"/>
  <c r="M26" i="10"/>
  <c r="M3" i="10"/>
  <c r="N29" i="10"/>
  <c r="S29" i="10" s="1"/>
  <c r="M9" i="10"/>
  <c r="N15" i="10" l="1"/>
  <c r="S15" i="10" s="1"/>
  <c r="L25" i="10"/>
  <c r="M25" i="10" s="1"/>
  <c r="L18" i="10"/>
  <c r="M18" i="10" s="1"/>
  <c r="L21" i="10"/>
  <c r="M21" i="10" s="1"/>
  <c r="L19" i="10"/>
  <c r="M19" i="10" s="1"/>
  <c r="L27" i="10"/>
  <c r="M27" i="10" s="1"/>
  <c r="L17" i="10"/>
  <c r="M17" i="10" s="1"/>
  <c r="L31" i="10"/>
  <c r="M31" i="10" s="1"/>
  <c r="L2" i="10"/>
  <c r="M2" i="10" s="1"/>
  <c r="L24" i="10"/>
  <c r="M24" i="10" s="1"/>
  <c r="N20" i="10"/>
  <c r="S20" i="10" s="1"/>
  <c r="N23" i="10"/>
  <c r="S23" i="10" s="1"/>
  <c r="N9" i="10"/>
  <c r="S9" i="10" s="1"/>
  <c r="N11" i="10"/>
  <c r="S11" i="10" s="1"/>
  <c r="N32" i="10"/>
  <c r="S32" i="10" s="1"/>
  <c r="N8" i="10"/>
  <c r="S8" i="10" s="1"/>
  <c r="N5" i="10"/>
  <c r="S5" i="10" s="1"/>
  <c r="N30" i="10"/>
  <c r="S30" i="10" s="1"/>
  <c r="N4" i="10"/>
  <c r="S4" i="10" s="1"/>
  <c r="N14" i="10"/>
  <c r="S14" i="10" s="1"/>
  <c r="N28" i="10"/>
  <c r="S28" i="10" s="1"/>
  <c r="N22" i="10"/>
  <c r="S22" i="10" s="1"/>
  <c r="N13" i="10"/>
  <c r="S13" i="10" s="1"/>
  <c r="N26" i="10"/>
  <c r="S26" i="10" s="1"/>
  <c r="N16" i="10"/>
  <c r="S16" i="10" s="1"/>
  <c r="N10" i="10"/>
  <c r="S10" i="10" s="1"/>
  <c r="N6" i="10"/>
  <c r="S6" i="10" s="1"/>
  <c r="N3" i="10"/>
  <c r="S3" i="10" s="1"/>
  <c r="N7" i="10"/>
  <c r="S7" i="10" s="1"/>
  <c r="N25" i="10" l="1"/>
  <c r="S25" i="10" s="1"/>
  <c r="N24" i="10"/>
  <c r="S24" i="10" s="1"/>
  <c r="N31" i="10"/>
  <c r="S31" i="10" s="1"/>
  <c r="N27" i="10"/>
  <c r="S27" i="10" s="1"/>
  <c r="N19" i="10"/>
  <c r="S19" i="10" s="1"/>
  <c r="N18" i="10"/>
  <c r="S18" i="10" s="1"/>
  <c r="N2" i="10"/>
  <c r="S2" i="10" s="1"/>
  <c r="N17" i="10"/>
  <c r="S17" i="10" s="1"/>
  <c r="N21" i="10"/>
  <c r="S21"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Claudia</author>
  </authors>
  <commentList>
    <comment ref="I45" authorId="0" shapeId="0" xr:uid="{90BC038F-E0B3-0A4E-9B7D-9DC0203FC2C9}">
      <text>
        <r>
          <rPr>
            <b/>
            <sz val="10"/>
            <color rgb="FF000000"/>
            <rFont val="Tahoma"/>
            <family val="2"/>
          </rPr>
          <t>Claudia:</t>
        </r>
        <r>
          <rPr>
            <sz val="10"/>
            <color rgb="FF000000"/>
            <rFont val="Tahoma"/>
            <family val="2"/>
          </rPr>
          <t xml:space="preserve">
Motivazione corretta il 14/09/2026: il testo precedente ("gli allarmi partirebbero anche su rilevamenti dubbi") descriveva il beneficio sul falso positivo, non sul falso negativo. La soglia ≥0,40, abbassata da ≥0,70, aumenta la sensibilità e riduce i mancati rilevamenti: è correttamente un presidio del Rischio 9. Sul Rischio 10 la stessa soglia è esposizione, non presidio (cfr. Tabella!I11).</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<sst xmlns="http://schemas.openxmlformats.org/spreadsheetml/2006/main" count="2584" uniqueCount="831">
  <si>
    <t>#</t>
  </si>
  <si>
    <t>ID</t>
  </si>
  <si>
    <t>Area / Fase</t>
  </si>
  <si>
    <t>Descrizione rischio</t>
  </si>
  <si>
    <t>P</t>
  </si>
  <si>
    <t>I</t>
  </si>
  <si>
    <t>P×I</t>
  </si>
  <si>
    <t>Livello inerente</t>
  </si>
  <si>
    <t>Pr×Ir</t>
  </si>
  <si>
    <t>Frequenza revisione</t>
  </si>
  <si>
    <t>Progettazione e sviluppo</t>
  </si>
  <si>
    <t>DEV-SCALABILITY-LATENCY</t>
  </si>
  <si>
    <t>DATA-DATASET-POISONING</t>
  </si>
  <si>
    <t>Dati, addestramento e validazione</t>
  </si>
  <si>
    <t>Rischio di inserimento intenzionale di dati manipolati, data poisoning o backdoor nel dataset, con possibile alterazione del comportamento del modello o riduzione della sua accuratezza e affidabilità.</t>
  </si>
  <si>
    <t>Implementazione tecnica e integrazione</t>
  </si>
  <si>
    <t>DATA-LOSS</t>
  </si>
  <si>
    <t>Esercizio e manutenzione</t>
  </si>
  <si>
    <t>Inferenza e monitoraggio</t>
  </si>
  <si>
    <t>Rischio di comparsa di oggetti, DPI o condizioni visive fuori distribuzione, con possibile generazione di errori di rilevamento o riduzione non prevista delle prestazioni.</t>
  </si>
  <si>
    <t>Utilizzo e supervisione umana</t>
  </si>
  <si>
    <t>Cybersecurity</t>
  </si>
  <si>
    <t>SEC-INTENTIONAL-DATA-MODEL-CHANGE</t>
  </si>
  <si>
    <t>SEC-MALWARE</t>
  </si>
  <si>
    <t>SEC-DENIAL-OF-SERVICE</t>
  </si>
  <si>
    <t>Rischio di attacco alla disponibilità mediante DoS, DDoS o flooding, con possibile rallentamento o indisponibilità dei servizi di rilevamento e notifica.</t>
  </si>
  <si>
    <t>Sicurezza fisica e continuità operativa</t>
  </si>
  <si>
    <t>CONT-UNAUTHORIZED-PHYSICAL-ACCESS</t>
  </si>
  <si>
    <t>Privacy e protezione dei dati</t>
  </si>
  <si>
    <t>Fornitori e dipendenze esterne</t>
  </si>
  <si>
    <t>Governance e compliance</t>
  </si>
  <si>
    <t>IMP-SYSTEM-INTEGRATION-CONFIGURATION</t>
  </si>
  <si>
    <t>Rischio di limiti di scalabilità, capacità computazionale o latenza incompatibili con il funzionamento atteso, con possibile degrado delle prestazioni, rallentamento dell'elaborazione o mancato rispetto dei requisiti operativi.</t>
  </si>
  <si>
    <t>CONT-STAFF-UNAVAILABILITY</t>
  </si>
  <si>
    <t>Rischio di errata classificazione del sistema, mancato adeguamento normativo o cambiamento d'uso senza rivalutazione, con possibile applicazione di requisiti non corretti o mancato rispetto degli obblighi previsti.</t>
  </si>
  <si>
    <t>Rischio di cancellazione o modifica  di modelli, dataset, configurazioni, immagini o log, con possibile perdita di integrità, disponibilità o tracciabilità.</t>
  </si>
  <si>
    <t>Rischio di Malware, ransomware,  altro codice malevolo, con possibile indisponibilità dei servizi, perdita o alterazione dei dati e accesso non autorizzato.</t>
  </si>
  <si>
    <t>AI Engineer</t>
  </si>
  <si>
    <t>Ogni rilascio</t>
  </si>
  <si>
    <t>Responsabile informatico</t>
  </si>
  <si>
    <t>Trimestrale</t>
  </si>
  <si>
    <t>AI Engineer + Responsabile informatico</t>
  </si>
  <si>
    <t>A ogni retraining</t>
  </si>
  <si>
    <t>Ogni 6 mesi</t>
  </si>
  <si>
    <t>Ogni rilascio/manutenzione</t>
  </si>
  <si>
    <t>Monitoraggio continuo</t>
  </si>
  <si>
    <t>Dopo ogni aggiornamento</t>
  </si>
  <si>
    <t>Mensile</t>
  </si>
  <si>
    <t>AI Engineer + Responsabile della sicurezza</t>
  </si>
  <si>
    <t>Ogni 6 mesi e dopo ogni caso rilevato</t>
  </si>
  <si>
    <t>Ogni modifica rilevante</t>
  </si>
  <si>
    <t>Responsabile della sicurezza</t>
  </si>
  <si>
    <t>Semestrale</t>
  </si>
  <si>
    <t>Trimestrale e in caso di uso sospetto</t>
  </si>
  <si>
    <t>Trimestrale e prima di ogni aggiornamento</t>
  </si>
  <si>
    <t>DEV-CHANGE-INTEGRITY_ISO</t>
  </si>
  <si>
    <t>DATA-QUALITY-VALIDATION</t>
  </si>
  <si>
    <t>OPS-PIPELINE-CAPACITY-FAILURE</t>
  </si>
  <si>
    <t>INF-OUT-OF-DISTRIBUTION_ISO</t>
  </si>
  <si>
    <t>INF-FALSE-NEGATIVE_ISO</t>
  </si>
  <si>
    <t>INF-FALSE-POSITIVE_ISO</t>
  </si>
  <si>
    <t>USE-AI-LITERACY-SUPERVISION_ISO</t>
  </si>
  <si>
    <t>USE-OVERSIGHT-VERIFICATION-FAILURE_ISO</t>
  </si>
  <si>
    <t>SEC-ACCESS-CREDENTIAL-MISUSE</t>
  </si>
  <si>
    <t>SEC-NETWORK-COMMUNICATION-COMPROMISE</t>
  </si>
  <si>
    <t>SEC-RECON-VULNERABILITY-EXPLOITATION</t>
  </si>
  <si>
    <t>CONT-ENVIRONMENTAL-EXPOSURE</t>
  </si>
  <si>
    <t>CONT-INFRASTRUCTURE-EQUIPMENT-FAILURE</t>
  </si>
  <si>
    <t>PRIV-UNLAWFUL-DATA-PROCESSING_GDPR</t>
  </si>
  <si>
    <t>PRIV-RETENTION-SUBJECT-RIGHTS_GDPR</t>
  </si>
  <si>
    <t>SUP-SUPPLIER-DEPENDENCY_ISO</t>
  </si>
  <si>
    <t>Rischio di dataset di addestramento, validazione o test non adeguati, non rappresentativi, sbilanciati o contenenti errori, oppure di errori nella progettazione, nell'addestramento, nella validazione o nella selezione del modello, con possibile riduzione dell'accuratezza, della robustezza o della capacità di generalizzazione.</t>
  </si>
  <si>
    <t>Rischio di guasto, bug o malfunzionamento della pipeline applicativa, del sistema operativo, del firmware, delle librerie, del componente Core o del servizio di notifica, oppure di capacità elaborativa insufficiente, saturazione delle risorse o latenza eccessiva, con possibile mancata acquisizione o elaborazione dei flussi, perdita di eventi o ritardo nell'intervento umano.</t>
  </si>
  <si>
    <t>Rischio di guasto dell'alimentazione elettrica, del raffreddamento o di altre utilities, oppure di guasto, spostamento, indisponibilità o degrado di una telecamera, di un dispositivo Edge, di apparati/servizi di rete o di sistemi di memorizzazione, con possibile arresto dei componenti, perdita della copertura dell'area o indisponibilità del servizio.</t>
  </si>
  <si>
    <t>Rischio di conservazione di immagini, eventi e log oltre i tempi stabiliti o di mancata cancellazione al termine del periodo previsto, oppure di mancata o non tempestiva gestione delle richieste esercitate dagli interessati, con possibile violazione del principio di limitazione della conservazione e degli obblighi applicabili.</t>
  </si>
  <si>
    <t>Responsabile informatico + Responsabile della sicurezza</t>
  </si>
  <si>
    <t>Rischio di modifica non controllata di codice  per errore involontario, intenzionale o mancata verifica di provenienza e integrità, con possibile introduzione di difetti, backdoor, incoerenze tra versioni o compromissione dell'integrità del sistema rilasciato.</t>
  </si>
  <si>
    <t>GOV-AI-CLASSIFICATION</t>
  </si>
  <si>
    <t>GOV-DEROGA-SCOPE</t>
  </si>
  <si>
    <t>GOV-DEROGA-DOC-MAINTENANCE</t>
  </si>
  <si>
    <t>GOV-DEROGA-PROFILING-EXCLUSION -GDPR</t>
  </si>
  <si>
    <t xml:space="preserve">GOV-DOCUMENTATION-TRANSPARENCY -GDPR </t>
  </si>
  <si>
    <t xml:space="preserve">GOV-ACCOUNTABILITY-AUDITABILITY -GDPR </t>
  </si>
  <si>
    <t>LM</t>
  </si>
  <si>
    <t>Rischio che la documentazione di valutazione a supporto della deroga art. 6 del Regolamento (UE) 2024/1689 non venga mantenuta aggiornata a seguito di modifiche al sistema, al caso d'uso o al contesto operativo, con conseguente esposizione in caso di ispezione da parte dell'autorità di vigilanza del mercato.</t>
  </si>
  <si>
    <t># Rischio</t>
  </si>
  <si>
    <t>ID Rischio</t>
  </si>
  <si>
    <t>Controllo</t>
  </si>
  <si>
    <t>Descrizione controllo</t>
  </si>
  <si>
    <t>Copertura</t>
  </si>
  <si>
    <t>Affidabilità</t>
  </si>
  <si>
    <t>Efficacia</t>
  </si>
  <si>
    <t>Versionamento dev</t>
  </si>
  <si>
    <t>versionamento di codice, modelli, dataset, configurazioni</t>
  </si>
  <si>
    <t>Rilascio controllato</t>
  </si>
  <si>
    <t>processo di rilascio con test, backup e rollback</t>
  </si>
  <si>
    <t>Hash modello</t>
  </si>
  <si>
    <t>hash del modello registrato per verificarne l'integrità</t>
  </si>
  <si>
    <t>Collaudo pre-rilascio</t>
  </si>
  <si>
    <t>test in ambiente di collaudo prima della distribuzione</t>
  </si>
  <si>
    <t>Architettura Edge+Core</t>
  </si>
  <si>
    <t>architettura Edge+Core con elaborazione locale</t>
  </si>
  <si>
    <t>Monitoraggio prestazioni</t>
  </si>
  <si>
    <t>monitoraggio delle prestazioni e verifica della latenza dopo il rilascio</t>
  </si>
  <si>
    <t>Retraining non automatico</t>
  </si>
  <si>
    <t>retraining non automatico (gate umano prima di ogni aggiornamento)</t>
  </si>
  <si>
    <t>Tracciabilità dati</t>
  </si>
  <si>
    <t>immagini selezionate, annotate e tracciate; metadati su origine ed esiti</t>
  </si>
  <si>
    <t>Dataset multi-fonte</t>
  </si>
  <si>
    <t>dataset costruito da fonti diverse, con tecniche di bilanciamento</t>
  </si>
  <si>
    <t>Validazione test</t>
  </si>
  <si>
    <t>validazione delle prestazioni su dataset di test</t>
  </si>
  <si>
    <t>Gate prestazioni minime</t>
  </si>
  <si>
    <t>rilascio subordinato al raggiungimento di prestazioni minime</t>
  </si>
  <si>
    <t>Installazione controllata</t>
  </si>
  <si>
    <t>installazione e configurazione controllata del sistema</t>
  </si>
  <si>
    <t>collaudo funzionale prima della messa in esercizio</t>
  </si>
  <si>
    <t>Log eventi</t>
  </si>
  <si>
    <t>registrazione degli eventi di sistema</t>
  </si>
  <si>
    <t>Backup periodici</t>
  </si>
  <si>
    <t>backup periodici e pre-rilascio</t>
  </si>
  <si>
    <t>Cifratura dati</t>
  </si>
  <si>
    <t>archiviazione cifrata di dati e log</t>
  </si>
  <si>
    <t>Procedure ripristino</t>
  </si>
  <si>
    <t>procedure di ripristino in caso di necessità</t>
  </si>
  <si>
    <t>registrazione degli errori applicativi</t>
  </si>
  <si>
    <t>Verifica post-aggiornamento</t>
  </si>
  <si>
    <t>verifica del corretto funzionamento dopo gli aggiornamenti</t>
  </si>
  <si>
    <t>monitoraggio delle prestazioni e dei tempi di elaborazione</t>
  </si>
  <si>
    <t>Scalabilità risorse</t>
  </si>
  <si>
    <t>possibilità di adeguare le risorse in funzione del carico</t>
  </si>
  <si>
    <t>dataset costituito da immagini raccolte in contesti diversi</t>
  </si>
  <si>
    <t>Soglie confidenza</t>
  </si>
  <si>
    <t>raccolta di casi operativi per il miglioramento del modello</t>
  </si>
  <si>
    <t>Verifica geometrica adattiva</t>
  </si>
  <si>
    <t>verifica DPI-keypoints con soglia geometrica adattiva</t>
  </si>
  <si>
    <t>Conferma multi-frame</t>
  </si>
  <si>
    <t>Verifica umana pre-azione</t>
  </si>
  <si>
    <t>verifica umana dell'allarme e controllo fisico dei DPI</t>
  </si>
  <si>
    <t>Monitoraggio contesto</t>
  </si>
  <si>
    <t>monitoraggio delle variazioni del contesto operativo</t>
  </si>
  <si>
    <t>verifica umana dello snapshot</t>
  </si>
  <si>
    <t>Canale segnalazione errori</t>
  </si>
  <si>
    <t>possibilità di segnalare errori</t>
  </si>
  <si>
    <t>Documentazione utenti</t>
  </si>
  <si>
    <t>documentazione e materiale informativo per gli operatori</t>
  </si>
  <si>
    <t>Formazione iniziale</t>
  </si>
  <si>
    <t>formazione iniziale sulla corretta interpretazione degli allarmi</t>
  </si>
  <si>
    <t>Canale segnalazione</t>
  </si>
  <si>
    <t>ogni allarme è verificato da un responsabile prima di qualsiasi intervento</t>
  </si>
  <si>
    <t>canale dedicato per segnalazione anomalie ed errori</t>
  </si>
  <si>
    <t>Credenziali dedicate</t>
  </si>
  <si>
    <t>credenziali dedicate, autenticazione, autorizzazione, revoca</t>
  </si>
  <si>
    <t>Segregazione permessi</t>
  </si>
  <si>
    <t>segregazione dei permessi tra i componenti del sistema</t>
  </si>
  <si>
    <t>Segmentazione rete</t>
  </si>
  <si>
    <t>segmentazione di rete dedicata</t>
  </si>
  <si>
    <t>Comunicazioni cifrate</t>
  </si>
  <si>
    <t>comunicazioni protette e autenticate tra i componenti</t>
  </si>
  <si>
    <t>Verifica identità dispositivi</t>
  </si>
  <si>
    <t>controllo dell'identità dei componenti che comunicano</t>
  </si>
  <si>
    <t>accesso ai servizi limitato alla rete interna</t>
  </si>
  <si>
    <t>Gestione versioni SW</t>
  </si>
  <si>
    <t>gestione controllata delle versioni software, test prima degli aggiornamenti</t>
  </si>
  <si>
    <t>Verifiche vulnerabilità</t>
  </si>
  <si>
    <t>verifiche periodiche delle vulnerabilità</t>
  </si>
  <si>
    <t>identificazione tramite hash dei modelli rilasciati</t>
  </si>
  <si>
    <t>procedura di rilascio controllata con backup pre-rilascio</t>
  </si>
  <si>
    <t>registrazione delle modifiche di configurazione</t>
  </si>
  <si>
    <t>sistema installato in rete interna</t>
  </si>
  <si>
    <t>Componenti aggiornati</t>
  </si>
  <si>
    <t>componenti aggiornati</t>
  </si>
  <si>
    <t>backup periodici</t>
  </si>
  <si>
    <t>registrazione degli eventi di sicurezza</t>
  </si>
  <si>
    <t>sistema installato in rete interna, non esposto direttamente a internet</t>
  </si>
  <si>
    <t>componenti monitorati per garantirne la continuità</t>
  </si>
  <si>
    <t>(nessun controllo in essere)</t>
  </si>
  <si>
    <t>Limitazione accessi</t>
  </si>
  <si>
    <t>limitazione degli accessi alle immagini</t>
  </si>
  <si>
    <t>Anonimizzazione notifiche</t>
  </si>
  <si>
    <t>anonimizzazione delle immagini inviate nelle notifiche</t>
  </si>
  <si>
    <t>Verifica utilizzo dataset</t>
  </si>
  <si>
    <t>verifica delle condizioni di utilizzo dei dataset</t>
  </si>
  <si>
    <t>tracciabilità dei dati utilizzati per il miglioramento del modello</t>
  </si>
  <si>
    <t>Retention policy</t>
  </si>
  <si>
    <t>conservazione dei log e delle immagini secondo tempi definiti</t>
  </si>
  <si>
    <t>archiviazione su supporti cifrati</t>
  </si>
  <si>
    <t>DPO+DPIA</t>
  </si>
  <si>
    <t>coinvolgimento del DPO, valutazione d'impatto</t>
  </si>
  <si>
    <t>Gestione diritti interessati</t>
  </si>
  <si>
    <t>gestione delle richieste degli interessati</t>
  </si>
  <si>
    <t>Licenza commerciale</t>
  </si>
  <si>
    <t>componenti software rilasciati tramite licenza commerciale con contratto definito</t>
  </si>
  <si>
    <t>Documentazione tecnica sistema</t>
  </si>
  <si>
    <t>documentazione tecnica del sistema, delle versioni e delle prestazioni</t>
  </si>
  <si>
    <t>documentazione e istruzioni per utenti e responsabili</t>
  </si>
  <si>
    <t>registrazione delle attività rilevanti del sistema, delle modifiche e degli eventi</t>
  </si>
  <si>
    <t>Ruoli/responsabilità</t>
  </si>
  <si>
    <t>ruoli e responsabilità definiti</t>
  </si>
  <si>
    <t>Classificazione documentata</t>
  </si>
  <si>
    <t>classificazione documentata del sistema e riesame in caso di modifiche significative</t>
  </si>
  <si>
    <t>Riesame generico classificazione</t>
  </si>
  <si>
    <t>riesame della classificazione in caso di modifiche significative, non dedicato al monitoraggio dello scopo d'uso</t>
  </si>
  <si>
    <t>riesame della classificazione che non prevede esplicitamente l'aggiornamento della valutazione di deroga art. 6</t>
  </si>
  <si>
    <t>Assenza identificazione persistente</t>
  </si>
  <si>
    <t>il sistema rileva DPI e postura, non identità: nessun badge, matricola o riconoscimento facciale</t>
  </si>
  <si>
    <t>clausola contrattuale che vieta l'uso del sistema per valutazioni disciplinari, di performance o economiche</t>
  </si>
  <si>
    <t>attestazione periodica firmata dal referente cliente sull'assenza di utilizzo per decisioni individuali</t>
  </si>
  <si>
    <t>verifica trimestrale dello scopo d'uso effettivo con evidenza documentale</t>
  </si>
  <si>
    <t>revisione obbligatoria della valutazione di deroga art. 6 entro 30 giorni da ogni modifica significativa</t>
  </si>
  <si>
    <r>
      <t>P</t>
    </r>
    <r>
      <rPr>
        <b/>
        <vertAlign val="subscript"/>
        <sz val="14"/>
        <color theme="1"/>
        <rFont val="Aptos Narrow"/>
        <scheme val="minor"/>
      </rPr>
      <t>r</t>
    </r>
    <r>
      <rPr>
        <sz val="14"/>
        <color theme="1"/>
        <rFont val="Aptos Narrow"/>
        <scheme val="minor"/>
      </rPr>
      <t> </t>
    </r>
  </si>
  <si>
    <r>
      <t>I</t>
    </r>
    <r>
      <rPr>
        <b/>
        <vertAlign val="subscript"/>
        <sz val="14"/>
        <color theme="1"/>
        <rFont val="Aptos Narrow"/>
        <scheme val="minor"/>
      </rPr>
      <t>r</t>
    </r>
    <r>
      <rPr>
        <sz val="14"/>
        <color theme="1"/>
        <rFont val="Aptos Narrow"/>
        <scheme val="minor"/>
      </rPr>
      <t> </t>
    </r>
  </si>
  <si>
    <r>
      <t>Livello residuo</t>
    </r>
    <r>
      <rPr>
        <sz val="14"/>
        <color theme="1"/>
        <rFont val="Aptos Narrow"/>
        <scheme val="minor"/>
      </rPr>
      <t> </t>
    </r>
  </si>
  <si>
    <r>
      <t>KRI</t>
    </r>
    <r>
      <rPr>
        <sz val="14"/>
        <color theme="1"/>
        <rFont val="Aptos Narrow"/>
        <scheme val="minor"/>
      </rPr>
      <t> </t>
    </r>
  </si>
  <si>
    <r>
      <t>Piano di trattamento</t>
    </r>
    <r>
      <rPr>
        <sz val="14"/>
        <color theme="1"/>
        <rFont val="Aptos Narrow"/>
        <scheme val="minor"/>
      </rPr>
      <t> </t>
    </r>
  </si>
  <si>
    <r>
      <t>Owner</t>
    </r>
    <r>
      <rPr>
        <sz val="14"/>
        <color theme="1"/>
        <rFont val="Aptos Narrow"/>
        <scheme val="minor"/>
      </rPr>
      <t> </t>
    </r>
  </si>
  <si>
    <r>
      <t>Stato</t>
    </r>
    <r>
      <rPr>
        <sz val="14"/>
        <color theme="1"/>
        <rFont val="Aptos Narrow"/>
        <scheme val="minor"/>
      </rPr>
      <t> </t>
    </r>
  </si>
  <si>
    <t xml:space="preserve">Controlli </t>
  </si>
  <si>
    <t>Ruolo</t>
  </si>
  <si>
    <t>Peso</t>
  </si>
  <si>
    <t>Primario</t>
  </si>
  <si>
    <t>Secondario</t>
  </si>
  <si>
    <t>Supporto</t>
  </si>
  <si>
    <t>LM (media pesata Efficacia)</t>
  </si>
  <si>
    <t>Foglio</t>
  </si>
  <si>
    <t>Contenuto</t>
  </si>
  <si>
    <t>Registro rischi principale: identificazione, valutazione inerente, controlli, rischio residuo, decisioni, KRI, piano di trattamento e stato.</t>
  </si>
  <si>
    <t>Controlli</t>
  </si>
  <si>
    <t>Anagrafica dei controlli collegati a ciascun rischio, con Copertura, Affidabilità, Efficacia, Ruolo, Peso e LM (livello di mitigazione) per rischio.</t>
  </si>
  <si>
    <t>Rischio residuo</t>
  </si>
  <si>
    <t>Motore di calcolo del rischio residuo: applica la strategia di trattamento e l'LM del foglio Controlli a P e I per ottenere Pr e Ir.</t>
  </si>
  <si>
    <t>Valore</t>
  </si>
  <si>
    <t>P — Probabilità</t>
  </si>
  <si>
    <t>I — Impatto</t>
  </si>
  <si>
    <t>Raro: evento non atteso nel ciclo di vita del sistema.</t>
  </si>
  <si>
    <t>Trascurabile: nessun effetto rilevante su sicurezza, servizio o conformità.</t>
  </si>
  <si>
    <t>Improbabile: possibile ma non si è mai verificato.</t>
  </si>
  <si>
    <t>Minore: disagio operativo circoscritto, recupero rapido.</t>
  </si>
  <si>
    <t>Possibile: può verificarsi in condizioni ordinarie.</t>
  </si>
  <si>
    <t>Moderato: degrado del servizio o non conformità sanabile.</t>
  </si>
  <si>
    <t>Probabile: atteso almeno una volta nel periodo di riferimento.</t>
  </si>
  <si>
    <t>Grave: indisponibilità prolungata, violazione di obblighi, esposizione del lavoratore.</t>
  </si>
  <si>
    <t>Molto probabile / ricorrente.</t>
  </si>
  <si>
    <t>Critico: danno alla persona, sanzione, perdita irreversibile di dati o di conformità.</t>
  </si>
  <si>
    <t>3. Soglie di livello di rischio</t>
  </si>
  <si>
    <t>Punteggio</t>
  </si>
  <si>
    <t>Livello</t>
  </si>
  <si>
    <t>Significato</t>
  </si>
  <si>
    <t>Basso</t>
  </si>
  <si>
    <t>Medio</t>
  </si>
  <si>
    <t>Alto</t>
  </si>
  <si>
    <t>Critico</t>
  </si>
  <si>
    <t>4. Foglio Controlli — efficacia e peso dei controlli</t>
  </si>
  <si>
    <t>Campo</t>
  </si>
  <si>
    <t>Definizione</t>
  </si>
  <si>
    <t>Peso relativo del controllo rispetto al rischio della riga. Criterio: se togliessi questo controllo, il rischio tornerebbe scoperto quasi come prima?</t>
  </si>
  <si>
    <t>Punti attribuiti al Ruolo. La normalizzazione (divisione per la somma dei pesi del rischio) avviene nella formula LM.</t>
  </si>
  <si>
    <t>5. Ruolo del controllo — criterio di assegnazione</t>
  </si>
  <si>
    <t>Effetto sul calcolo</t>
  </si>
  <si>
    <t>da 1 a 4</t>
  </si>
  <si>
    <t>da 5 a 9</t>
  </si>
  <si>
    <t>da 10 a 15</t>
  </si>
  <si>
    <t>da 16 a 25</t>
  </si>
  <si>
    <t>Bloccano, prevengono o mitigano direttamente il rischio specifico all'interno del flusso operativo.</t>
  </si>
  <si>
    <t>Rilevano i guasti, monitorano l'efficacia dei primari e garantiscono il ripristino o la correzione.</t>
  </si>
  <si>
    <t xml:space="preserve">
Norme, processi amministrativi, governance e cultura che sostengono l'infrastruttura di controllo.</t>
  </si>
  <si>
    <t xml:space="preserve">calcolo Ir </t>
  </si>
  <si>
    <t xml:space="preserve">calcolo Pr </t>
  </si>
  <si>
    <t xml:space="preserve">2. Scale di valutazione (1–5) </t>
  </si>
  <si>
    <t>Clausola contrattuale</t>
  </si>
  <si>
    <t xml:space="preserve">Verifica periodica formalizzata </t>
  </si>
  <si>
    <t xml:space="preserve">Attestazione scopo d'uso </t>
  </si>
  <si>
    <t xml:space="preserve">Gate deroga nel change management </t>
  </si>
  <si>
    <t>OPZIONE DI TRATTAMENTO</t>
  </si>
  <si>
    <t xml:space="preserve">Quanta parte degli scenari del rischio il controllo intercetta </t>
  </si>
  <si>
    <t>Quanto il controllo funziona come previsto quando serve</t>
  </si>
  <si>
    <t>Insieme delle attività volte alla stesura e al mantenimento del fascicolo tecnico e della conformità.</t>
  </si>
  <si>
    <t>Processo di Documentazione</t>
  </si>
  <si>
    <t>Sistema di gestione</t>
  </si>
  <si>
    <t>ORGANIZZAZIONE</t>
  </si>
  <si>
    <t>ORG-03</t>
  </si>
  <si>
    <t>Ente utilizzatore che ospita l'infrastruttura operativa e fruisce del sistema in esercizio.</t>
  </si>
  <si>
    <t>Organizzazione Cliente</t>
  </si>
  <si>
    <t>Cliente</t>
  </si>
  <si>
    <t>ORG-02</t>
  </si>
  <si>
    <t>Organizzazione incaricata dello sviluppo, della manutenzione e della documentazione del sistema AI.</t>
  </si>
  <si>
    <t>Sviluppatore del Sistema</t>
  </si>
  <si>
    <t>Fornitore</t>
  </si>
  <si>
    <t>ORG-01</t>
  </si>
  <si>
    <t>Fornisce assistenza tecnica, analizza le difformità di rilevamento e cura il riaddestramento periodico.</t>
  </si>
  <si>
    <t>Team di Supporto Dev &amp; AI</t>
  </si>
  <si>
    <t>Personale Interno</t>
  </si>
  <si>
    <t>PERSONALE</t>
  </si>
  <si>
    <t>PER-09</t>
  </si>
  <si>
    <t>Utenti finali del sistema che ricevono le notifiche di evento e attuano le procedure correttive.</t>
  </si>
  <si>
    <t>Operatori e Preposti</t>
  </si>
  <si>
    <t>Personale Esterno</t>
  </si>
  <si>
    <t>PER-08</t>
  </si>
  <si>
    <t>Gestisce le installazioni on-premises, le configurazioni di rete, l'aggiornamento delle patch e i backup.</t>
  </si>
  <si>
    <t>Amministratore IT / Manutentore</t>
  </si>
  <si>
    <t>PER-07</t>
  </si>
  <si>
    <t>Supervisiona la valutazione d'impatto sulla protezione dei dati (DPIA), la conformità normativa e i data breach.</t>
  </si>
  <si>
    <t>Data Protection Officer (DPO)</t>
  </si>
  <si>
    <t>PER-06</t>
  </si>
  <si>
    <t>Definisce i requisiti operativi di sicurezza sul lavoro e valida gli scenari di test.</t>
  </si>
  <si>
    <t>Responsabile Safety Cliente</t>
  </si>
  <si>
    <t>PER-05</t>
  </si>
  <si>
    <t>Curatore dei dataset e responsabile dell'addestramento e ottimizzazione dei modelli AI.</t>
  </si>
  <si>
    <t>Data Engineer &amp; AI Scientist</t>
  </si>
  <si>
    <t>PER-04</t>
  </si>
  <si>
    <t>Gestisce le pipeline di integrazione, la sicurezza infrastrutturale e il rilascio del sistema.</t>
  </si>
  <si>
    <t>DevOps Lead</t>
  </si>
  <si>
    <t>PER-03</t>
  </si>
  <si>
    <t>Sviluppa e integra le componenti software del sistema AI, gestendo il versionamento del codice, l'implementazione degli algoritmi e la risoluzione dei problemi tecnici sul campo.</t>
  </si>
  <si>
    <t xml:space="preserve">AI Engineer </t>
  </si>
  <si>
    <t>PER-02</t>
  </si>
  <si>
    <t>Coordina le attività di progettazione, sviluppo e documentazione tecnica del sistema AI.</t>
  </si>
  <si>
    <t>Responsabile AI</t>
  </si>
  <si>
    <t>PER-01</t>
  </si>
  <si>
    <t>Interfaccia di comunicazione pianificata per esporre servizi e integrazioni verso sistemi esterni.</t>
  </si>
  <si>
    <t>API Gateway REST/HTTPS</t>
  </si>
  <si>
    <t>API Gateway</t>
  </si>
  <si>
    <t>RETE</t>
  </si>
  <si>
    <t>RET-02</t>
  </si>
  <si>
    <t>Canale di trasmissione in streaming del flusso video dalla telecamera al dispositivo edge.</t>
  </si>
  <si>
    <t>Streaming Video RTSP</t>
  </si>
  <si>
    <t>Streaming dati</t>
  </si>
  <si>
    <t>RET-01</t>
  </si>
  <si>
    <t>Database relazionale per la gestione dei dati applicativi, dei log e degli eventi di allarme.</t>
  </si>
  <si>
    <t>DB Operativo</t>
  </si>
  <si>
    <t>DB</t>
  </si>
  <si>
    <t>SOFTWARE</t>
  </si>
  <si>
    <t>SW-05</t>
  </si>
  <si>
    <t>Macchina virtuale dedicata alla gestione e custodia delle chiavi crittografiche di sistema.</t>
  </si>
  <si>
    <t>VM Key Manager</t>
  </si>
  <si>
    <t>Gestione chiavi</t>
  </si>
  <si>
    <t>SW-04</t>
  </si>
  <si>
    <t>Macchina virtuale che ospita la logica di business, le API, il database operativo, l'archivio multimediale e il servizio di notifica.</t>
  </si>
  <si>
    <t>VM Applicativa</t>
  </si>
  <si>
    <t>Applicazione</t>
  </si>
  <si>
    <t>SW-03</t>
  </si>
  <si>
    <t>Modello per il riconoscimento della presenza umana e l'estrazione delle posture/keypoints.</t>
  </si>
  <si>
    <t>Modello Pose Estimation</t>
  </si>
  <si>
    <t>Modello AI</t>
  </si>
  <si>
    <t>SW-02</t>
  </si>
  <si>
    <t>Modello di Object Detection addestrato per il rilevamento dei Dispositivi di Protezione Individuale.</t>
  </si>
  <si>
    <t>Modello Rilevamento DPI</t>
  </si>
  <si>
    <t>SW-01</t>
  </si>
  <si>
    <t>Infrastruttura server virtualizzata che ospita i servizi applicativi del sistema.</t>
  </si>
  <si>
    <t>Server Centrale</t>
  </si>
  <si>
    <t>Server</t>
  </si>
  <si>
    <t>HARDWARE</t>
  </si>
  <si>
    <t>HW-03</t>
  </si>
  <si>
    <t>Telecamera di rete che acquisisce e invia il flusso video al dispositivo edge per l'analisi.</t>
  </si>
  <si>
    <t xml:space="preserve">Telecamera IP </t>
  </si>
  <si>
    <t>Sensore/Telecamera</t>
  </si>
  <si>
    <t>HW-02</t>
  </si>
  <si>
    <t>Dispositivo edge  dedicato all'inferenza AI locale (YOLO-PPE, YOLO-Person).</t>
  </si>
  <si>
    <t>Dispositivo Edge</t>
  </si>
  <si>
    <t>Edge device</t>
  </si>
  <si>
    <t>HW-01</t>
  </si>
  <si>
    <t>Sito principale che ospita il server centrale con le macchine virtuali applicative del sistema.</t>
  </si>
  <si>
    <t>CED aziendale</t>
  </si>
  <si>
    <t>CED</t>
  </si>
  <si>
    <t>SITI</t>
  </si>
  <si>
    <t>SIT-02</t>
  </si>
  <si>
    <t>Sito fisico presso il cliente dove sono installati il dispositivo edge e il sistema di ripresa video.</t>
  </si>
  <si>
    <t>Sito periferico cliente</t>
  </si>
  <si>
    <t>Sito Edge</t>
  </si>
  <si>
    <t>SIT-01</t>
  </si>
  <si>
    <t>Descrizione</t>
  </si>
  <si>
    <t>Nome Asset</t>
  </si>
  <si>
    <t>Tipologia di Asset</t>
  </si>
  <si>
    <t>Layer</t>
  </si>
  <si>
    <t>Asset ID</t>
  </si>
  <si>
    <t>Modifiche del fornitore e dipendenze esterne non monitorate o valutate prima dell’adozione</t>
  </si>
  <si>
    <t>VO18</t>
  </si>
  <si>
    <t>Riesame periodico del modello e del contesto operativo assente o insufficiente</t>
  </si>
  <si>
    <t>VO17</t>
  </si>
  <si>
    <t>Criteri minimi di accettazione delle prestazioni e soglie operative non formalizzati</t>
  </si>
  <si>
    <t>VO16</t>
  </si>
  <si>
    <t>Procedura di verifica umana e gestione delle segnalazioni non definita o non applicata</t>
  </si>
  <si>
    <t>VO15</t>
  </si>
  <si>
    <t>Finalità di utilizzo e regole di accesso alle immagini e alle segnalazioni non adeguatamente definite</t>
  </si>
  <si>
    <t>VO14</t>
  </si>
  <si>
    <t>Tempi e modalità di conservazione o cancellazione di immagini e log non definiti</t>
  </si>
  <si>
    <t>VO13</t>
  </si>
  <si>
    <t>Criteri di selezione, approvazione e aggiornamento dei dataset non formalizzati</t>
  </si>
  <si>
    <t>VO12</t>
  </si>
  <si>
    <t>VO11</t>
  </si>
  <si>
    <t>Procedure di gestione, escalation e comunicazione degli incidenti non adeguate</t>
  </si>
  <si>
    <t>VO10</t>
  </si>
  <si>
    <t>Piani di continuità operativa e ripristino non definiti, incompleti o non testati</t>
  </si>
  <si>
    <t>VO09</t>
  </si>
  <si>
    <t>Change management non formalizzato per software, modelli, dataset, soglie e configurazioni</t>
  </si>
  <si>
    <t>VO08</t>
  </si>
  <si>
    <t>Audit periodici sul sistema e sui processi correlati assenti o insufficienti</t>
  </si>
  <si>
    <t>VO07</t>
  </si>
  <si>
    <t>VO06</t>
  </si>
  <si>
    <t>Manutenzione e supporto dei componenti critici non adeguatamente definiti</t>
  </si>
  <si>
    <t>VO05</t>
  </si>
  <si>
    <t>Requisiti di sicurezza, privacy e gestione dell’IA insufficienti nei contratti con fornitori e terze parti</t>
  </si>
  <si>
    <t>VO04</t>
  </si>
  <si>
    <t>Revisione periodica dei privilegi e degli account tecnici assente o insufficiente</t>
  </si>
  <si>
    <t>VO03</t>
  </si>
  <si>
    <t>Procedure di abilitazione, modifica e revoca degli accessi non formalizzate o inefficaci</t>
  </si>
  <si>
    <t>VO02</t>
  </si>
  <si>
    <t>Ruoli e responsabilità per sicurezza, gestione del modello e supervisione umana non assegnati chiaramente</t>
  </si>
  <si>
    <t>VO01</t>
  </si>
  <si>
    <t>Organizzazione</t>
  </si>
  <si>
    <t>Piani di emergenza, ripristino o evacuazione non definiti o non testati</t>
  </si>
  <si>
    <t>VSI07</t>
  </si>
  <si>
    <t>Accesso non controllato a locali tecnici o punti di installazione delle apparecchiature</t>
  </si>
  <si>
    <t>VSI06</t>
  </si>
  <si>
    <t>Sistemi antincendio o di rilevazione ambientale assenti o insufficienti</t>
  </si>
  <si>
    <t>VSI05</t>
  </si>
  <si>
    <t>Protezioni fisiche insufficienti per apparecchiature, armadi, porte o finestre</t>
  </si>
  <si>
    <t>VSI04</t>
  </si>
  <si>
    <t>Fornitura elettrica instabile o priva di adeguata continuità</t>
  </si>
  <si>
    <t>VSI03</t>
  </si>
  <si>
    <t>Installazione delle apparecchiature in aree esposte a rischi ambientali non adeguatamente valutati</t>
  </si>
  <si>
    <t>VSI02</t>
  </si>
  <si>
    <t>Controlli di accesso fisico inadeguati nelle aree che ospitano telecamere, dispositivi Edge o apparati di rete</t>
  </si>
  <si>
    <t>VSI01</t>
  </si>
  <si>
    <t>Siti</t>
  </si>
  <si>
    <t>Segnalazione tardiva o assente di anomalie, errori del modello e incidenti</t>
  </si>
  <si>
    <t>VP08</t>
  </si>
  <si>
    <t>Supervisione insufficiente di tecnici, consulenti o manutentori esterni</t>
  </si>
  <si>
    <t>VP07</t>
  </si>
  <si>
    <t>Consapevolezza insufficiente in materia di sicurezza e protezione dei dati</t>
  </si>
  <si>
    <t>VP06</t>
  </si>
  <si>
    <t>Ruolo della supervisione umana non compreso o applicato in modo non uniforme</t>
  </si>
  <si>
    <t>VP05</t>
  </si>
  <si>
    <t>Monitoraggio o controllo insufficiente delle attività amministrative e privilegiate</t>
  </si>
  <si>
    <t>VP04</t>
  </si>
  <si>
    <t>Errori nell’installazione, configurazione, manutenzione o utilizzo del sistema</t>
  </si>
  <si>
    <t>VP03</t>
  </si>
  <si>
    <t>VP02</t>
  </si>
  <si>
    <t>Carenza di personale con competenze adeguate sul sistema, sulla sicurezza o sui modelli di IA</t>
  </si>
  <si>
    <t>VP01</t>
  </si>
  <si>
    <t>Personale</t>
  </si>
  <si>
    <t>Capacità, latenza o qualità del collegamento non monitorate rispetto ai requisiti operativi</t>
  </si>
  <si>
    <t>VN10</t>
  </si>
  <si>
    <t>Configurazioni o modifiche della rete non documentate e non controllate</t>
  </si>
  <si>
    <t>VN09</t>
  </si>
  <si>
    <t>Trasmissione di credenziali o informazioni sensibili in chiaro</t>
  </si>
  <si>
    <t>VN08</t>
  </si>
  <si>
    <t>Protezione insufficiente contro intercettazione, replay o sostituzione del flusso video</t>
  </si>
  <si>
    <t>VN07</t>
  </si>
  <si>
    <t>Monitoraggio di rete e rilevazione del traffico anomalo insufficienti</t>
  </si>
  <si>
    <t>VN06</t>
  </si>
  <si>
    <t>Dipendenza da un unico apparato o collegamento di rete, senza alternative in caso di guasto</t>
  </si>
  <si>
    <t>VN05</t>
  </si>
  <si>
    <t>Connessioni verso sistemi centrali, servizi esterni o cloud non adeguatamente protette</t>
  </si>
  <si>
    <t>VN04</t>
  </si>
  <si>
    <t>Rete non segmentata tra telecamere, dispositivi Edge, sistemi centrali e altre zone</t>
  </si>
  <si>
    <t>VN03</t>
  </si>
  <si>
    <t>Autenticazione o autorizzazione debole per telecamere, dispositivi Edge o servizi di rete</t>
  </si>
  <si>
    <t>VN02</t>
  </si>
  <si>
    <t>Flussi video o comunicazioni di servizio non cifrati</t>
  </si>
  <si>
    <t>VN01</t>
  </si>
  <si>
    <t>Rete</t>
  </si>
  <si>
    <t>Integrità, autenticità o versionamento dei pesi del modello non adeguatamente protetti</t>
  </si>
  <si>
    <t>VS24</t>
  </si>
  <si>
    <t>Assenza di monitoraggio del degrado delle prestazioni o del cambiamento del contesto operativo</t>
  </si>
  <si>
    <t>VS23</t>
  </si>
  <si>
    <t>Monitoraggio insufficiente di falsi positivi e falsi negativi durante l’esercizio</t>
  </si>
  <si>
    <t>VS22</t>
  </si>
  <si>
    <t>Logica di associazione tra persona e DPI insufficiente o non validata in tutti gli scenari rilevanti</t>
  </si>
  <si>
    <t>VS21</t>
  </si>
  <si>
    <t>Soglie di confidenza o parametri di inferenza non adeguatamente calibrati</t>
  </si>
  <si>
    <t>VS20</t>
  </si>
  <si>
    <t>Test del modello non estesi a dati fuori distribuzione, condizioni avverse o input manipolati</t>
  </si>
  <si>
    <t>VS19</t>
  </si>
  <si>
    <t>Separazione inadeguata tra dati di addestramento, validazione e test</t>
  </si>
  <si>
    <t>VS18</t>
  </si>
  <si>
    <t>Provenienza, versione o trasformazioni dei dati di addestramento non tracciate</t>
  </si>
  <si>
    <t>VS17</t>
  </si>
  <si>
    <t>Annotazioni del dataset errate, incomplete o incoerenti</t>
  </si>
  <si>
    <t>VS16</t>
  </si>
  <si>
    <t>Classi, scenari o condizioni ambientali rappresentati in modo sbilanciato nel dataset</t>
  </si>
  <si>
    <t>VS15</t>
  </si>
  <si>
    <t>Dataset non sufficientemente rappresentativo delle condizioni operative previste</t>
  </si>
  <si>
    <t>VS14</t>
  </si>
  <si>
    <t>Validazione insufficiente delle immagini, dei flussi video o degli altri dati in ingresso</t>
  </si>
  <si>
    <t>VS13</t>
  </si>
  <si>
    <t>Documentazione tecnica o funzionale incompleta o non aggiornata</t>
  </si>
  <si>
    <t>VS12</t>
  </si>
  <si>
    <t>Copie di backup di configurazioni, modelli o dati assenti, incomplete o non testate</t>
  </si>
  <si>
    <t>VS11</t>
  </si>
  <si>
    <t>Distribuzione, rilascio o aggiornamento del software non controllato</t>
  </si>
  <si>
    <t>VS10</t>
  </si>
  <si>
    <t>Configurazione insufficiente dei log o audit trail incompleti</t>
  </si>
  <si>
    <t>VS09</t>
  </si>
  <si>
    <t>Servizi, interfacce o porte non necessari abilitati</t>
  </si>
  <si>
    <t>VS08</t>
  </si>
  <si>
    <t>Credenziali, token o chiavi crittografiche archiviati in modo non sicuro</t>
  </si>
  <si>
    <t>VS07</t>
  </si>
  <si>
    <t>Assegnazione errata dei privilegi e dei diritti di accesso</t>
  </si>
  <si>
    <t>VS06</t>
  </si>
  <si>
    <t>Meccanismi di autenticazione o identificazione utente insufficienti</t>
  </si>
  <si>
    <t>VS05</t>
  </si>
  <si>
    <t>Configurazioni di sicurezza insufficienti o presenza di servizi e funzionalità non necessari.</t>
  </si>
  <si>
    <t>VS04</t>
  </si>
  <si>
    <t>Librerie, framework o dipendenze di terze parti obsolete o non verificate</t>
  </si>
  <si>
    <t>VS03</t>
  </si>
  <si>
    <t>Vulnerabilità software note non risolte o gestione delle patch inefficace</t>
  </si>
  <si>
    <t>VS02</t>
  </si>
  <si>
    <t>Test funzionali, di sicurezza o di robustezza assenti o insufficienti</t>
  </si>
  <si>
    <t>VS01</t>
  </si>
  <si>
    <t>Software</t>
  </si>
  <si>
    <t>Smaltimento o riutilizzo non sicuro di dispositivi e supporti</t>
  </si>
  <si>
    <t>VH10</t>
  </si>
  <si>
    <t>Uso di dispositivi rimovibili non autorizzati o non tracciati</t>
  </si>
  <si>
    <t>VH09</t>
  </si>
  <si>
    <t>Memorizzazione locale non cifrata o non adeguatamente protetta</t>
  </si>
  <si>
    <t>VH08</t>
  </si>
  <si>
    <t xml:space="preserve">Controllo inefficace delle modifiche hardware </t>
  </si>
  <si>
    <t>VH07</t>
  </si>
  <si>
    <t>Mancanza di componenti alternativi o sostitutivi in caso di guasto delle apparecchiature critiche</t>
  </si>
  <si>
    <t>VH06</t>
  </si>
  <si>
    <t>Risorse di elaborazione o memorizzazione insufficienti rispetto al carico operativo</t>
  </si>
  <si>
    <t>VH05</t>
  </si>
  <si>
    <t>Sensibilità delle apparecchiature a variazioni di tensione, picchi di corrente o interruzioni dell’alimentazione</t>
  </si>
  <si>
    <t>VH04</t>
  </si>
  <si>
    <t>Protezione insufficiente delle apparecchiature da polvere, umidità, temperatura o altri agenti ambientali</t>
  </si>
  <si>
    <t>VH03</t>
  </si>
  <si>
    <t>Installazione o configurazione fisica errata delle telecamere, dei dispositivi Edge o dei supporti di memorizzazione</t>
  </si>
  <si>
    <t>VH02</t>
  </si>
  <si>
    <t>Manutenzione o sostituzione inadeguata di telecamere, dispositivi Edge e apparati di supporto</t>
  </si>
  <si>
    <t>VH01</t>
  </si>
  <si>
    <t>Hardware</t>
  </si>
  <si>
    <t>Vulnerabilità</t>
  </si>
  <si>
    <t>Codice</t>
  </si>
  <si>
    <t>Categoria</t>
  </si>
  <si>
    <t>Segnalazione tardiva o assente di anomalie, errori del modello, falsi positivi, falsi negativi o incidenti</t>
  </si>
  <si>
    <t>Condivisione di credenziali, uso di privilegi non necessari o accesso da parte di personale non autorizzato</t>
  </si>
  <si>
    <t>Modifica del contesto operativo, dei DPI, delle aree o delle telecamere senza aggiornamento o rivalutazione del sistema</t>
  </si>
  <si>
    <t>Occlusione intenzionale o accidentale, adversarial patch o alterazione della scena osservata dalle telecamere</t>
  </si>
  <si>
    <t>Mancata cancellazione, conservazione impropria o impossibilità di gestire correttamente i dati personali</t>
  </si>
  <si>
    <t>Uso, comunicazione o divulgazione non autorizzati di immagini, log o altre informazioni personali</t>
  </si>
  <si>
    <t>Competenze o AI literacy insufficienti per utilizzare il sistema e comprenderne limiti e risultati</t>
  </si>
  <si>
    <t>Verifica umana, comunicazione o escalation tardiva, assente o non corretta</t>
  </si>
  <si>
    <t>Interpretazione errata, fiducia eccessiva o mancata considerazione delle segnalazioni prodotte dal sistema</t>
  </si>
  <si>
    <t>IA (utente)</t>
  </si>
  <si>
    <t>Attacco alla pipeline o ai flussi mediante spoofing, replay, man-in-the-middle, DoS o manipolazione degli input</t>
  </si>
  <si>
    <t>Errata classificazione del sistema, mancato adeguamento normativo o cambiamento d’uso senza rivalutazione</t>
  </si>
  <si>
    <t>Accountability, audit, logging, change management o gestione degli incidenti insufficienti</t>
  </si>
  <si>
    <t>Informazioni insufficienti agli utenti su finalità, limiti, prestazioni e modalità corrette d’uso del sistema</t>
  </si>
  <si>
    <t>Discontinuità o inadempienza di un fornitore o componente tecnologico critico</t>
  </si>
  <si>
    <t>Interruzione o malfunzionamento del servizio di rilevamento, registrazione, monitoraggio o notifica</t>
  </si>
  <si>
    <t>Capacità elaborativa insufficiente, saturazione delle risorse o latenza eccessiva della pipeline</t>
  </si>
  <si>
    <t>Conservazione eccessiva, cancellazione incompleta o protezione inadeguata di immagini e log</t>
  </si>
  <si>
    <t>Accesso non autorizzato ad applicazione, modelli, configurazioni, immagini, log o credenziali</t>
  </si>
  <si>
    <t>Hardening, gestione delle vulnerabilità, aggiornamenti o manutenzione del sistema insufficienti</t>
  </si>
  <si>
    <t>Dipendenza da telecamere, connettività, dispositivi Edge o componente Core senza adeguata continuità operativa</t>
  </si>
  <si>
    <t>Errata configurazione o integrazione di telecamere, dispositivi Edge, Core, soglie, filtri spaziali o notifiche</t>
  </si>
  <si>
    <t>Modifiche unilaterali o non controllate del produttore a modelli, librerie, componenti o condizioni del servizio</t>
  </si>
  <si>
    <t>IA (fornitore)</t>
  </si>
  <si>
    <t>Non conformità normativa o requisiti di sicurezza, accuratezza e robustezza non adeguatamente considerati</t>
  </si>
  <si>
    <t>Raccolta o utilizzo non autorizzato di dati personali, sensibili o protetti da diritto d’autore</t>
  </si>
  <si>
    <t>Documentazione, trasparenza o tracciabilità insufficienti su dati, prestazioni, limiti e versioni del modello</t>
  </si>
  <si>
    <t>Limiti di scalabilità, capacità computazionale o latenza incompatibili con il funzionamento atteso</t>
  </si>
  <si>
    <t>Alterazione, sostituzione o versione non controllata di pesi, codice, librerie o componenti del modello</t>
  </si>
  <si>
    <t>Vulnerabilità ad adversarial patch, model evasion, fooling o altre manipolazioni dell’input</t>
  </si>
  <si>
    <t>Generazione di una segnalazione di non conformità non corretta (falso positivo)</t>
  </si>
  <si>
    <t>Mancato rilevamento di una situazione di non conformità relativa ai DPI (falso negativo)</t>
  </si>
  <si>
    <t>Deterioramento delle prestazioni o model drift non individuato e gestito</t>
  </si>
  <si>
    <t>Prestazioni insufficienti su oggetti, DPI, persone o condizioni visive fuori distribuzione</t>
  </si>
  <si>
    <t>Errori nella progettazione, nell’addestramento, nella validazione o nella selezione del modello</t>
  </si>
  <si>
    <t>Inserimento di dati manipolati, data poisoning o backdoor nel dataset o nel modello</t>
  </si>
  <si>
    <t>Dataset di addestramento, validazione o test non adeguati, non rappresentativi, sbilanciati o contenenti errori</t>
  </si>
  <si>
    <t>IA (produttore)</t>
  </si>
  <si>
    <t>Occlusione, scarsa visibilità o sovrapposizione tra persone, oggetti e DPI</t>
  </si>
  <si>
    <t>Cambiamento del contesto operativo e conseguente model drift</t>
  </si>
  <si>
    <t>Comparsa di oggetti, DPI o condizioni visive fuori distribuzione</t>
  </si>
  <si>
    <t>Inserimento intenzionale di dati manipolati, data poisoning o backdoor nel dataset</t>
  </si>
  <si>
    <t>Operazioni non autorizzate durante manutenzione o amministrazione con utenze privilegiate</t>
  </si>
  <si>
    <t>Network scanning, fingerprinting o ricognizione non autorizzata</t>
  </si>
  <si>
    <t>Social engineering, phishing o impersonificazione</t>
  </si>
  <si>
    <t>Attacco alla disponibilità mediante DoS, DDoS o flooding</t>
  </si>
  <si>
    <t>Attacco man-in-the-middle o dirottamento della sessione</t>
  </si>
  <si>
    <t>Spoofing, replay o sostituzione del flusso video e degli eventi trasmessi</t>
  </si>
  <si>
    <t>Cyber</t>
  </si>
  <si>
    <t>Intercettazione o sniffing dei flussi video e delle comunicazioni</t>
  </si>
  <si>
    <t>Sfruttamento di vulnerabilità di software, firmware, API o servizi esposti</t>
  </si>
  <si>
    <t>Password cracking, brute force, credential stuffing o furto di credenziali</t>
  </si>
  <si>
    <t>Malware, ransomware, spyware o altro codice malevolo</t>
  </si>
  <si>
    <t>Invio fraudolento di eventi o segnalazioni mediante credenziali valide</t>
  </si>
  <si>
    <t>Accesso, divulgazione o trattamento non autorizzato di immagini e dati personali</t>
  </si>
  <si>
    <t>Sabotaggio o manomissione fisica di telecamere, dispositivi e impianti di supporto</t>
  </si>
  <si>
    <t>Cancellazione o modifica intenzionale di modelli, dataset, configurazioni, immagini o log</t>
  </si>
  <si>
    <t>Furto di apparecchiature, supporti, immagini o altre informazioni</t>
  </si>
  <si>
    <t>Accesso fisico non autorizzato a telecamere, dispositivi Edge o locali tecnici</t>
  </si>
  <si>
    <t>Malevoli</t>
  </si>
  <si>
    <t>Abuso di privilegi, credenziali o diritti di accesso</t>
  </si>
  <si>
    <t>Mancato funzionamento delle procedure di backup o ripristino</t>
  </si>
  <si>
    <t>Saturazione delle risorse, latenza eccessiva o rallentamento dell’elaborazione</t>
  </si>
  <si>
    <t>Indisponibilità del componente Core o del servizio di notifica</t>
  </si>
  <si>
    <t>Malfunzionamento o bug della pipeline applicativa</t>
  </si>
  <si>
    <t>Guasto o malfunzionamento di sistema operativo, firmware, librerie o dipendenze</t>
  </si>
  <si>
    <t>Guasto di dispositivi Edge, apparati di rete o sistemi di memorizzazione</t>
  </si>
  <si>
    <t>Guasto, spostamento, copertura o perdita del flusso di una telecamera</t>
  </si>
  <si>
    <t>Interruzione o degrado dei servizi di connettività</t>
  </si>
  <si>
    <t>Guasto dell’alimentazione elettrica, del raffreddamento o di altre utilities</t>
  </si>
  <si>
    <t>Guasti tecnici</t>
  </si>
  <si>
    <t>Evento epidemico o altra indisponibilità estesa del personale</t>
  </si>
  <si>
    <t>Polvere, umidità, temperature o condizioni di illuminazione avverse</t>
  </si>
  <si>
    <t>Fenomeni meteorologici estremi o fulminazioni</t>
  </si>
  <si>
    <t>Terremoto o altro evento sismico</t>
  </si>
  <si>
    <t>Allagamento o infiltrazioni d’acqua</t>
  </si>
  <si>
    <t>Incendio</t>
  </si>
  <si>
    <t>"Eventi Naturali / Ambientali (Fattori naturali che compromettono la sicurezza o la continuità operativa)"</t>
  </si>
  <si>
    <t>Conservazione eccessiva o cancellazione incompleta di immagini e log</t>
  </si>
  <si>
    <t>Errore nel change management di software, modelli, dataset o infrastruttura</t>
  </si>
  <si>
    <t>Uso o supervisione inadeguati per carenza di competenze o AI literacy</t>
  </si>
  <si>
    <t>Verifica umana, comunicazione o escalation tardiva o errata</t>
  </si>
  <si>
    <t>Uso improprio o non conforme del sistema e delle segnalazioni</t>
  </si>
  <si>
    <t>Modifica involontaria di codice, modello, dataset, soglie o configurazioni</t>
  </si>
  <si>
    <t>Errata assegnazione di account, privilegi, credenziali o API key</t>
  </si>
  <si>
    <t>Errori durante installazione, manutenzione o aggiornamento del sistema</t>
  </si>
  <si>
    <t>Errata configurazione o amministrazione di telecamere, dispositivi Edge, componenti Core o servizi</t>
  </si>
  <si>
    <t>Cancellazione o perdita non intenzionale di immagini, log, dataset, configurazioni o modelli</t>
  </si>
  <si>
    <t>"Accidentali (Eventi dovuti a errore umano, negligenza o carenze operative)"</t>
  </si>
  <si>
    <t>Minaccia</t>
  </si>
  <si>
    <t>IA e dati</t>
  </si>
  <si>
    <t>Eventi naturali / ambientali</t>
  </si>
  <si>
    <t>Accidentali</t>
  </si>
  <si>
    <t>Codice Vuln.</t>
  </si>
  <si>
    <t>Categoria Vulnerabilità</t>
  </si>
  <si>
    <t>Categoria Minaccia</t>
  </si>
  <si>
    <t>Peso Minaccia</t>
  </si>
  <si>
    <t>CHECK</t>
  </si>
  <si>
    <t>SLA, manutenzione e supporto dei componenti critici non adeguatamente definiti</t>
  </si>
  <si>
    <t>Categoria Minacia</t>
  </si>
  <si>
    <t>Riduzione di rischio effettivamente prodotta dal singolo controllo. Formula: Efficacia = Copertura × Affidabilità.</t>
  </si>
  <si>
    <t>Efficacia = Copertura × Affidabilità</t>
  </si>
  <si>
    <t>Livello di mitigazione del rischio: media PESATA dell'Efficacia di tutti i controlli collegati a quel rischio (0-1). Il peso di ciascun controllo deriva dal suo Ruolo tramite la colonna Peso (Primario = 3, Secondario = 2, Supporto = 1, Da implementare = 0).</t>
  </si>
  <si>
    <t>Formula</t>
  </si>
  <si>
    <t>I controlli prevengono l'evento: riducono la probabilità che si verifichi.</t>
  </si>
  <si>
    <t>I controlli non evitano l'evento ma ne limitano le conseguenze quando accade.</t>
  </si>
  <si>
    <t>Pr = P ; Ir = I — il residuo resta pari all'inerente</t>
  </si>
  <si>
    <t>Nota</t>
  </si>
  <si>
    <t>7. Opzione di Trattamento (decisione finale, foglio Tabella)</t>
  </si>
  <si>
    <t>Opzione</t>
  </si>
  <si>
    <t>Quando si applica</t>
  </si>
  <si>
    <t>Accettazione</t>
  </si>
  <si>
    <t>Livello residuo = Basso</t>
  </si>
  <si>
    <t>Il rischio è ritenuto sufficientemente contenuto così com'è.</t>
  </si>
  <si>
    <t>Mitigazione</t>
  </si>
  <si>
    <t>Livello residuo Medio / Alto / Critico ed esistono controlli applicabili (LM &gt; 0)</t>
  </si>
  <si>
    <t>Occorre continuare a lavorare per ridurre il rischio.</t>
  </si>
  <si>
    <t>Trasferimento</t>
  </si>
  <si>
    <t>L'opzione si decide soltanto dopo aver applicato l'effetto dei controlli, guardando esclusivamente il rischio residuo.</t>
  </si>
  <si>
    <t>Riduce P</t>
  </si>
  <si>
    <t>Riduce I</t>
  </si>
  <si>
    <t>X</t>
  </si>
  <si>
    <t>Spunte</t>
  </si>
  <si>
    <t>Solo P</t>
  </si>
  <si>
    <t>Solo I</t>
  </si>
  <si>
    <t>P e I</t>
  </si>
  <si>
    <t>Esistono controlli di prevenzione e di contenimento con peso paragonabile: si spuntano entrambe le caselle.</t>
  </si>
  <si>
    <t>Nessuna</t>
  </si>
  <si>
    <t>Nessun controllo diretto applicabile (LM = 0): si lasciano entrambe le caselle vuote.</t>
  </si>
  <si>
    <t>nessun controllo diretto disponibile: Livello di Mitigazione = 0</t>
  </si>
  <si>
    <t>Codice, modelli, dataset e configurazioni sono gestiti con versionamento e il rilascio segue una procedura che prevede test, backup e possibilità di rollback. Ogni modello rilasciato è identificato tramite hash per verificarne l'integrità e viene provato in ambiente di collaudo prima della distribuzione.</t>
  </si>
  <si>
    <t>L'architettura Edge+Core distribuisce l'elaborazione in locale, riducendo il carico sul componente centrale; dopo ogni rilascio le prestazioni e la latenza del sistema sono monitorate e verificate.</t>
  </si>
  <si>
    <t>Il retraining non è automatico: ogni aggiornamento del modello è subordinato a una verifica umana. Le immagini utilizzate sono selezionate, annotate e tracciate, con metadati che ne documentano origine ed esiti.</t>
  </si>
  <si>
    <t>Il dataset è costruito a partire da fonti diverse e riequilibrato con apposite tecniche; le prestazioni del modello sono validate su un dataset di test e il rilascio avviene solo al raggiungimento delle prestazioni minime attese.</t>
  </si>
  <si>
    <t>Installazione e configurazione del sistema avvengono in modo controllato e il funzionamento è verificato con un collaudo funzionale prima della messa in esercizio; gli eventi di sistema sono registrati per consentire la ricostruzione di eventuali errori.</t>
  </si>
  <si>
    <t>Sono eseguiti backup periodici e prima di ogni rilascio; dati e log sono archiviati in forma cifrata e sono definite procedure di ripristino da attivare in caso di necessità.</t>
  </si>
  <si>
    <t>Gli errori applicativi sono registrati e il corretto funzionamento è verificato dopo ogni aggiornamento; prestazioni e tempi di elaborazione sono monitorati e le risorse possono essere adeguate in funzione del carico.</t>
  </si>
  <si>
    <t>Gli operatori dispongono di documentazione e materiale informativo e ricevono una formazione iniziale sulla corretta interpretazione degli allarmi, con indicazioni operative di riferimento e un canale a cui rivolgersi in caso di dubbi.</t>
  </si>
  <si>
    <t>Ogni allarme è verificato da un responsabile prima di qualsiasi intervento ed è disponibile un canale dedicato per la segnalazione di anomalie ed errori.</t>
  </si>
  <si>
    <t>L'accesso avviene con credenziali dedicate soggette ad autenticazione, autorizzazione e revoca, con segregazione dei permessi tra i diversi componenti del sistema.</t>
  </si>
  <si>
    <t>Il sistema opera su un segmento di rete dedicato e le comunicazioni tra i componenti sono protette, autenticate e soggette a controllo dell'identità dei dispositivi che dialogano.</t>
  </si>
  <si>
    <t>L'accesso ai servizi è limitato alla rete interna, le versioni software sono gestite in modo controllato con test prima degli aggiornamenti e sono svolte verifiche periodiche delle vulnerabilità.</t>
  </si>
  <si>
    <t>I modelli rilasciati sono identificati tramite hash e la procedura di rilascio è controllata, con backup precedente al rilascio; le modifiche di configurazione sono registrate.</t>
  </si>
  <si>
    <t>Il sistema è installato in rete interna, i componenti sono mantenuti aggiornati, i backup sono eseguiti periodicamente e gli eventi di sicurezza sono registrati.</t>
  </si>
  <si>
    <t>Il sistema è installato in rete interna e non è esposto direttamente a internet; i componenti sono monitorati per garantirne la continuità di funzionamento.</t>
  </si>
  <si>
    <t>L'accesso alle immagini è limitato al personale autorizzato e le immagini inviate nelle notifiche sono anonimizzate; sono verificate le condizioni di utilizzo dei dataset ed è garantita la tracciabilità dei dati impiegati per il miglioramento del modello.</t>
  </si>
  <si>
    <t>Log e immagini sono conservati per tempi definiti e archiviati su supporti cifrati; il DPO è coinvolto ed è stata svolta la valutazione d'impatto, con una gestione strutturata delle richieste degli interessati.</t>
  </si>
  <si>
    <t>I componenti software sono forniti tramite licenza commerciale regolata da un contratto definito.</t>
  </si>
  <si>
    <t>Sono mantenute la documentazione tecnica del sistema, delle versioni e delle prestazioni, oltre alla documentazione e alle istruzioni destinate a utenti e responsabili.</t>
  </si>
  <si>
    <t>Le attività rilevanti del sistema, le modifiche e gli eventi sono registrati e i ruoli e le responsabilità sono definiti.</t>
  </si>
  <si>
    <t>La classificazione del sistema è documentata ed è riesaminata in caso di modifiche significative.</t>
  </si>
  <si>
    <t>Il riesame della classificazione è previsto ma non contempla esplicitamente l'aggiornamento della valutazione di deroga ex art. 6; nel processo di change management è inoltre previsto un passaggio obbligatorio che impone la revisione di tale valutazione entro trenta giorni da ogni modifica significativa.</t>
  </si>
  <si>
    <t>Il sistema rileva DPI e postura, non l'identità delle persone: non impiega badge, matricole né riconoscimento facciale, escludendo qualsiasi identificazione persistente.</t>
  </si>
  <si>
    <t>Non sono disponibili controlli diretti su questo rischio</t>
  </si>
  <si>
    <t>Annuale (rinnovo contratto e polizza)</t>
  </si>
  <si>
    <t>Annuale (rinnovo contratto di assistenza)</t>
  </si>
  <si>
    <t>Annuale (rinnovo contratto) e a ogni segnalazione di manomissione</t>
  </si>
  <si>
    <t>8. Stato del rischio (colonna Stato, foglio Tabella)</t>
  </si>
  <si>
    <t>Stato</t>
  </si>
  <si>
    <t>CHIUSO</t>
  </si>
  <si>
    <t>Nessuna azione in corso: il rischio residuo è Basso e viene accettato.</t>
  </si>
  <si>
    <t>MONITORATO</t>
  </si>
  <si>
    <t>Controlli attivi e piano di trattamento in corso: il rischio resta sotto sorveglianza tramite KRI e frequenza di revisione.</t>
  </si>
  <si>
    <t>APERTO</t>
  </si>
  <si>
    <t>Il presidio non è nella disponibilità diretta dell'organizzazione: resta aperto fino alla formalizzazione e verifica del trasferimento.</t>
  </si>
  <si>
    <t>Lo Stato deriva automaticamente dalla colonna Opzione di trattamento: non esiste più alcun elenco manuale di ID da aggiornare.</t>
  </si>
  <si>
    <t>Rischio di generazione di una segnalazione di non conformità non corretta (falso positivo)  a causa di occlusioni/scarsa visibilità, adversarial patch, model drift o cambiamento del contesto operativo non gestito, con possibile sovraccarico operativo, perdita di fiducia nel sistema o interventi non necessari.</t>
  </si>
  <si>
    <t>rischi sopra soglia</t>
  </si>
  <si>
    <t>I. Analizzare la composizione del dataset, integrare immagini mancanti o classi sottorappresentate, riequilibrare il dataset ed eseguire nuova validazione.
II. Ripetere addestramento e validazione; confrontare i modelli candidati con le soglie minime e autorizzare il rilascio solo con evidenze documentate.</t>
  </si>
  <si>
    <t>I. Correggere configurazioni errate, ripetere il collaudo funzionale, aggiornare la documentazione tecnica e registrare l'esito della verifica.</t>
  </si>
  <si>
    <t>I. Attivare alert tecnici sui componenti critici, analizzare i log, ripristinare il servizio e documentare causa e azione correttiva.
II. Analizzare carico, risorse e log applicativi; ottimizzare configurazioni o potenziare risorse Edge/Core in caso di saturazione.</t>
  </si>
  <si>
    <t>I. N. azioni correttive adottate senza verifica umana dello snapshot o senza valutazione dell'attendibilità dell'allarme &gt; 0.
II. N. allarmi non verificati dal responsabile prima dell'azione correttiva &gt; 0.
III. N. falsi positivi, falsi negativi o anomalie confermati non segnalati al supporto tecnico entro il periodo previsto &gt; 0.</t>
  </si>
  <si>
    <t>I. Richiamare l'obbligo di verifica umana, aggiornare le istruzioni operative e riesaminare i casi in cui l'allarme sia stato seguito automaticamente.
II. Formalizzare il passaggio di verifica umana, registrare l'esito della verifica e richiamare i responsabili alla procedura.
III. Definire tempi e canali di segnalazione; analizzare le anomalie ricevute e tracciare le azioni correttive fino alla chiusura.</t>
  </si>
  <si>
    <t>I. N. eventi, accessi, modifiche o decisioni rilevanti non tracciabili tramite log o evidenza documentale &gt; 0.</t>
  </si>
  <si>
    <t>I. Rafforzare logging e conservazione delle evidenze; definire le responsabilità e verificare periodicamente la completezza delle registrazioni.</t>
  </si>
  <si>
    <t>I. N. richieste o utilizzi documentati di ISaAC per finalità disciplinari, valutative o economiche verso singoli lavoratori &gt; 0.
II. Assenza di una verifica periodica formalizzata sullo scopo d'uso effettivo del sistema.</t>
  </si>
  <si>
    <t>I. N. modifiche significative al sistema, al caso d'uso o al contesto operativo non accompagnate da un aggiornamento della valutazione di deroga entro 30 giorni &gt; 0.</t>
  </si>
  <si>
    <t>I. N. richieste, proposte tecniche o integrazioni che introducano identificazione persistente di individui &gt; 0.</t>
  </si>
  <si>
    <t>I. Respingere o riprogettare richieste e integrazioni che introducano identificazione persistente (badge, matricola, riconoscimento facciale, correlazione ripetuta), documentando la valutazione di ogni richiesta.
II. Rivedere annualmente la valutazione della deroga e aggiornarla ogni volta che cambia in modo sostanziale il sistema o il suo utilizzo.</t>
  </si>
  <si>
    <t>Livello residuo Medio / Alto / Critico e presidio non nella disponibilità diretta dell'organizzazione: nessun controllo applicabile (LM = 0) oppure responsabilità del presidio affidata formalmente a un altro soggetto (cliente, fornitore, terzo).</t>
  </si>
  <si>
    <t>Fornitore hardware</t>
  </si>
  <si>
    <t>Procedurale</t>
  </si>
  <si>
    <t>Organizzativo / documentale</t>
  </si>
  <si>
    <t>Non attivo</t>
  </si>
  <si>
    <t>Umano</t>
  </si>
  <si>
    <t>Attestazione scopo d'uso</t>
  </si>
  <si>
    <t>Verifica periodica formalizzata</t>
  </si>
  <si>
    <t>Gate deroga nel change management</t>
  </si>
  <si>
    <t>— nessun controllo</t>
  </si>
  <si>
    <t>Tecnico / automatico</t>
  </si>
  <si>
    <t>Contrattuale / design</t>
  </si>
  <si>
    <t>Tipo</t>
  </si>
  <si>
    <t>Effetto sulla taratura</t>
  </si>
  <si>
    <t>Il controllo è eseguito dal sistema o è una proprietà dell'architettura (cifratura, hash, segmentazione, soglie, log).</t>
  </si>
  <si>
    <t>Passaggio di processo eseguito da persone su procedura o checklist (collaudi, rilasci, verifiche periodiche, gate).</t>
  </si>
  <si>
    <t>L'esito dipende dall'attenzione o dal giudizio di una persona nel momento dell'evento (verifica umana, formazione, attestazioni).</t>
  </si>
  <si>
    <t>Presidio di governo, documentazione, tracciabilità o raccolta segnalazioni: consente ricostruzione e miglioramento, non prevenzione.</t>
  </si>
  <si>
    <t>Obbligo contrattuale verso un terzo, oppure scelta di progetto che esclude il rischio alla radice.</t>
  </si>
  <si>
    <t>Controllo previsto ma non ancora operativo.</t>
  </si>
  <si>
    <t>Cop.</t>
  </si>
  <si>
    <t>Aff.</t>
  </si>
  <si>
    <t>Effic.</t>
  </si>
  <si>
    <t>AFFIDABILITÀ — funziona come previsto quando serve?</t>
  </si>
  <si>
    <t>Taratura dei controlli — come sono stati scelti Copertura, Affidabilità e Ruolo, rischio per rischio</t>
  </si>
  <si>
    <t>COPERTURA — cosa intercetta e cosa no</t>
  </si>
  <si>
    <t>Taratura controlli</t>
  </si>
  <si>
    <t>Documenta, per ogni rischio, come sono stati scelti Tipo, Ruolo, Copertura e Affidabilità di ciascun controllo. Collegato in formula al foglio Controlli.</t>
  </si>
  <si>
    <t>0,95 deterministico o proprietario dell'architettura | 0,85 automatico ma dipendente da configurazione e soglie | 0,70 procedurale con evidenza documentale | 0,50 dipende dall'attenzione o dalla decisione di una persona | 0,30 dipende dalla volontà di un terzo di segnalare o dichiarare.</t>
  </si>
  <si>
    <t>Affidabilità 0,95: nei casi coperti funziona sempre. 0,85 se dipende da configurazione o soglie da tarare.</t>
  </si>
  <si>
    <t>Affidabilità 0,70: funziona se la procedura è seguita e lascia evidenza documentale.</t>
  </si>
  <si>
    <t>Affidabilità 0,85: obbligo esigibile e documentato, oppure proprietà del disegno del sistema.</t>
  </si>
  <si>
    <t>Copertura e Affidabilità restano come stima attesa, ma il Ruolo «Da implementare» azzera il peso: nessun effetto sull'LM.</t>
  </si>
  <si>
    <t>Affidabilità 0,50: dipende dall'attenzione o dalla decisione di una persona nel momento dell'evento. 0,30 se consiste in una dichiarazione resa da un terzo.</t>
  </si>
  <si>
    <t>Affidabilità 0,70 se il presidio è formalizzato e documentato; 0,50 se dipende dall'osservazione di una persona; 0,30 se dipende dalla volontà di un terzo di segnalare o dichiarare.</t>
  </si>
  <si>
    <t>Su 10 casi in cui serve funziona ~7 volte su 10 (70%).   Procedurale: funziona se la procedura è seguita, e lascia evidenza documentale</t>
  </si>
  <si>
    <t>Su 10 casi in cui serve funziona ~7 volte su 10 (70%).   Procedurale bloccante: il gate funziona se la procedura di rilascio è seguita e lascia evidenza documentale delle soglie verificate</t>
  </si>
  <si>
    <t>Su 10 casi in cui serve funziona ~7 volte su 10 (70%).   Organizzativo / documentale: il presidio è formalizzato e documentato, ma non garantisce che venga letto e applicato</t>
  </si>
  <si>
    <t>Su 10 casi in cui serve funziona ~7 volte su 10 (70%).   Organizzativo / documentale: il presidio è formalizzato e documentato, ma non previene l'evento</t>
  </si>
  <si>
    <t>Su 10 casi in cui serve funziona ~9 volte su 10 (85%).   Contrattuale: obbligo esigibile e documentato verso il fornitore</t>
  </si>
  <si>
    <t>filtro di inerzia: allarme solo dopo 5 frame consecutivi di non conformità</t>
  </si>
  <si>
    <t>filtro di inerzia: allarme generato solo dopo 5 frame consecutivi di non conformità</t>
  </si>
  <si>
    <t>I. N. componenti software, librerie o modelli critici per cui il supporto del produttore è cessato o dichiarato in dismissione &gt; 0.
II. N. modifiche unilaterali a licenze, versioni o condizioni di servizio introdotte dal fornitore senza il preavviso concordato &gt; 0.
III. Assenza di un contratto di fornitura o assistenza valido e non scaduto per almeno un componente critico.</t>
  </si>
  <si>
    <t>I. Mantenere l'inventario dei componenti critici con versione e stato di supporto; individuare in anticipo alternative sostituibili per quelli in dismissione.
II. Formalizzare in contratto i termini di preavviso per modifiche a licenze, versioni e condizioni di servizio.
III. Verificare a ogni revisione periodica la validità dei contratti di fornitura e assistenza sui componenti critici.</t>
  </si>
  <si>
    <t>I. N. modifiche significative al sistema (modello, formato di inferenza, soglie, parametri) non riflesse nella documentazione tecnica e nel registro dei rischi entro 30 giorni &gt; 0.
II. N. versioni del modello in esercizio prive di scheda prestazioni e baseline di validazione documentate &gt; 0.
III. N. utilizzatori o responsabili che operano con istruzioni non aggiornate all'ultima versione rilasciata &gt; 0.</t>
  </si>
  <si>
    <t>I. Collegare l'aggiornamento della documentazione tecnica e del registro dei rischi al processo di rilascio: nessun rilascio senza aggiornamento di versione, parametri di inferenza e prestazioni.
II. Mantenere per ogni versione del modello una scheda di validazione con baseline delle metriche e parametri di inferenza applicati.
III. Distribuire le istruzioni aggiornate a ogni rilascio e acquisire evidenza della presa in carico da parte di utilizzatori e responsabili.</t>
  </si>
  <si>
    <t>Tabella</t>
  </si>
  <si>
    <t>LM = SOMMA.PRODOTTO(Efficacia; Peso; (#Rischio = rischio)) / SOMMA.SE(#Rischio; rischio; Peso), incapsulata in SE.ERRORE(…;0) per i rischi privi di controlli — colonna J del foglio Controlli. Efficacia in colonna G, Peso in colonna I: nessuna colonna di appoggio.</t>
  </si>
  <si>
    <t>9. Tipo di controllo (colonna B del foglio Taratura controlli) — serve a scegliere l'ancoraggio dell'Affidabilità</t>
  </si>
  <si>
    <t>Pr = ARROTONDA.ECCESSO(MAX(1; P × (1 − LM))) ; Ir = I invariato</t>
  </si>
  <si>
    <t>Pr = P invariato ; Ir = ARROTONDA.ECCESSO(MAX(1; I × (1 − LM)))</t>
  </si>
  <si>
    <t>Pr = ARROTONDA.ECCESSO(MAX(1; P × (1 − LM))) ; Ir = ARROTONDA.ECCESSO(MAX(1; I × (1 − LM))) — stesso LM, nessuno split</t>
  </si>
  <si>
    <t>Arrotondamento</t>
  </si>
  <si>
    <t>P e I sono scale ordinali a numeri interi: Pr e Ir sono arrotondati per ECCESSO (criterio prudenziale) e non possono scendere sotto 1. Una riduzione di livello viene riconosciuta solo quando è interamente conseguita: un LM che porta P da 3 a 2,1 lascia Pr = 3. La stessa regola si applica a Pr e Ir, così che il registro non riporti mai punteggi residui non interi.</t>
  </si>
  <si>
    <r>
      <rPr>
        <b/>
        <sz val="14"/>
        <color theme="1"/>
        <rFont val="Aptos Narrow"/>
        <scheme val="minor"/>
      </rPr>
      <t>I.</t>
    </r>
    <r>
      <rPr>
        <sz val="14"/>
        <color theme="1"/>
        <rFont val="Aptos Narrow"/>
        <scheme val="minor"/>
      </rPr>
      <t xml:space="preserve"> Recall DPI &lt; 0,70 oppure mAP50 DPI &lt; 0,75 oppure mAP95 &lt; 0,45 su dataset di validazione.
II. N. modelli candidati selezionati per il rilascio senza evidenza di validazione o senza rispetto delle soglie minime di accettazione &gt; 0.</t>
    </r>
  </si>
  <si>
    <r>
      <rPr>
        <b/>
        <sz val="14"/>
        <color theme="1"/>
        <rFont val="Aptos Narrow"/>
        <scheme val="minor"/>
      </rPr>
      <t>I.</t>
    </r>
    <r>
      <rPr>
        <sz val="14"/>
        <color theme="1"/>
        <rFont val="Aptos Narrow"/>
        <scheme val="minor"/>
      </rPr>
      <t xml:space="preserve"> N. errori di configurazione, installazione o integrazione rilevati durante collaudo, aggiornamento o manutenzione &gt; 0.</t>
    </r>
  </si>
  <si>
    <r>
      <rPr>
        <b/>
        <sz val="14"/>
        <color theme="1"/>
        <rFont val="Aptos Narrow"/>
        <scheme val="minor"/>
      </rPr>
      <t>I.</t>
    </r>
    <r>
      <rPr>
        <sz val="14"/>
        <color theme="1"/>
        <rFont val="Aptos Narrow"/>
        <scheme val="minor"/>
      </rPr>
      <t xml:space="preserve"> Worker, Core, servizio di notifica o componente pipeline in stato di errore  per più di 5 minuti consecutivi.
</t>
    </r>
    <r>
      <rPr>
        <b/>
        <sz val="14"/>
        <color theme="1"/>
        <rFont val="Aptos Narrow"/>
        <scheme val="minor"/>
      </rPr>
      <t xml:space="preserve">II. </t>
    </r>
    <r>
      <rPr>
        <sz val="14"/>
        <color theme="1"/>
        <rFont val="Aptos Narrow"/>
        <scheme val="minor"/>
      </rPr>
      <t>Tempo medio di elaborazione o consegna alert &gt; 2× valore normale per più di 10 minuti consecutivi.</t>
    </r>
  </si>
  <si>
    <r>
      <rPr>
        <b/>
        <sz val="14"/>
        <color theme="1"/>
        <rFont val="Aptos Narrow"/>
        <scheme val="minor"/>
      </rPr>
      <t>I</t>
    </r>
    <r>
      <rPr>
        <sz val="14"/>
        <color theme="1"/>
        <rFont val="Aptos Narrow"/>
        <scheme val="minor"/>
      </rPr>
      <t xml:space="preserve">. N. operatori senza DPI non segnalati &gt; 0, oppure Recall DPI &lt; 0,70 / Precision DPI &lt; 0,75 sul modello in esercizio (soglia di confidenza ≥0,40), oppure scostamento superiore al 10% rispetto al dataset di controllo della versione approvata.
</t>
    </r>
    <r>
      <rPr>
        <b/>
        <sz val="14"/>
        <color theme="1"/>
        <rFont val="Aptos Narrow"/>
        <scheme val="minor"/>
      </rPr>
      <t>II.</t>
    </r>
    <r>
      <rPr>
        <sz val="14"/>
        <color theme="1"/>
        <rFont val="Aptos Narrow"/>
        <scheme val="minor"/>
      </rPr>
      <t xml:space="preserve"> Percentuale di immagini non valutabili per occlusione/DPI non visibili &gt; 10% del campione mensile verificato.
</t>
    </r>
    <r>
      <rPr>
        <b/>
        <sz val="14"/>
        <color theme="1"/>
        <rFont val="Aptos Narrow"/>
        <scheme val="minor"/>
      </rPr>
      <t>III</t>
    </r>
    <r>
      <rPr>
        <sz val="14"/>
        <color theme="1"/>
        <rFont val="Aptos Narrow"/>
        <scheme val="minor"/>
      </rPr>
      <t xml:space="preserve">. N. casi confermati di adesivi, pattern, camuffamenti o artefatti fisici associati a errore di rilevamento &gt; 0.
</t>
    </r>
    <r>
      <rPr>
        <b/>
        <sz val="14"/>
        <color theme="1"/>
        <rFont val="Aptos Narrow"/>
        <scheme val="minor"/>
      </rPr>
      <t>IV.</t>
    </r>
    <r>
      <rPr>
        <sz val="14"/>
        <color theme="1"/>
        <rFont val="Aptos Narrow"/>
        <scheme val="minor"/>
      </rPr>
      <t xml:space="preserve"> N. modifiche a DPI, area, telecamera, condizioni operative, soglia di confidenza (≥0,40) o numero di frame consecutivi richiesti, introdotte senza nuova verifica o validazione documentata del modello &gt; 0.
V. N. episodi reali di non conformità esauriti prima dei 5 frame consecutivi richiesti dal filtro di inerzia, e quindi non segnalati, &gt; 0.</t>
    </r>
  </si>
  <si>
    <r>
      <rPr>
        <b/>
        <sz val="14"/>
        <color theme="1"/>
        <rFont val="Aptos Narrow"/>
        <scheme val="minor"/>
      </rPr>
      <t xml:space="preserve">I. </t>
    </r>
    <r>
      <rPr>
        <sz val="14"/>
        <color theme="1"/>
        <rFont val="Aptos Narrow"/>
        <scheme val="minor"/>
      </rPr>
      <t xml:space="preserve">Analizzare i falsi negativi, aggiungere le immagini al dataset e avviare retraining; confrontare periodicamente le prestazioni con la baseline della versione approvata e avviare retraining quando precision o recall scendono sotto soglia o si scostano oltre la tolleranza.
</t>
    </r>
    <r>
      <rPr>
        <b/>
        <sz val="14"/>
        <color theme="1"/>
        <rFont val="Aptos Narrow"/>
        <scheme val="minor"/>
      </rPr>
      <t>II.</t>
    </r>
    <r>
      <rPr>
        <sz val="14"/>
        <color theme="1"/>
        <rFont val="Aptos Narrow"/>
        <scheme val="minor"/>
      </rPr>
      <t xml:space="preserve"> Introdurre o mantenere un controllo mensile su immagini/eventi; se la soglia viene superata, correggere inquadratura, ostacoli o condizioni operative.
</t>
    </r>
    <r>
      <rPr>
        <b/>
        <sz val="14"/>
        <color theme="1"/>
        <rFont val="Aptos Narrow"/>
        <scheme val="minor"/>
      </rPr>
      <t xml:space="preserve">III. </t>
    </r>
    <r>
      <rPr>
        <sz val="14"/>
        <color theme="1"/>
        <rFont val="Aptos Narrow"/>
        <scheme val="minor"/>
      </rPr>
      <t xml:space="preserve">Controllare i DPI sospetti, rimuovere o sostituire DPI alterati e valutare l'inserimento di casi simili nei test o nel dataset di miglioramento.
</t>
    </r>
    <r>
      <rPr>
        <b/>
        <sz val="14"/>
        <color theme="1"/>
        <rFont val="Aptos Narrow"/>
        <scheme val="minor"/>
      </rPr>
      <t>IV.</t>
    </r>
    <r>
      <rPr>
        <sz val="14"/>
        <color theme="1"/>
        <rFont val="Aptos Narrow"/>
        <scheme val="minor"/>
      </rPr>
      <t xml:space="preserve"> Rivalutare il sistema dopo modifiche operative rilevanti, raccogliendo nuove immagini e aggiornando dataset/modello; sottoporre ogni modifica di soglia di confidenza o di lunghezza del filtro di inerzia al processo di rilascio controllato, con nuova validazione e aggiornamento del Fascicolo Tecnico e del presente registro.
V. Verificare la durata tipica degli episodi di non conformità nel contesto reale e valutare la riduzione del numero di frame consecutivi richiesti, bilanciandola con l'effetto sui falsi positivi</t>
    </r>
  </si>
  <si>
    <t>I. Analizzare i falsi positivi ricorrenti per classe, area e telecamera, integrare i casi nel dataset e avviare retraining.
II. Valutare l'innalzamento della soglia di confidenza o l'estensione del filtro di inerzia, verificando l'effetto sui falsi negativi (Rischio 9) prima di applicare la modifica.
III. Definire tempi e responsabilità per l'analisi delle segnalazioni ricevute e tracciare le azioni correttive fino alla chiusura.
IV. Sottoporre ogni modifica dei parametri di inferenza al processo di rilascio controllato, con validazione documentata e aggiornamento del Fascicolo Tecnico e del presente registro.</t>
  </si>
  <si>
    <t>I. Percentuale di allarmi verificati  non conformi al reale (falsi positivi) &gt; 20% degli allarmi del campione mensile, oppure Precision DPI &lt; 0,75 sul modello in esercizio (soglia di confidenza ≥0,40), oppure scostamento superiore al 10% rispetto al dataset di controllo della versione approvata.
II. N. falsi positivi ricorrenti concentrati sulla stessa classe di DPI, area o telecamera &gt; 0 nel campione mensile verificato.
III. N. segnalazioni di errore ricevute dagli operatori e non analizzate entro i tempi definiti &gt; 0.
IV. N. modifiche a soglia di confidenza (≥0,40), numero di frame consecutivi richiesti, DPI, area, telecamera o condizioni operative, introdotte senza nuova verifica o validazione documentata del modello &gt; 0.
V. N. episodi di disattivazione, elusione o mancata gestione degli allarmi da parte degli operatori a causa di un eccesso di falsi positivi &gt; 0.</t>
  </si>
  <si>
    <t xml:space="preserve">RUOLO </t>
  </si>
  <si>
    <t xml:space="preserve">soglia di confidenza minima ≥0,40 applicata all'inferenza del modello </t>
  </si>
  <si>
    <t>soglia di confidenza minima ≥0,40 sul modello  e analisi di sequenze di immagini</t>
  </si>
  <si>
    <t>6. Caselle "Riduce P" / "Riduce I" (foglio Rischio residuo) e calcolo del rischio residuo</t>
  </si>
  <si>
    <t>Le due caselle risiedono nel foglio Rischio residuo (colonne G e H) e si compilano con una X scegliendola dall'elenco a discesa. Sono una variabile tecnica di calcolo, non una decisione di trattamento.</t>
  </si>
  <si>
    <t>Soglia minima di confidenza</t>
  </si>
  <si>
    <t>Filtro di inerzia (frame consecutivi)</t>
  </si>
  <si>
    <t>I. mAP50 DPI &lt; 0,75 oppure Recall DPI &lt; 0,70, misurati sul modello in esercizio su immagini relative a nuovi DPI, nuovi ambienti o nuove condizioni operative, oppure scostamento di mAP50 o Recall superiore al 10% rispetto alla versione del modello precedentemente approvata e registrata.
II. N. rilevamenti con confidenza compresa tra 0,40 e 0,70 riferiti a condizioni non rappresentate nel dataset di addestramento &gt; 0 nel campione mensile verificato.</t>
  </si>
  <si>
    <t>0,95 intercetta tutti gli scenari del rischio, nessuna lacuna identificabile | 0,85 intercetta lo scenario principale, con una lacuna dichiarata e circoscritta | 0,70 intercetta una parte prevalente degli scenari, con lacune rilevanti | 0,50 intercetta circa metà degli scenari, o solo in determinate condizioni | 0,30 intercetta una minoranza degli scenari | 0 non intercetta lo scenario, oppure controllo non ancora attivo. La lacuna che motiva il valore va dichiarata nel campo "Non copre" del foglio Taratura controlli.</t>
  </si>
  <si>
    <t>Il sistema opera con soglia minima di confidenza ≥0,40: la soglia più permissiva è compensata da un filtro di inerzia che genera l'allarme solo dopo cinque frame consecutivi di non conformità. Ogni allarme è verificato da una persona sullo snapshot prima di qualsiasi intervento; è disponibile un canale per segnalare errori e le variazioni del contesto operativo sono monitorate.</t>
  </si>
  <si>
    <t>Raccolta casi</t>
  </si>
  <si>
    <t>Il rilevamento si basa sul modello di rilevamento in esercizio, con soglia minima di confidenza ≥0,40 (abbassata da ≥0,70 con il cambio di modello) e sull'analisi di sequenze di immagini, con verifica DPI-keypoints a soglia geometrica adattiva; un filtro di inerzia genera l'allarme solo dopo cinque frame consecutivi di non conformità ed è comunque verificato da una persona, con controllo fisico dei DPI, prima di qualsiasi intervento. Le variazioni del contesto operativo sono monitorate.</t>
  </si>
  <si>
    <t>Nessuno</t>
  </si>
  <si>
    <t>Nessun controllo in essere: non esiste alcun presidio applicabile al rischio. Peso = 0, LM = 0, il rischio residuo resta pari all'inerente e l'opzione di trattamento diventa il trasferimento.</t>
  </si>
  <si>
    <t>Il sistema opera con il modello di rilevamento in esercizio, con soglia minima di confidenza ≥0,40. Il dataset è composto da immagini raccolte in contesti differenti ed è attiva la raccolta di casi operativi da impiegare per il miglioramento del modello.</t>
  </si>
  <si>
    <t>L'opzione Trasferimento è assegnata automaticamente dalla formula quando LM = 0 (nessun controllo applicabile). Può essere indicata manualmente anche con LM &gt; 0 quando la responsabilità del presidio è formalmente in capo a un altro soggetto — tipicamente obblighi che la normativa pone sul deployer — pur restando in essere controlli propri di supporto. In tal caso la cella è compilata a mano e la motivazione è riportata in nota sulla cella stessa.</t>
  </si>
  <si>
    <t>I. N. utenti, responsabili o tecnici coinvolti nell'uso/supervisione del sistema privi di istruzioni o documentazione aggiornata &gt; 0.
II. Assenza di una clausola contrattuale che attribuisca al cliente l'obbligo di formazione e AI literacy degli utilizzatori (art. 4 Reg. UE 2024/1689), oppure assenza di evidenza della formazione erogata agli utenti finali.</t>
  </si>
  <si>
    <t>I. N. accessi non autorizzati all'area o alle apparecchiature rilevati, oppure assenza del controllo visivo periodico nelle attività di manutenzione previste &gt; 0.
II. Assenza di un accordo contrattuale o SLA con il cliente che attribuisca formalmente il presidio fisico dei locali tecnici e delle apparecchiature, oppure accordo scaduto o non documentato.</t>
  </si>
  <si>
    <t>I. N. modifiche a modelli, dataset, configurazioni, immagini o log prive di corrispondenza nel registro dei rilasci o nel log eventi &gt; 0.
II. N. verifiche dell'hash del modello in esercizio non corrispondenti alla versione approvata e registrata &gt; 0.
III. Assenza di conservazione dei log su supporto separato e non riscrivibile dagli account che operano sul sistema.</t>
  </si>
  <si>
    <t>I. Verificare periodicamente l'hash del modello in esercizio contro la versione approvata e riconciliare le modifiche di configurazione con il registro dei rilasci, documentando l'esito.
II. Conservare i log e le evidenze su supporto separato e non riscrivibile dagli account che operano sul sistema, in modo che una modifica intenzionale non possa cancellare anche la propria traccia.
III. Verificare con evidenza documentale il ripristino di modelli, dataset e configurazioni dai backup; a contenimento dimostrato, rivalutare l'impatto residuo del rischio.</t>
  </si>
  <si>
    <t>Annuale (rinnovo contratto) e a ogni nuovo gruppo di utilizzatori</t>
  </si>
  <si>
    <t>Trimestrale e a ogni variazione di account, privilegi o API key</t>
  </si>
  <si>
    <t>Trimestrale e a ogni annuncio di fine supporto o modifica contrattuale del fornitore</t>
  </si>
  <si>
    <t>canale dedicato per segnalare dubbi di interpretazione degli allarmi, errori e anomalie, con presa in carico tracciata</t>
  </si>
  <si>
    <t>Rischio di errori durante l'installazione, configurazione, integrazione, manutenzione o aggiornamento di telecamere, dispositivi Edge, componente Core, soglie, filtri spaziali, interfacce e servizi di notifica, con possibile perdita o alterazione dei flussi, mancata elaborazione degli eventi, indisponibilità o funzionamento non conforme di ISaAC.</t>
  </si>
  <si>
    <t>Rischio di cancellazione, corruzione o perdita non intenzionale di immagini, eventi, log, dataset, configurazioni o modelli e di mancato recupero tramite le procedure di backup e ripristino, con possibile perdita permanente delle informazioni, impossibilità di ricostruire le attività, degrado del servizio o prolungamento dell'indisponibilità di ISaAC.</t>
  </si>
  <si>
    <t>Rischio che ISaAC non rilevi una reale situazione di mancato o non corretto utilizzo dei DPI (falso negativo), a causa di occlusioni/scarsa visibilità, adversarial patch, model drift o cambiamento del contesto operativo non gestito, con conseguente mancata segnalazione, ritardo nell'intervento e possibile esposizione del lavoratore a una condizione di pericolo.</t>
  </si>
  <si>
    <t>Rischio che gli utilizzatori o i supervisori di ISaAC non dispongano di competenze e AI literacy adeguate per utilizzare correttamente il sistema, comprenderne i limiti e interpretarne i risultati, con possibile mancata individuazione di errori o anomalie e adozione di decisioni non appropriate.</t>
  </si>
  <si>
    <t>Rischio che le segnalazioni prodotte da ISaAC non siano verificate, comunicate o gestite tempestivamente e correttamente, per fiducia eccessiva o mancata considerazione delle segnalazioni (automation bias) oppure per segnalazione tardiva o assente di anomalie, errori del modello, falsi positivi o falsi negativi, con possibile conferma di risultati errati o mancata gestione di situazioni reali.</t>
  </si>
  <si>
    <t>Rischio di accesso non autorizzato ai componenti e ai dati di ISaAC per errata configurazione, assegnazione o mancata revoca di account/privilegi/API key, per abuso intenzionale o condivisione impropria di credenziali da parte di soggetti autorizzati, oppure per acquisizione fraudolenta delle credenziali (brute force, phishing, credential stuffing, social engineering).</t>
  </si>
  <si>
    <t>Rischio di compromissione delle comunicazioni o dei flussi di rete di ISaAC mediante intercettazione/sniffing passivo, attacco man-in-the-middle o dirottamento di sessione, oppure creazione, modifica, sostituzione o ritrasmissione fraudolenta di flussi video, messaggi o eventi (spoofing, replay, impersonificazione), con possibile acquisizione, alterazione o occultamento non autorizzati di dati ed eventi.</t>
  </si>
  <si>
    <t>Rischio che vulnerabilità di software, firmware, API, servizi o altri componenti di ISaAC non siano tempestivamente individuate o corrette a causa di hardening, patching o gestione delle vulnerabilità insufficienti, anche a seguito di attività di network scanning, fingerprinting o ricognizione non autorizzata, con possibile sfruttamento per eseguire codice, acquisire privilegi o compromettere il sistema.</t>
  </si>
  <si>
    <t>Rischio di incendio, allagamento, evento sismico, fenomeno meteorologico estremo o fulminazione, oppure di esposizione prolungata a polvere, umidità, temperature fuori specifica o condizioni di illuminazione avverse, con possibile danneggiamento delle apparecchiature, degrado progressivo dei dispositivi o indisponibilità temporanea o prolungata di ISaAC.</t>
  </si>
  <si>
    <t>Rischio di accesso fisico non autorizzato a telecamere, dispositivi Edge, apparati di rete, sistemi di memorizzazione o locali tecnici di ISaAC, con possibile furto, sottrazione, sabotaggio o manomissione delle apparecchiature e dei dati, alterazione dei flussi e interruzione del servizio.</t>
  </si>
  <si>
    <t>Rischio di indisponibilità estesa del personale incaricato della supervisione, della verifica delle segnalazioni e della manutenzione di ISaAC, con possibile mancata gestione delle segnalazioni prodotte, sospensione delle attività di controllo e prolungamento dei tempi di ripristino.</t>
  </si>
  <si>
    <t>Rischio di accesso, utilizzo, comunicazione o divulgazione non autorizzati di immagini, eventi, log o altri dati personali trattati mediante ISaAC, oppure di raccolta o utilizzo non autorizzato di dati personali, sensibili o protetti da diritto d'autore, con possibile violazione della riservatezza o della normativa applicabile e lesione dei diritti degli interessati.</t>
  </si>
  <si>
    <t>Rischio di dipendenza da fornitori, tecnologie o componenti critici non facilmente sostituibili, con possibile discontinuità, inadempienza o cessazione del supporto oppure modifiche unilaterali o non controllate del produttore a modelli, librerie, componenti o condizioni del servizio, con conseguente indisponibilità di aggiornamenti/assistenza o degrado/interruzione di ISaAC.</t>
  </si>
  <si>
    <t>Rischio di documentazione, trasparenza, tracciabilità o informazione agli utenti insufficienti riguardo a dati, prestazioni, limiti, versioni del modello e obblighi normativi applicabili a ISaAC, con possibile impossibilità di dimostrare la conformità, ricostruire le decisioni o utilizzo improprio del sistema da parte degli utenti.</t>
  </si>
  <si>
    <t>Rischio di insufficiente definizione delle responsabilità, registrazione delle attività e conservazione delle evidenze relative al funzionamento e all'utilizzo di ISaAC, con possibile impossibilità di attribuire le operazioni eseguite, ricostruire eventi e decisioni, svolgere verifiche o dimostrare la conformità del sistema.</t>
  </si>
  <si>
    <t>Rischio che l'utilizzo di ISaAC evolva  verso un impiego che influenza  decisioni riguardanti il singolo lavoratore facendo venir meno le condizioni della deroga di cui all'art. 6(3) del Regolamento (UE) 2024/1689 senza che ciò venga formalmente rilevato, valutato o gestito.</t>
  </si>
  <si>
    <t>Rischio che le rilevazioni di ISaAC vengano associate, anche indirettamente, a un'identità di lavoratore in modo persistente (es. tramite badge, matricola o correlazione ripetuta), qualificando l'attività come profiling ai sensi dell'art. 6(3) ultimo comma del Regolamento (UE) 2024/1689 e dell'art. 4(4) GDPR, con decadenza automatica della deroga indipendentemente dalla valutazione di rischio effettuata.</t>
  </si>
  <si>
    <t>Formazione insufficiente sull’uso corretto di ISaAC e sulla gestione delle segnalazioni</t>
  </si>
  <si>
    <t>Processo di gestione dei rischi non implementato, non aggiornato o non collegato ai cambiamenti di ISaAC</t>
  </si>
  <si>
    <t>Documentazione del ciclo di vita di ISaAC incompleta o non aggiornata</t>
  </si>
  <si>
    <t>Uso di ISaAC improprio, non conforme alle istruzioni o per finalità diverse da quelle previste</t>
  </si>
  <si>
    <t>Nei rischi con livello residuo Basso e opzione Accettazione non si definiscono KRI né piano di trattamento: il presidio è ritenuto stabile e il monitoraggio si esaurisce nella revisione periodica prevista dalla colonna Frequenza revisione. Le colonne KRI e Piano di trattamento restano quindi volutamente vuote: non si tratta di una omissione. Se un rischio accettato torna a un livello residuo Medio o superiore, KRI e piano vanno definiti contestualmente.
La stessa scelta si applica ai rischi con opzione Trasferimento e stato APERTO: il presidio non è nella disponibilità diretta dell'organizzazione, quindi non esiste un piano di trattamento interno da eseguire. Il "piano" coincide con la formalizzazione contrattuale del trasferimento verso il soggetto indicato nella colonna Owner e con la verifica dell'efficacia del presidio trasferito alla frequenza indicata; i KRI restano definiti perché servono a rilevare l'inefficacia del presidio altrui. La colonna Piano di trattamento è quindi volutamente vuota anche in questi casi.</t>
  </si>
  <si>
    <t>Da implementare</t>
  </si>
  <si>
    <t>La classificazione è riesaminata in caso di modifiche significative, ma senza un presidio dedicato al monitoraggio dello scopo d'uso. È in essere una clausola contrattuale che vieta l'impiego del sistema per valutazioni disciplinari, di performance o economiche. L'attestazione periodica del referente cliente sull'assenza di utilizzi per decisioni individuali e la verifica trimestrale dello scopo d'uso effettivo con evidenza documentale sono previste ma non ancora operative (Ruolo «Da implementare» in Controlli, peso 0: nessun effetto sull'LM — vedi LEGGENDA §5 e §9).</t>
  </si>
  <si>
    <t>I. Mantenere e presidiare la clausola contrattuale che vieta l'uso del sistema per decisioni individuali: verificarne la presenza a ogni rinnovo o modifica contrattuale e riesaminare formalmente ogni richiesta che vada in tal senso.
II. Formalizzare l'attestazione periodica del referente cliente sull'assenza di utilizzo per decisioni individuali (presidio previsto, non ancora operativo).
III. Istituire la verifica trimestrale dello scopo d'uso effettivo con evidenza documentale (presidio previsto, non ancora operativo).
IV. Implementare il divieto tecnico di export o correlazione dei dati verso i sistemi di gestione del personale (owner: Responsabile informatico).
A implementazione avvenuta dei punti II, III e IV, aggiornare il Ruolo dei controlli corrispondenti in "Controlli" da «Da implementare» al ruolo effettivo e verificare il nuovo rischio residuo.</t>
  </si>
  <si>
    <t>Controllo previsto e già progettato, ma non ancora operativo. Copertura e Affidabilità restano indicate come stima attesa a fini di pianificazione, ma il Ruolo azzera il peso (0): il controllo non entra né al numeratore né al denominatore della media pesata, quindi non contribuisce all'LM. Va riportato al ruolo effettivo (Primario/Secondario/Supporto) solo quando è in esercizio e ne esiste evidenza. Corrisponde al Tipo di controllo «Non attivo» della §9.
Attenzione: poiché il peso 0 esclude il controllo anche dal denominatore, marcare come «Da implementare» un presidio debole può far salire l'LM del rischio. È un effetto atteso della media pesata (l'LM misura l'efficacia dei soli controlli in esercizio) e va verificato sul rischio residuo dopo ogni modifica del Ruolo.</t>
  </si>
  <si>
    <t>La responsabilità è condivisa con o affidata a un terzo. Nella colonna Owner va indicato esplicitamente il soggetto destinatario del trasferimento (es. «Cliente», «Fornitore hardware»): non è richiesto un referente interno, perché il presidio non è nella disponibilità diretta dell'organizzazione. Il rischio resta APERTO fino alla formalizzazione contrattuale e alla verifica dell'efficacia del presidio trasferito, che si svolge alla frequenza indicata nella colonna Frequenza revisione.</t>
  </si>
  <si>
    <t>I. Mantenere il gate di deroga nel processo di change management: ogni modifica classificata come «significativa» include il passaggio obbligatorio di revisione della valutazione art. 6 entro 30 giorni, con evidenza documentale.
II. Verificare a ogni revisione periodica che il gate sia stato effettivamente applicato a tutte le modifiche significative rilasciate nel periodo, e che il riesame della classificazione richiami esplicitamente l'aggiornamento della valutazione di deroga (oggi non lo prevede: è il punto debole residuo del presidio).</t>
  </si>
  <si>
    <t>I. Raccogliere immagini delle nuove condizioni operative, inserirle nel dataset ed eseguire fine-tuning e nuova validazione; confrontare le prestazioni con la baseline della versione del modello approvata (vedi Fascicolo Tecnico, Cap. 4) e avviare retraining o revisione della soglia di confidenza quando lo scostamento supera la tolleranza.
II. Ritarare le soglie dei KRI a ogni cambio di modello, di formato di inferenza o di soglia di confidenza, documentando la nuova baseline nel Fascicolo Tecnico.</t>
  </si>
  <si>
    <t>I. N. guasti a telecamere o dispositivi Edge non rilevati tempestivamente o non ripristinati entro il tempo concordato con il cliente &gt; 0.
II. Assenza di un accordo contrattuale  con il cliente che attribuisca formalmente alimentazione, continuità delle utilities e tempi di ripristino delle apparecchiature, oppure accordo scaduto o non documentato.</t>
  </si>
  <si>
    <t>I. N. eventi ambientali (incendio, allagamento, danneggiamento da eventi naturali) che colpiscono le apparecchiature senza copertura assicurativa/piano di continuità del cliente &gt; 0.
II. Assenza di un accordo contrattuale  con il cliente che attribuisca formalmente la protezione ambientale dei locali e delle apparecchiature e la copertura assicurativa dei danni, oppure accordo scaduto o non documentato.</t>
  </si>
  <si>
    <t>I. N. periodi in cui nessun operatore è disponibile per la supervisione o la gestione delle segnalazioni oltre la soglia concordata &gt; 0.
II. Assenza di un accordo contrattuale  con il cliente che attribuisca formalmente la disponibilità del personale di supervisione e le soglie di copertura del servizio, oppure accordo scaduto o non documentato.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</si>
</sst>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0;0.000"/>
  </numFmts>
  <fonts count="72">
    <font>
      <sz val="12"/>
      <color theme="1"/>
      <name val="Aptos Narrow"/>
      <family val="2"/>
      <scheme val="minor"/>
    </font>
    <font>
      <sz val="13"/>
      <color theme="1"/>
      <name val=".AppleSystemUIFont"/>
    </font>
    <font>
      <sz val="10"/>
      <name val="Arial"/>
      <family val="2"/>
    </font>
    <font>
      <b/>
      <sz val="12"/>
      <color theme="1"/>
      <name val="Aptos Narrow"/>
      <family val="2"/>
      <scheme val="minor"/>
    </font>
    <font>
      <b/>
      <sz val="16"/>
      <color theme="1"/>
      <name val="Aptos Narrow"/>
      <scheme val="minor"/>
    </font>
    <font>
      <sz val="16"/>
      <name val="Arial"/>
      <family val="2"/>
    </font>
    <font>
      <sz val="16"/>
      <color theme="1"/>
      <name val="Aptos Narrow"/>
      <family val="2"/>
      <scheme val="minor"/>
    </font>
    <font>
      <i/>
      <sz val="12"/>
      <color theme="1"/>
      <name val="Aptos Narrow"/>
      <family val="2"/>
      <scheme val="minor"/>
    </font>
    <font>
      <b/>
      <sz val="10"/>
      <color rgb="FFFFFFFF"/>
      <name val="Calibri"/>
      <family val="2"/>
    </font>
    <font>
      <sz val="10"/>
      <color theme="1"/>
      <name val="Aptos Narrow"/>
      <family val="2"/>
      <scheme val="minor"/>
    </font>
    <font>
      <sz val="10"/>
      <color rgb="FF0000FF"/>
      <name val="Aptos Narrow"/>
      <family val="2"/>
      <scheme val="minor"/>
    </font>
    <font>
      <sz val="10"/>
      <color rgb="FF008000"/>
      <name val="Aptos Narrow"/>
      <family val="2"/>
      <scheme val="minor"/>
    </font>
    <font>
      <b/>
      <sz val="10"/>
      <color rgb="FFFFFFFF"/>
      <name val="Aptos Narrow"/>
      <family val="2"/>
      <scheme val="minor"/>
    </font>
    <font>
      <b/>
      <sz val="10"/>
      <color theme="1"/>
      <name val="Aptos Narrow"/>
      <family val="2"/>
      <scheme val="minor"/>
    </font>
    <font>
      <b/>
      <sz val="11"/>
      <color rgb="FF1F3864"/>
      <name val="Aptos Narrow"/>
      <family val="2"/>
      <scheme val="minor"/>
    </font>
    <font>
      <i/>
      <sz val="10"/>
      <color theme="1"/>
      <name val="Aptos Narrow"/>
      <family val="2"/>
      <scheme val="minor"/>
    </font>
    <font>
      <i/>
      <sz val="10"/>
      <color rgb="FF0000FF"/>
      <name val="Aptos Narrow"/>
      <family val="2"/>
      <scheme val="minor"/>
    </font>
    <font>
      <b/>
      <sz val="12"/>
      <color rgb="FF0000FF"/>
      <name val="Aptos Narrow"/>
      <family val="2"/>
      <scheme val="minor"/>
    </font>
    <font>
      <b/>
      <sz val="12"/>
      <color rgb="FFFFFFFF"/>
      <name val="Aptos Narrow"/>
      <scheme val="minor"/>
    </font>
    <font>
      <b/>
      <sz val="10"/>
      <name val="Arial"/>
      <family val="2"/>
    </font>
    <font>
      <b/>
      <sz val="14"/>
      <color theme="1"/>
      <name val="Aptos Narrow"/>
      <scheme val="minor"/>
    </font>
    <font>
      <b/>
      <vertAlign val="subscript"/>
      <sz val="14"/>
      <color theme="1"/>
      <name val="Aptos Narrow"/>
      <scheme val="minor"/>
    </font>
    <font>
      <sz val="14"/>
      <color theme="1"/>
      <name val="Aptos Narrow"/>
      <scheme val="minor"/>
    </font>
    <font>
      <sz val="14"/>
      <name val="Aptos Narrow"/>
      <scheme val="minor"/>
    </font>
    <font>
      <b/>
      <sz val="9"/>
      <color theme="1"/>
      <name val="Aptos Narrow"/>
      <scheme val="minor"/>
    </font>
    <font>
      <b/>
      <sz val="11"/>
      <color theme="1"/>
      <name val="Aptos Narrow"/>
      <scheme val="minor"/>
    </font>
    <font>
      <b/>
      <sz val="11"/>
      <color rgb="FF0000FF"/>
      <name val="Aptos Narrow"/>
      <scheme val="minor"/>
    </font>
    <font>
      <b/>
      <sz val="16"/>
      <color rgb="FF1F3864"/>
      <name val="Aptos Narrow"/>
      <scheme val="minor"/>
    </font>
    <font>
      <b/>
      <sz val="11"/>
      <color rgb="FF1F3864"/>
      <name val="Aptos Narrow"/>
      <scheme val="minor"/>
    </font>
    <font>
      <sz val="11"/>
      <color theme="1"/>
      <name val="Aptos Narrow"/>
      <scheme val="minor"/>
    </font>
    <font>
      <b/>
      <sz val="11"/>
      <color rgb="FFFFFFFF"/>
      <name val="Aptos Narrow"/>
      <scheme val="minor"/>
    </font>
    <font>
      <i/>
      <sz val="11"/>
      <color theme="1"/>
      <name val="Aptos Narrow"/>
      <scheme val="minor"/>
    </font>
    <font>
      <b/>
      <sz val="11"/>
      <color rgb="FF2E5016"/>
      <name val="Aptos Narrow"/>
      <scheme val="minor"/>
    </font>
    <font>
      <b/>
      <sz val="11"/>
      <color rgb="FF6B5300"/>
      <name val="Aptos Narrow"/>
      <scheme val="minor"/>
    </font>
    <font>
      <b/>
      <sz val="11"/>
      <color rgb="FF7A3B00"/>
      <name val="Aptos Narrow"/>
      <scheme val="minor"/>
    </font>
    <font>
      <b/>
      <sz val="11"/>
      <color rgb="FF7B0000"/>
      <name val="Aptos Narrow"/>
      <scheme val="minor"/>
    </font>
    <font>
      <b/>
      <sz val="11"/>
      <color rgb="FF000000"/>
      <name val="Aptos Narrow"/>
      <scheme val="minor"/>
    </font>
    <font>
      <b/>
      <sz val="11"/>
      <color rgb="FF008000"/>
      <name val="Aptos Narrow"/>
      <scheme val="minor"/>
    </font>
    <font>
      <sz val="20"/>
      <color rgb="FFFFFFFF"/>
      <name val="Helvetica Neue"/>
      <family val="2"/>
    </font>
    <font>
      <i/>
      <sz val="16"/>
      <color rgb="FFFFFFFF"/>
      <name val="Helvetica Neue"/>
      <family val="2"/>
    </font>
    <font>
      <b/>
      <sz val="16"/>
      <color theme="1"/>
      <name val="Helvetica Neue"/>
      <family val="2"/>
    </font>
    <font>
      <i/>
      <sz val="13"/>
      <color theme="1"/>
      <name val="Helvetica Neue"/>
      <family val="2"/>
    </font>
    <font>
      <i/>
      <sz val="16"/>
      <color theme="1"/>
      <name val="Helvetica Neue"/>
      <family val="2"/>
    </font>
    <font>
      <sz val="14"/>
      <color theme="1"/>
      <name val="Aptos Narrow"/>
      <family val="2"/>
      <scheme val="minor"/>
    </font>
    <font>
      <sz val="10"/>
      <color rgb="FF000000"/>
      <name val="Aptos Narrow"/>
      <family val="2"/>
      <scheme val="minor"/>
    </font>
    <font>
      <sz val="11"/>
      <color rgb="FF000000"/>
      <name val="Calibri"/>
      <family val="2"/>
    </font>
    <font>
      <sz val="11"/>
      <color rgb="FF000000"/>
      <name val="Google Sans Text"/>
    </font>
    <font>
      <b/>
      <sz val="11"/>
      <color rgb="FF000000"/>
      <name val="Google Sans Text"/>
    </font>
    <font>
      <sz val="12"/>
      <color rgb="FF000000"/>
      <name val="Aptos Narrow"/>
    </font>
    <font>
      <b/>
      <sz val="12"/>
      <color rgb="FF000000"/>
      <name val="Aptos Narrow"/>
    </font>
    <font>
      <b/>
      <sz val="11"/>
      <color rgb="FF000000"/>
      <name val="Calibri"/>
      <family val="2"/>
    </font>
    <font>
      <i/>
      <u/>
      <sz val="11"/>
      <color rgb="FFBF8F00"/>
      <name val="Calibri"/>
      <family val="2"/>
    </font>
    <font>
      <sz val="10"/>
      <color rgb="FF000000"/>
      <name val="Helvetica Neue"/>
      <family val="2"/>
    </font>
    <font>
      <sz val="11"/>
      <color rgb="FF242424"/>
      <name val="Aptos Narrow"/>
    </font>
    <font>
      <sz val="10"/>
      <color rgb="FFFF0000"/>
      <name val="Helvetica Neue"/>
      <family val="2"/>
    </font>
    <font>
      <sz val="11"/>
      <color rgb="FFFF0000"/>
      <name val="Calibri"/>
      <family val="2"/>
    </font>
    <font>
      <b/>
      <sz val="10"/>
      <color rgb="FF000000"/>
      <name val="Helvetica Neue"/>
      <family val="2"/>
    </font>
    <font>
      <sz val="13"/>
      <color rgb="FFFFFFFF"/>
      <name val="Calibri"/>
      <family val="2"/>
    </font>
    <font>
      <b/>
      <sz val="10"/>
      <color rgb="FF008000"/>
      <name val="Calibri"/>
      <family val="2"/>
    </font>
    <font>
      <b/>
      <sz val="9"/>
      <color rgb="FF000000"/>
      <name val="Aptos Narrow"/>
      <scheme val="minor"/>
    </font>
    <font>
      <b/>
      <sz val="10"/>
      <color theme="1"/>
      <name val="Aptos Narrow"/>
      <scheme val="minor"/>
    </font>
    <font>
      <sz val="12"/>
      <color theme="1"/>
      <name val="Aptos Narrow"/>
    </font>
    <font>
      <sz val="11"/>
      <color theme="1"/>
      <name val="Calibri"/>
      <family val="2"/>
    </font>
    <font>
      <i/>
      <sz val="11"/>
      <color theme="1"/>
      <name val="Calibri"/>
      <family val="2"/>
    </font>
    <font>
      <sz val="10"/>
      <color rgb="FF000000"/>
      <name val="Tahoma"/>
      <family val="2"/>
    </font>
    <font>
      <b/>
      <sz val="10"/>
      <color rgb="FF000000"/>
      <name val="Tahoma"/>
      <family val="2"/>
    </font>
    <font>
      <i/>
      <sz val="9"/>
      <color theme="1"/>
      <name val="Aptos Narrow"/>
      <family val="2"/>
      <scheme val="minor"/>
    </font>
    <font>
      <sz val="9"/>
      <color theme="1"/>
      <name val="Aptos Narrow"/>
      <family val="2"/>
      <scheme val="minor"/>
    </font>
    <font>
      <b/>
      <sz val="12"/>
      <color rgb="FFFFFFFF"/>
      <name val="Aptos Narrow"/>
      <family val="2"/>
      <scheme val="minor"/>
    </font>
    <font>
      <b/>
      <sz val="13"/>
      <color theme="1"/>
      <name val="Aptos Narrow"/>
      <family val="2"/>
      <scheme val="minor"/>
    </font>
    <font>
      <b/>
      <sz val="9"/>
      <color theme="1"/>
      <name val="Aptos Narrow"/>
      <family val="2"/>
      <scheme val="minor"/>
    </font>
    <font>
      <b/>
      <sz val="10"/>
      <color rgb="FFFF0000"/>
      <name val="Aptos Narrow"/>
      <family val="2"/>
      <scheme val="minor"/>
    </font>
  </fonts>
  <fills count="3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1F3864"/>
        <bgColor indexed="64"/>
      </patternFill>
    </fill>
    <fill>
      <patternFill patternType="solid">
        <fgColor rgb="FFA9D18E"/>
        <bgColor indexed="64"/>
      </patternFill>
    </fill>
    <fill>
      <patternFill patternType="solid">
        <fgColor rgb="FFF8B26A"/>
        <bgColor indexed="64"/>
      </patternFill>
    </fill>
    <fill>
      <patternFill patternType="solid">
        <fgColor rgb="FFFFE066"/>
        <bgColor indexed="64"/>
      </patternFill>
    </fill>
    <fill>
      <patternFill patternType="solid">
        <fgColor rgb="FFFF7B7B"/>
        <bgColor indexed="64"/>
      </patternFill>
    </fill>
    <fill>
      <patternFill patternType="solid">
        <fgColor rgb="FFD9E2F3"/>
        <bgColor indexed="64"/>
      </patternFill>
    </fill>
    <fill>
      <patternFill patternType="solid">
        <fgColor rgb="FFB4C6E7"/>
        <bgColor rgb="FFB4C6E7"/>
      </patternFill>
    </fill>
    <fill>
      <patternFill patternType="solid">
        <fgColor rgb="FFA6C9EC"/>
        <bgColor rgb="FFA6C9EC"/>
      </patternFill>
    </fill>
    <fill>
      <patternFill patternType="solid">
        <fgColor rgb="FFA9D08E"/>
        <bgColor rgb="FFA9D08E"/>
      </patternFill>
    </fill>
    <fill>
      <patternFill patternType="solid">
        <fgColor rgb="FFFFFF00"/>
        <bgColor rgb="FFFFFF00"/>
      </patternFill>
    </fill>
    <fill>
      <patternFill patternType="solid">
        <fgColor rgb="FFF06A46"/>
        <bgColor rgb="FFF06A46"/>
      </patternFill>
    </fill>
    <fill>
      <patternFill patternType="solid">
        <fgColor rgb="FFD9E1F2"/>
        <bgColor rgb="FFD9E1F2"/>
      </patternFill>
    </fill>
    <fill>
      <patternFill patternType="solid">
        <fgColor rgb="FF92D050"/>
        <bgColor rgb="FF92D050"/>
      </patternFill>
    </fill>
    <fill>
      <patternFill patternType="solid">
        <fgColor rgb="FFFFC000"/>
        <bgColor rgb="FFFFC000"/>
      </patternFill>
    </fill>
    <fill>
      <patternFill patternType="solid">
        <fgColor rgb="FFFFE699"/>
        <bgColor rgb="FFFFE699"/>
      </patternFill>
    </fill>
    <fill>
      <patternFill patternType="solid">
        <fgColor rgb="FF5B9BD5"/>
        <bgColor rgb="FF5B9BD5"/>
      </patternFill>
    </fill>
    <fill>
      <patternFill patternType="solid">
        <fgColor rgb="FFE2EFDA"/>
        <bgColor rgb="FFE2EFDA"/>
      </patternFill>
    </fill>
    <fill>
      <patternFill patternType="solid">
        <fgColor rgb="FF8497B0"/>
        <bgColor rgb="FF8497B0"/>
      </patternFill>
    </fill>
    <fill>
      <patternFill patternType="solid">
        <fgColor rgb="FFF8CBAD"/>
        <bgColor rgb="FFF8CBAD"/>
      </patternFill>
    </fill>
    <fill>
      <patternFill patternType="solid">
        <fgColor theme="4" tint="0.59999389629810485"/>
        <bgColor indexed="64"/>
      </patternFill>
    </fill>
    <fill>
      <patternFill patternType="solid">
        <fgColor rgb="FFDDEBF7"/>
        <bgColor indexed="64"/>
      </patternFill>
    </fill>
    <fill>
      <patternFill patternType="solid">
        <fgColor rgb="FFE2EFDA"/>
        <bgColor indexed="64"/>
      </patternFill>
    </fill>
    <fill>
      <patternFill patternType="solid">
        <fgColor rgb="FFFCE4D6"/>
        <bgColor indexed="64"/>
      </patternFill>
    </fill>
    <fill>
      <patternFill patternType="solid">
        <fgColor rgb="FFFFF2CC"/>
        <bgColor indexed="64"/>
      </patternFill>
    </fill>
    <fill>
      <patternFill patternType="solid">
        <fgColor rgb="FFE4DFEC"/>
        <bgColor indexed="64"/>
      </patternFill>
    </fill>
    <fill>
      <patternFill patternType="solid">
        <fgColor rgb="FFF2F2F2"/>
        <bgColor indexed="64"/>
      </patternFill>
    </fill>
    <fill>
      <patternFill patternType="solid">
        <fgColor rgb="FFA9D08E"/>
        <bgColor indexed="64"/>
      </patternFill>
    </fill>
    <fill>
      <patternFill patternType="solid">
        <fgColor rgb="FFC6E0B4"/>
        <bgColor indexed="64"/>
      </patternFill>
    </fill>
    <fill>
      <patternFill patternType="solid">
        <fgColor rgb="FFD9D9D9"/>
        <bgColor indexed="64"/>
      </patternFill>
    </fill>
    <fill>
      <patternFill patternType="solid">
        <fgColor rgb="FF1F4E79"/>
        <bgColor indexed="64"/>
      </patternFill>
    </fill>
    <fill>
      <patternFill patternType="solid">
        <fgColor theme="3"/>
        <bgColor indexed="64"/>
      </patternFill>
    </fill>
    <fill>
      <patternFill patternType="solid">
        <fgColor theme="3" tint="0.499984740745262"/>
        <bgColor indexed="64"/>
      </patternFill>
    </fill>
    <fill>
      <patternFill patternType="solid">
        <fgColor theme="8" tint="0.79998168889431442"/>
        <bgColor indexed="64"/>
      </patternFill>
    </fill>
    <fill>
      <patternFill patternType="solid">
        <fgColor theme="9" tint="0.39997558519241921"/>
        <bgColor indexed="64"/>
      </patternFill>
    </fill>
  </fills>
  <borders count="59">
    <border>
      <left/>
      <right/>
      <top/>
      <bottom/>
      <diagonal/>
    </border>
    <border>
      <left style="thin">
        <color rgb="FFCCCCCC"/>
      </left>
      <right style="thin">
        <color rgb="FFCCCCCC"/>
      </right>
      <top style="thin">
        <color rgb="FFCCCCCC"/>
      </top>
      <bottom style="thin">
        <color rgb="FFCCCCCC"/>
      </bottom>
      <diagonal/>
    </border>
    <border>
      <left style="thin">
        <color rgb="FFD9D9D9"/>
      </left>
      <right style="thin">
        <color rgb="FFD9D9D9"/>
      </right>
      <top style="thin">
        <color rgb="FFD9D9D9"/>
      </top>
      <bottom style="thin">
        <color rgb="FFD9D9D9"/>
      </bottom>
      <diagonal/>
    </border>
    <border>
      <left/>
      <right/>
      <top/>
      <bottom style="thin">
        <color rgb="FFD9D9D9"/>
      </bottom>
      <diagonal/>
    </border>
    <border>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style="thin">
        <color rgb="FFD9D9D9"/>
      </right>
      <top style="thin">
        <color rgb="FF1F3864"/>
      </top>
      <bottom style="thin">
        <color rgb="FFD9D9D9"/>
      </bottom>
      <diagonal/>
    </border>
    <border>
      <left style="thin">
        <color rgb="FFD9D9D9"/>
      </left>
      <right style="thin">
        <color rgb="FFD9D9D9"/>
      </right>
      <top style="thin">
        <color rgb="FF1F3864"/>
      </top>
      <bottom style="thin">
        <color rgb="FFD9D9D9"/>
      </bottom>
      <diagonal/>
    </border>
    <border>
      <left style="thin">
        <color rgb="FFD9D9D9"/>
      </left>
      <right/>
      <top style="thin">
        <color rgb="FF1F3864"/>
      </top>
      <bottom style="thin">
        <color rgb="FFD9D9D9"/>
      </bottom>
      <diagonal/>
    </border>
    <border>
      <left/>
      <right style="thin">
        <color rgb="FFD9D9D9"/>
      </right>
      <top/>
      <bottom/>
      <diagonal/>
    </border>
    <border>
      <left style="thin">
        <color rgb="FFD9D9D9"/>
      </left>
      <right style="thin">
        <color rgb="FFD9D9D9"/>
      </right>
      <top/>
      <bottom/>
      <diagonal/>
    </border>
    <border>
      <left style="thin">
        <color rgb="FFD9D9D9"/>
      </left>
      <right/>
      <top/>
      <bottom/>
      <diagonal/>
    </border>
    <border>
      <left/>
      <right style="thin">
        <color rgb="FFD9D9D9"/>
      </right>
      <top style="thin">
        <color rgb="FF1F3864"/>
      </top>
      <bottom/>
      <diagonal/>
    </border>
    <border>
      <left style="thin">
        <color rgb="FFD9D9D9"/>
      </left>
      <right style="thin">
        <color rgb="FFD9D9D9"/>
      </right>
      <top style="thin">
        <color rgb="FF1F3864"/>
      </top>
      <bottom/>
      <diagonal/>
    </border>
    <border>
      <left style="thin">
        <color rgb="FFD9D9D9"/>
      </left>
      <right/>
      <top style="thin">
        <color rgb="FF1F3864"/>
      </top>
      <bottom/>
      <diagonal/>
    </border>
    <border>
      <left style="thin">
        <color rgb="FFD9D9D9"/>
      </left>
      <right style="thin">
        <color rgb="FF1F3864"/>
      </right>
      <top/>
      <bottom style="thin">
        <color rgb="FFD9D9D9"/>
      </bottom>
      <diagonal/>
    </border>
    <border>
      <left style="thin">
        <color rgb="FFD9D9D9"/>
      </left>
      <right style="thin">
        <color rgb="FF1F3864"/>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style="thin">
        <color rgb="FFD9D9D9"/>
      </right>
      <top style="thin">
        <color rgb="FFD9D9D9"/>
      </top>
      <bottom style="thin">
        <color indexed="64"/>
      </bottom>
      <diagonal/>
    </border>
    <border>
      <left style="thin">
        <color rgb="FFD9D9D9"/>
      </left>
      <right style="thin">
        <color rgb="FFD9D9D9"/>
      </right>
      <top style="thin">
        <color rgb="FFD9D9D9"/>
      </top>
      <bottom style="thin">
        <color indexed="64"/>
      </bottom>
      <diagonal/>
    </border>
    <border>
      <left style="thin">
        <color rgb="FFD9D9D9"/>
      </left>
      <right/>
      <top style="thin">
        <color rgb="FFD9D9D9"/>
      </top>
      <bottom style="thin">
        <color indexed="64"/>
      </bottom>
      <diagonal/>
    </border>
    <border>
      <left/>
      <right style="thin">
        <color rgb="FFD9D9D9"/>
      </right>
      <top/>
      <bottom style="thin">
        <color indexed="64"/>
      </bottom>
      <diagonal/>
    </border>
    <border>
      <left style="thin">
        <color rgb="FFD9D9D9"/>
      </left>
      <right style="thin">
        <color rgb="FFD9D9D9"/>
      </right>
      <top/>
      <bottom style="thin">
        <color indexed="64"/>
      </bottom>
      <diagonal/>
    </border>
    <border>
      <left style="thin">
        <color rgb="FFD9D9D9"/>
      </left>
      <right/>
      <top/>
      <bottom style="thin">
        <color indexed="64"/>
      </bottom>
      <diagonal/>
    </border>
    <border>
      <left/>
      <right style="thin">
        <color rgb="FFD9D9D9"/>
      </right>
      <top style="thin">
        <color rgb="FF1F3864"/>
      </top>
      <bottom style="thin">
        <color indexed="64"/>
      </bottom>
      <diagonal/>
    </border>
    <border>
      <left style="thin">
        <color rgb="FFC4C7C5"/>
      </left>
      <right style="thin">
        <color rgb="FFC4C7C5"/>
      </right>
      <top style="thin">
        <color rgb="FFC4C7C5"/>
      </top>
      <bottom style="thin">
        <color rgb="FFC4C7C5"/>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9A9A9A"/>
      </left>
      <right style="thin">
        <color rgb="FF9A9A9A"/>
      </right>
      <top style="thin">
        <color rgb="FF9A9A9A"/>
      </top>
      <bottom style="thin">
        <color rgb="FF9A9A9A"/>
      </bottom>
      <diagonal/>
    </border>
    <border>
      <left/>
      <right style="thin">
        <color rgb="FF9A9A9A"/>
      </right>
      <top style="thin">
        <color rgb="FF000000"/>
      </top>
      <bottom/>
      <diagonal/>
    </border>
    <border>
      <left/>
      <right style="thin">
        <color rgb="FF9A9A9A"/>
      </right>
      <top style="thin">
        <color rgb="FF000000"/>
      </top>
      <bottom style="thin">
        <color rgb="FF000000"/>
      </bottom>
      <diagonal/>
    </border>
    <border>
      <left style="thin">
        <color rgb="FFD9D9D9"/>
      </left>
      <right style="thin">
        <color rgb="FF1F3864"/>
      </right>
      <top style="thin">
        <color rgb="FFD9D9D9"/>
      </top>
      <bottom style="thin">
        <color indexed="64"/>
      </bottom>
      <diagonal/>
    </border>
    <border>
      <left style="thin">
        <color rgb="FF1F3864"/>
      </left>
      <right style="thin">
        <color indexed="64"/>
      </right>
      <top style="thin">
        <color rgb="FFD9D9D9"/>
      </top>
      <bottom/>
      <diagonal/>
    </border>
    <border>
      <left style="thin">
        <color rgb="FF1F3864"/>
      </left>
      <right style="thin">
        <color indexed="64"/>
      </right>
      <top/>
      <bottom/>
      <diagonal/>
    </border>
    <border>
      <left style="thin">
        <color rgb="FF1F3864"/>
      </left>
      <right style="thin">
        <color indexed="64"/>
      </right>
      <top/>
      <bottom style="thin">
        <color indexed="64"/>
      </bottom>
      <diagonal/>
    </border>
    <border>
      <left style="thin">
        <color indexed="64"/>
      </left>
      <right style="thin">
        <color indexed="64"/>
      </right>
      <top style="thin">
        <color rgb="FFD9D9D9"/>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9A9A9A"/>
      </left>
      <right/>
      <top style="thin">
        <color rgb="FF9A9A9A"/>
      </top>
      <bottom style="thin">
        <color rgb="FF9A9A9A"/>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CCCCCC"/>
      </left>
      <right style="thin">
        <color rgb="FFCCCCCC"/>
      </right>
      <top style="thin">
        <color rgb="FFCCCCCC"/>
      </top>
      <bottom style="thin">
        <color indexed="64"/>
      </bottom>
      <diagonal/>
    </border>
  </borders>
  <cellStyleXfs count="2">
    <xf numFmtId="0" fontId="0" fillId="0" borderId="0"/>
    <xf numFmtId="0" fontId="45" fillId="0" borderId="0"/>
  </cellStyleXfs>
  <cellXfs count="272">
    <xf numFmtId="0" fontId="0" fillId="0" borderId="0" xfId="0"/>
    <xf numFmtId="0" fontId="0" fillId="0" borderId="0" xfId="0"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4" fillId="0" borderId="0" xfId="0" applyFont="1" applyAlignment="1">
      <alignment horizontal="center" vertical="center" wrapText="1"/>
    </xf>
    <xf numFmtId="0" fontId="6" fillId="0" borderId="0" xfId="0" applyFont="1"/>
    <xf numFmtId="0" fontId="3" fillId="0" borderId="0" xfId="0" applyFont="1"/>
    <xf numFmtId="0" fontId="9" fillId="0" borderId="0" xfId="0" applyFont="1"/>
    <xf numFmtId="164" fontId="11" fillId="0" borderId="0" xfId="0" applyNumberFormat="1" applyFont="1" applyAlignment="1">
      <alignment horizontal="center"/>
    </xf>
    <xf numFmtId="0" fontId="8" fillId="4" borderId="5" xfId="0" applyFont="1" applyFill="1" applyBorder="1" applyAlignment="1">
      <alignment horizontal="center"/>
    </xf>
    <xf numFmtId="0" fontId="8" fillId="4" borderId="6" xfId="0" applyFont="1" applyFill="1" applyBorder="1" applyAlignment="1">
      <alignment horizontal="center"/>
    </xf>
    <xf numFmtId="0" fontId="8" fillId="4" borderId="7" xfId="0" applyFont="1" applyFill="1" applyBorder="1" applyAlignment="1">
      <alignment horizontal="center"/>
    </xf>
    <xf numFmtId="0" fontId="9" fillId="0" borderId="8" xfId="0" applyFont="1" applyBorder="1" applyAlignment="1">
      <alignment horizontal="center"/>
    </xf>
    <xf numFmtId="0" fontId="9" fillId="0" borderId="2" xfId="0" applyFont="1" applyBorder="1"/>
    <xf numFmtId="2" fontId="10" fillId="0" borderId="2" xfId="0" applyNumberFormat="1" applyFont="1" applyBorder="1" applyAlignment="1">
      <alignment horizontal="center"/>
    </xf>
    <xf numFmtId="164" fontId="9" fillId="0" borderId="9" xfId="0" applyNumberFormat="1" applyFont="1" applyBorder="1" applyAlignment="1">
      <alignment horizontal="center"/>
    </xf>
    <xf numFmtId="0" fontId="9" fillId="0" borderId="10" xfId="0" applyFont="1" applyBorder="1" applyAlignment="1">
      <alignment horizontal="center"/>
    </xf>
    <xf numFmtId="0" fontId="9" fillId="0" borderId="11" xfId="0" applyFont="1" applyBorder="1"/>
    <xf numFmtId="2" fontId="10" fillId="0" borderId="11" xfId="0" applyNumberFormat="1" applyFont="1" applyBorder="1" applyAlignment="1">
      <alignment horizontal="center"/>
    </xf>
    <xf numFmtId="164" fontId="9" fillId="0" borderId="12" xfId="0" applyNumberFormat="1" applyFont="1" applyBorder="1" applyAlignment="1">
      <alignment horizontal="center"/>
    </xf>
    <xf numFmtId="0" fontId="9" fillId="0" borderId="5" xfId="0" applyFont="1" applyBorder="1" applyAlignment="1">
      <alignment horizontal="center"/>
    </xf>
    <xf numFmtId="0" fontId="9" fillId="0" borderId="6" xfId="0" applyFont="1" applyBorder="1"/>
    <xf numFmtId="2" fontId="10" fillId="0" borderId="6" xfId="0" applyNumberFormat="1" applyFont="1" applyBorder="1" applyAlignment="1">
      <alignment horizontal="center"/>
    </xf>
    <xf numFmtId="164" fontId="9" fillId="0" borderId="7" xfId="0" applyNumberFormat="1" applyFont="1" applyBorder="1" applyAlignment="1">
      <alignment horizontal="center"/>
    </xf>
    <xf numFmtId="0" fontId="9" fillId="0" borderId="13" xfId="0" applyFont="1" applyBorder="1" applyAlignment="1">
      <alignment horizontal="center"/>
    </xf>
    <xf numFmtId="0" fontId="9" fillId="0" borderId="14" xfId="0" applyFont="1" applyBorder="1"/>
    <xf numFmtId="2" fontId="10" fillId="0" borderId="14" xfId="0" applyNumberFormat="1" applyFont="1" applyBorder="1" applyAlignment="1">
      <alignment horizontal="center"/>
    </xf>
    <xf numFmtId="164" fontId="9" fillId="0" borderId="15" xfId="0" applyNumberFormat="1" applyFont="1" applyBorder="1" applyAlignment="1">
      <alignment horizontal="center"/>
    </xf>
    <xf numFmtId="0" fontId="9" fillId="0" borderId="16" xfId="0" applyFont="1" applyBorder="1" applyAlignment="1">
      <alignment horizontal="center"/>
    </xf>
    <xf numFmtId="0" fontId="9" fillId="0" borderId="17" xfId="0" applyFont="1" applyBorder="1"/>
    <xf numFmtId="2" fontId="10" fillId="0" borderId="17" xfId="0" applyNumberFormat="1" applyFont="1" applyBorder="1" applyAlignment="1">
      <alignment horizontal="center"/>
    </xf>
    <xf numFmtId="164" fontId="9" fillId="0" borderId="18" xfId="0" applyNumberFormat="1" applyFont="1" applyBorder="1" applyAlignment="1">
      <alignment horizontal="center"/>
    </xf>
    <xf numFmtId="0" fontId="9" fillId="0" borderId="19" xfId="0" applyFont="1" applyBorder="1" applyAlignment="1">
      <alignment horizontal="center"/>
    </xf>
    <xf numFmtId="0" fontId="9" fillId="0" borderId="20" xfId="0" applyFont="1" applyBorder="1"/>
    <xf numFmtId="2" fontId="10" fillId="0" borderId="20" xfId="0" applyNumberFormat="1" applyFont="1" applyBorder="1" applyAlignment="1">
      <alignment horizontal="center"/>
    </xf>
    <xf numFmtId="164" fontId="9" fillId="0" borderId="21" xfId="0" applyNumberFormat="1" applyFont="1" applyBorder="1" applyAlignment="1">
      <alignment horizontal="center"/>
    </xf>
    <xf numFmtId="165" fontId="9" fillId="0" borderId="0" xfId="0" applyNumberFormat="1" applyFont="1" applyAlignment="1">
      <alignment horizontal="center"/>
    </xf>
    <xf numFmtId="0" fontId="12" fillId="4" borderId="3" xfId="0" applyFont="1" applyFill="1" applyBorder="1" applyAlignment="1">
      <alignment horizontal="center" wrapText="1"/>
    </xf>
    <xf numFmtId="2" fontId="9" fillId="0" borderId="4" xfId="0" applyNumberFormat="1" applyFont="1" applyBorder="1" applyAlignment="1">
      <alignment horizontal="center"/>
    </xf>
    <xf numFmtId="0" fontId="12" fillId="4" borderId="5" xfId="0" applyFont="1" applyFill="1" applyBorder="1" applyAlignment="1">
      <alignment horizontal="center" wrapText="1"/>
    </xf>
    <xf numFmtId="0" fontId="12" fillId="4" borderId="6" xfId="0" applyFont="1" applyFill="1" applyBorder="1" applyAlignment="1">
      <alignment horizontal="center" wrapText="1"/>
    </xf>
    <xf numFmtId="0" fontId="12" fillId="4" borderId="7" xfId="0" applyFont="1" applyFill="1" applyBorder="1" applyAlignment="1">
      <alignment horizontal="center" wrapText="1"/>
    </xf>
    <xf numFmtId="1" fontId="11" fillId="0" borderId="2" xfId="0" applyNumberFormat="1" applyFont="1" applyBorder="1" applyAlignment="1">
      <alignment horizontal="center"/>
    </xf>
    <xf numFmtId="0" fontId="12" fillId="4" borderId="22" xfId="0" applyFont="1" applyFill="1" applyBorder="1" applyAlignment="1">
      <alignment horizontal="center" wrapText="1"/>
    </xf>
    <xf numFmtId="1" fontId="9" fillId="0" borderId="23" xfId="0" applyNumberFormat="1" applyFont="1" applyBorder="1" applyAlignment="1">
      <alignment horizontal="center"/>
    </xf>
    <xf numFmtId="164" fontId="11" fillId="0" borderId="23" xfId="0" applyNumberFormat="1" applyFont="1" applyBorder="1" applyAlignment="1">
      <alignment horizontal="center"/>
    </xf>
    <xf numFmtId="2" fontId="9" fillId="0" borderId="23" xfId="0" applyNumberFormat="1" applyFont="1" applyBorder="1" applyAlignment="1">
      <alignment horizontal="center"/>
    </xf>
    <xf numFmtId="0" fontId="8" fillId="4" borderId="0" xfId="0" applyFont="1" applyFill="1" applyAlignment="1">
      <alignment horizontal="center" wrapText="1"/>
    </xf>
    <xf numFmtId="164" fontId="13" fillId="0" borderId="0" xfId="0" applyNumberFormat="1" applyFont="1" applyAlignment="1">
      <alignment horizontal="center"/>
    </xf>
    <xf numFmtId="0" fontId="18" fillId="0" borderId="0" xfId="0" applyFont="1" applyAlignment="1">
      <alignment horizontal="center" vertical="center" wrapText="1"/>
    </xf>
    <xf numFmtId="0" fontId="0" fillId="0" borderId="0" xfId="0" applyAlignment="1">
      <alignment horizontal="center"/>
    </xf>
    <xf numFmtId="0" fontId="13" fillId="0" borderId="0" xfId="0" applyFont="1"/>
    <xf numFmtId="0" fontId="20" fillId="0" borderId="0" xfId="0" applyFont="1" applyAlignment="1">
      <alignment horizontal="center" vertical="center" wrapText="1"/>
    </xf>
    <xf numFmtId="0" fontId="22" fillId="0" borderId="0" xfId="0" applyFont="1" applyAlignment="1">
      <alignment horizontal="center" vertical="center" wrapText="1"/>
    </xf>
    <xf numFmtId="1" fontId="22" fillId="0" borderId="0" xfId="0" applyNumberFormat="1" applyFont="1" applyAlignment="1">
      <alignment horizontal="center" vertical="center" wrapText="1"/>
    </xf>
    <xf numFmtId="0" fontId="23" fillId="0" borderId="1" xfId="0" applyFont="1" applyBorder="1" applyAlignment="1">
      <alignment horizontal="center" vertical="center" wrapText="1"/>
    </xf>
    <xf numFmtId="0" fontId="22" fillId="3" borderId="0" xfId="0" applyFont="1" applyFill="1" applyAlignment="1">
      <alignment horizontal="center" vertical="center" wrapText="1"/>
    </xf>
    <xf numFmtId="0" fontId="22" fillId="2" borderId="0" xfId="0" applyFont="1" applyFill="1" applyAlignment="1">
      <alignment horizontal="center" vertical="center" wrapText="1"/>
    </xf>
    <xf numFmtId="0" fontId="24" fillId="0" borderId="0" xfId="0" applyFont="1" applyAlignment="1">
      <alignment horizontal="center" vertical="center" wrapText="1"/>
    </xf>
    <xf numFmtId="0" fontId="8" fillId="4" borderId="18" xfId="0" applyFont="1" applyFill="1" applyBorder="1" applyAlignment="1">
      <alignment horizontal="center"/>
    </xf>
    <xf numFmtId="0" fontId="7" fillId="0" borderId="0" xfId="0" applyFont="1" applyAlignment="1">
      <alignment horizontal="left" vertical="center" wrapText="1"/>
    </xf>
    <xf numFmtId="0" fontId="0" fillId="0" borderId="0" xfId="0" applyAlignment="1">
      <alignment horizontal="left" vertical="center" wrapText="1"/>
    </xf>
    <xf numFmtId="0" fontId="29" fillId="0" borderId="0" xfId="0" applyFont="1" applyAlignment="1">
      <alignment vertical="top" wrapText="1"/>
    </xf>
    <xf numFmtId="0" fontId="25" fillId="9" borderId="0" xfId="0" applyFont="1" applyFill="1" applyAlignment="1">
      <alignment vertical="top" wrapText="1"/>
    </xf>
    <xf numFmtId="0" fontId="29" fillId="2" borderId="0" xfId="0" applyFont="1" applyFill="1" applyAlignment="1">
      <alignment vertical="top" wrapText="1"/>
    </xf>
    <xf numFmtId="0" fontId="31" fillId="0" borderId="0" xfId="0" applyFont="1" applyAlignment="1">
      <alignment vertical="top" wrapText="1"/>
    </xf>
    <xf numFmtId="0" fontId="32" fillId="5" borderId="0" xfId="0" applyFont="1" applyFill="1" applyAlignment="1">
      <alignment horizontal="center" vertical="top" wrapText="1"/>
    </xf>
    <xf numFmtId="0" fontId="33" fillId="7" borderId="0" xfId="0" applyFont="1" applyFill="1" applyAlignment="1">
      <alignment horizontal="center" vertical="top" wrapText="1"/>
    </xf>
    <xf numFmtId="0" fontId="34" fillId="6" borderId="0" xfId="0" applyFont="1" applyFill="1" applyAlignment="1">
      <alignment horizontal="center" vertical="top" wrapText="1"/>
    </xf>
    <xf numFmtId="0" fontId="35" fillId="8" borderId="0" xfId="0" applyFont="1" applyFill="1" applyAlignment="1">
      <alignment horizontal="center" vertical="top" wrapText="1"/>
    </xf>
    <xf numFmtId="0" fontId="30" fillId="4" borderId="0" xfId="0" applyFont="1" applyFill="1" applyAlignment="1">
      <alignment vertical="top" wrapText="1"/>
    </xf>
    <xf numFmtId="49" fontId="29" fillId="0" borderId="0" xfId="0" applyNumberFormat="1" applyFont="1" applyAlignment="1">
      <alignment horizontal="center" vertical="top" wrapText="1"/>
    </xf>
    <xf numFmtId="0" fontId="40" fillId="0" borderId="0" xfId="0" applyFont="1"/>
    <xf numFmtId="0" fontId="41" fillId="0" borderId="0" xfId="0" applyFont="1"/>
    <xf numFmtId="0" fontId="25" fillId="0" borderId="0" xfId="0" applyFont="1" applyAlignment="1">
      <alignment vertical="top" wrapText="1"/>
    </xf>
    <xf numFmtId="0" fontId="32" fillId="0" borderId="0" xfId="0" applyFont="1" applyAlignment="1">
      <alignment horizontal="center" vertical="top" wrapText="1"/>
    </xf>
    <xf numFmtId="0" fontId="28" fillId="0" borderId="0" xfId="0" applyFont="1" applyAlignment="1">
      <alignment horizontal="center" vertical="top" wrapText="1"/>
    </xf>
    <xf numFmtId="0" fontId="26" fillId="0" borderId="0" xfId="0" applyFont="1" applyAlignment="1">
      <alignment vertical="top" wrapText="1"/>
    </xf>
    <xf numFmtId="0" fontId="36" fillId="0" borderId="0" xfId="0" applyFont="1" applyAlignment="1">
      <alignment vertical="top" wrapText="1"/>
    </xf>
    <xf numFmtId="0" fontId="37" fillId="0" borderId="0" xfId="0" applyFont="1" applyAlignment="1">
      <alignment vertical="top" wrapText="1"/>
    </xf>
    <xf numFmtId="0" fontId="15" fillId="0" borderId="0" xfId="0" applyFont="1"/>
    <xf numFmtId="0" fontId="9" fillId="0" borderId="26" xfId="0" applyFont="1" applyBorder="1" applyAlignment="1">
      <alignment horizontal="center"/>
    </xf>
    <xf numFmtId="0" fontId="9" fillId="0" borderId="27" xfId="0" applyFont="1" applyBorder="1"/>
    <xf numFmtId="2" fontId="10" fillId="0" borderId="27" xfId="0" applyNumberFormat="1" applyFont="1" applyBorder="1" applyAlignment="1">
      <alignment horizontal="center"/>
    </xf>
    <xf numFmtId="164" fontId="9" fillId="0" borderId="28" xfId="0" applyNumberFormat="1" applyFont="1" applyBorder="1" applyAlignment="1">
      <alignment horizontal="center"/>
    </xf>
    <xf numFmtId="0" fontId="0" fillId="0" borderId="25" xfId="0" applyBorder="1"/>
    <xf numFmtId="0" fontId="9" fillId="0" borderId="29" xfId="0" applyFont="1" applyBorder="1" applyAlignment="1">
      <alignment horizontal="center"/>
    </xf>
    <xf numFmtId="0" fontId="9" fillId="0" borderId="30" xfId="0" applyFont="1" applyBorder="1"/>
    <xf numFmtId="2" fontId="10" fillId="0" borderId="30" xfId="0" applyNumberFormat="1" applyFont="1" applyBorder="1" applyAlignment="1">
      <alignment horizontal="center"/>
    </xf>
    <xf numFmtId="164" fontId="9" fillId="0" borderId="31" xfId="0" applyNumberFormat="1" applyFont="1" applyBorder="1" applyAlignment="1">
      <alignment horizontal="center"/>
    </xf>
    <xf numFmtId="0" fontId="9" fillId="0" borderId="32" xfId="0" applyFont="1" applyBorder="1" applyAlignment="1">
      <alignment horizontal="center"/>
    </xf>
    <xf numFmtId="0" fontId="15" fillId="0" borderId="29" xfId="0" applyFont="1" applyBorder="1" applyAlignment="1">
      <alignment horizontal="center"/>
    </xf>
    <xf numFmtId="0" fontId="15" fillId="0" borderId="30" xfId="0" applyFont="1" applyBorder="1"/>
    <xf numFmtId="2" fontId="16" fillId="0" borderId="30" xfId="0" applyNumberFormat="1" applyFont="1" applyBorder="1" applyAlignment="1">
      <alignment horizontal="center"/>
    </xf>
    <xf numFmtId="164" fontId="15" fillId="0" borderId="31" xfId="0" applyNumberFormat="1" applyFont="1" applyBorder="1" applyAlignment="1">
      <alignment horizontal="center"/>
    </xf>
    <xf numFmtId="0" fontId="30" fillId="0" borderId="0" xfId="0" applyFont="1" applyAlignment="1">
      <alignment vertical="top" wrapText="1"/>
    </xf>
    <xf numFmtId="0" fontId="12" fillId="0" borderId="0" xfId="0" applyFont="1" applyAlignment="1">
      <alignment horizontal="center" wrapText="1"/>
    </xf>
    <xf numFmtId="1" fontId="13" fillId="0" borderId="0" xfId="0" applyNumberFormat="1" applyFont="1" applyAlignment="1">
      <alignment horizontal="center"/>
    </xf>
    <xf numFmtId="0" fontId="9" fillId="0" borderId="0" xfId="0" applyFont="1" applyAlignment="1">
      <alignment horizontal="center"/>
    </xf>
    <xf numFmtId="0" fontId="38" fillId="0" borderId="0" xfId="0" applyFont="1"/>
    <xf numFmtId="0" fontId="39" fillId="0" borderId="0" xfId="0" applyFont="1"/>
    <xf numFmtId="0" fontId="43" fillId="0" borderId="0" xfId="0" applyFont="1" applyAlignment="1">
      <alignment horizontal="left" vertical="center" wrapText="1" indent="1"/>
    </xf>
    <xf numFmtId="2" fontId="10" fillId="0" borderId="0" xfId="0" applyNumberFormat="1" applyFont="1" applyAlignment="1">
      <alignment horizontal="center"/>
    </xf>
    <xf numFmtId="164" fontId="9" fillId="0" borderId="0" xfId="0" applyNumberFormat="1" applyFont="1" applyAlignment="1">
      <alignment horizontal="center"/>
    </xf>
    <xf numFmtId="0" fontId="15" fillId="0" borderId="0" xfId="0" applyFont="1" applyAlignment="1">
      <alignment horizontal="center"/>
    </xf>
    <xf numFmtId="2" fontId="16" fillId="0" borderId="0" xfId="0" applyNumberFormat="1" applyFont="1" applyAlignment="1">
      <alignment horizontal="center"/>
    </xf>
    <xf numFmtId="164" fontId="15" fillId="0" borderId="0" xfId="0" applyNumberFormat="1" applyFont="1" applyAlignment="1">
      <alignment horizontal="center"/>
    </xf>
    <xf numFmtId="0" fontId="44" fillId="0" borderId="5" xfId="0" applyFont="1" applyBorder="1" applyAlignment="1">
      <alignment horizontal="center"/>
    </xf>
    <xf numFmtId="0" fontId="9" fillId="0" borderId="5" xfId="0" applyFont="1" applyBorder="1"/>
    <xf numFmtId="0" fontId="15" fillId="0" borderId="16" xfId="0" applyFont="1" applyBorder="1" applyAlignment="1">
      <alignment horizontal="center"/>
    </xf>
    <xf numFmtId="0" fontId="15" fillId="0" borderId="17" xfId="0" applyFont="1" applyBorder="1"/>
    <xf numFmtId="2" fontId="16" fillId="0" borderId="17" xfId="0" applyNumberFormat="1" applyFont="1" applyBorder="1" applyAlignment="1">
      <alignment horizontal="center"/>
    </xf>
    <xf numFmtId="164" fontId="15" fillId="0" borderId="18" xfId="0" applyNumberFormat="1" applyFont="1" applyBorder="1" applyAlignment="1">
      <alignment horizontal="center"/>
    </xf>
    <xf numFmtId="0" fontId="14" fillId="0" borderId="0" xfId="0" applyFont="1"/>
    <xf numFmtId="0" fontId="45" fillId="0" borderId="0" xfId="1"/>
    <xf numFmtId="0" fontId="45" fillId="0" borderId="0" xfId="1" applyAlignment="1">
      <alignment wrapText="1"/>
    </xf>
    <xf numFmtId="0" fontId="46" fillId="0" borderId="0" xfId="1" applyFont="1"/>
    <xf numFmtId="0" fontId="46" fillId="0" borderId="33" xfId="1" applyFont="1" applyBorder="1" applyAlignment="1">
      <alignment wrapText="1"/>
    </xf>
    <xf numFmtId="0" fontId="46" fillId="0" borderId="33" xfId="1" applyFont="1" applyBorder="1"/>
    <xf numFmtId="0" fontId="47" fillId="0" borderId="33" xfId="1" applyFont="1" applyBorder="1"/>
    <xf numFmtId="0" fontId="47" fillId="0" borderId="0" xfId="1" applyFont="1"/>
    <xf numFmtId="0" fontId="47" fillId="0" borderId="33" xfId="1" applyFont="1" applyBorder="1" applyAlignment="1">
      <alignment wrapText="1"/>
    </xf>
    <xf numFmtId="0" fontId="48" fillId="0" borderId="0" xfId="1" applyFont="1"/>
    <xf numFmtId="0" fontId="48" fillId="0" borderId="34" xfId="1" applyFont="1" applyBorder="1" applyAlignment="1">
      <alignment horizontal="center" vertical="center"/>
    </xf>
    <xf numFmtId="0" fontId="48" fillId="0" borderId="35" xfId="1" applyFont="1" applyBorder="1" applyAlignment="1">
      <alignment horizontal="center" vertical="center"/>
    </xf>
    <xf numFmtId="0" fontId="48" fillId="0" borderId="37" xfId="1" applyFont="1" applyBorder="1"/>
    <xf numFmtId="0" fontId="45" fillId="0" borderId="37" xfId="1" applyBorder="1"/>
    <xf numFmtId="0" fontId="50" fillId="0" borderId="0" xfId="1" applyFont="1" applyAlignment="1">
      <alignment wrapText="1"/>
    </xf>
    <xf numFmtId="0" fontId="51" fillId="0" borderId="0" xfId="1" applyFont="1"/>
    <xf numFmtId="0" fontId="48" fillId="10" borderId="0" xfId="1" applyFont="1" applyFill="1"/>
    <xf numFmtId="0" fontId="48" fillId="11" borderId="0" xfId="1" applyFont="1" applyFill="1"/>
    <xf numFmtId="0" fontId="52" fillId="0" borderId="38" xfId="1" applyFont="1" applyBorder="1"/>
    <xf numFmtId="0" fontId="57" fillId="0" borderId="0" xfId="1" applyFont="1"/>
    <xf numFmtId="0" fontId="45" fillId="12" borderId="0" xfId="1" applyFill="1"/>
    <xf numFmtId="0" fontId="45" fillId="10" borderId="0" xfId="1" applyFill="1"/>
    <xf numFmtId="0" fontId="45" fillId="13" borderId="0" xfId="1" applyFill="1"/>
    <xf numFmtId="0" fontId="45" fillId="14" borderId="0" xfId="1" applyFill="1"/>
    <xf numFmtId="0" fontId="59" fillId="0" borderId="0" xfId="0" applyFont="1" applyAlignment="1">
      <alignment horizontal="center" vertical="center" wrapText="1"/>
    </xf>
    <xf numFmtId="0" fontId="60" fillId="0" borderId="0" xfId="0" applyFont="1" applyAlignment="1">
      <alignment horizontal="center" vertical="center" wrapText="1"/>
    </xf>
    <xf numFmtId="0" fontId="36" fillId="9" borderId="0" xfId="0" applyFont="1" applyFill="1" applyAlignment="1">
      <alignment horizontal="center" vertical="top" wrapText="1"/>
    </xf>
    <xf numFmtId="0" fontId="36" fillId="9" borderId="0" xfId="0" applyFont="1" applyFill="1" applyAlignment="1">
      <alignment vertical="top" wrapText="1"/>
    </xf>
    <xf numFmtId="0" fontId="35" fillId="0" borderId="0" xfId="0" applyFont="1" applyAlignment="1">
      <alignment vertical="top" wrapText="1"/>
    </xf>
    <xf numFmtId="1" fontId="10" fillId="0" borderId="0" xfId="0" applyNumberFormat="1" applyFont="1" applyAlignment="1">
      <alignment horizontal="center"/>
    </xf>
    <xf numFmtId="2" fontId="9" fillId="0" borderId="0" xfId="0" applyNumberFormat="1" applyFont="1" applyAlignment="1">
      <alignment horizontal="center"/>
    </xf>
    <xf numFmtId="0" fontId="9" fillId="0" borderId="4" xfId="0" applyFont="1" applyBorder="1" applyAlignment="1">
      <alignment horizontal="center"/>
    </xf>
    <xf numFmtId="1" fontId="11" fillId="0" borderId="0" xfId="0" applyNumberFormat="1" applyFont="1" applyAlignment="1">
      <alignment horizontal="center"/>
    </xf>
    <xf numFmtId="1" fontId="9" fillId="0" borderId="0" xfId="0" applyNumberFormat="1" applyFont="1" applyAlignment="1">
      <alignment horizontal="center"/>
    </xf>
    <xf numFmtId="0" fontId="9" fillId="0" borderId="3" xfId="0" applyFont="1" applyBorder="1" applyAlignment="1">
      <alignment horizontal="center"/>
    </xf>
    <xf numFmtId="1" fontId="11" fillId="0" borderId="27" xfId="0" applyNumberFormat="1" applyFont="1" applyBorder="1" applyAlignment="1">
      <alignment horizontal="center"/>
    </xf>
    <xf numFmtId="1" fontId="9" fillId="0" borderId="41" xfId="0" applyNumberFormat="1" applyFont="1" applyBorder="1" applyAlignment="1">
      <alignment horizontal="center"/>
    </xf>
    <xf numFmtId="164" fontId="58" fillId="23" borderId="42" xfId="0" applyNumberFormat="1" applyFont="1" applyFill="1" applyBorder="1" applyAlignment="1">
      <alignment horizontal="center"/>
    </xf>
    <xf numFmtId="164" fontId="58" fillId="23" borderId="43" xfId="0" applyNumberFormat="1" applyFont="1" applyFill="1" applyBorder="1" applyAlignment="1">
      <alignment horizontal="center"/>
    </xf>
    <xf numFmtId="164" fontId="58" fillId="23" borderId="44" xfId="0" applyNumberFormat="1" applyFont="1" applyFill="1" applyBorder="1" applyAlignment="1">
      <alignment horizontal="center"/>
    </xf>
    <xf numFmtId="164" fontId="58" fillId="23" borderId="45" xfId="0" applyNumberFormat="1" applyFont="1" applyFill="1" applyBorder="1" applyAlignment="1">
      <alignment horizontal="center"/>
    </xf>
    <xf numFmtId="164" fontId="58" fillId="23" borderId="46" xfId="0" applyNumberFormat="1" applyFont="1" applyFill="1" applyBorder="1" applyAlignment="1">
      <alignment horizontal="center"/>
    </xf>
    <xf numFmtId="164" fontId="58" fillId="23" borderId="47" xfId="0" applyNumberFormat="1" applyFont="1" applyFill="1" applyBorder="1" applyAlignment="1">
      <alignment horizontal="center"/>
    </xf>
    <xf numFmtId="1" fontId="0" fillId="0" borderId="0" xfId="0" applyNumberFormat="1"/>
    <xf numFmtId="0" fontId="52" fillId="0" borderId="48" xfId="1" applyFont="1" applyBorder="1"/>
    <xf numFmtId="0" fontId="52" fillId="0" borderId="0" xfId="1" applyFont="1"/>
    <xf numFmtId="0" fontId="55" fillId="0" borderId="0" xfId="1" applyFont="1"/>
    <xf numFmtId="0" fontId="56" fillId="0" borderId="0" xfId="1" applyFont="1"/>
    <xf numFmtId="0" fontId="56" fillId="0" borderId="0" xfId="1" applyFont="1" applyAlignment="1">
      <alignment horizontal="center"/>
    </xf>
    <xf numFmtId="0" fontId="52" fillId="0" borderId="0" xfId="1" applyFont="1" applyAlignment="1">
      <alignment horizontal="center"/>
    </xf>
    <xf numFmtId="0" fontId="54" fillId="0" borderId="0" xfId="1" applyFont="1"/>
    <xf numFmtId="0" fontId="61" fillId="0" borderId="0" xfId="1" applyFont="1"/>
    <xf numFmtId="0" fontId="62" fillId="0" borderId="0" xfId="1" applyFont="1"/>
    <xf numFmtId="0" fontId="63" fillId="0" borderId="0" xfId="1" applyFont="1"/>
    <xf numFmtId="0" fontId="23" fillId="0" borderId="0" xfId="0" applyFont="1" applyAlignment="1">
      <alignment horizontal="center" vertical="center" wrapText="1"/>
    </xf>
    <xf numFmtId="0" fontId="17" fillId="0" borderId="0" xfId="0" applyFont="1" applyAlignment="1">
      <alignment horizontal="center"/>
    </xf>
    <xf numFmtId="0" fontId="22" fillId="0" borderId="0" xfId="0" applyFont="1" applyAlignment="1">
      <alignment horizontal="center" vertical="top" wrapText="1"/>
    </xf>
    <xf numFmtId="0" fontId="0" fillId="0" borderId="0" xfId="0" applyAlignment="1">
      <alignment horizontal="center" vertical="top" wrapText="1"/>
    </xf>
    <xf numFmtId="0" fontId="67" fillId="0" borderId="0" xfId="0" applyFont="1"/>
    <xf numFmtId="0" fontId="68" fillId="33" borderId="0" xfId="0" applyFont="1" applyFill="1" applyAlignment="1">
      <alignment horizontal="center" wrapText="1"/>
    </xf>
    <xf numFmtId="0" fontId="3" fillId="30" borderId="0" xfId="0" applyFont="1" applyFill="1"/>
    <xf numFmtId="0" fontId="3" fillId="31" borderId="0" xfId="0" applyFont="1" applyFill="1"/>
    <xf numFmtId="0" fontId="3" fillId="25" borderId="0" xfId="0" applyFont="1" applyFill="1"/>
    <xf numFmtId="0" fontId="3" fillId="29" borderId="0" xfId="0" applyFont="1" applyFill="1"/>
    <xf numFmtId="0" fontId="3" fillId="31" borderId="25" xfId="0" applyFont="1" applyFill="1" applyBorder="1"/>
    <xf numFmtId="0" fontId="3" fillId="25" borderId="25" xfId="0" applyFont="1" applyFill="1" applyBorder="1"/>
    <xf numFmtId="0" fontId="3" fillId="30" borderId="25" xfId="0" applyFont="1" applyFill="1" applyBorder="1"/>
    <xf numFmtId="0" fontId="3" fillId="32" borderId="25" xfId="0" applyFont="1" applyFill="1" applyBorder="1"/>
    <xf numFmtId="0" fontId="25" fillId="24" borderId="0" xfId="0" applyFont="1" applyFill="1" applyAlignment="1">
      <alignment vertical="top" wrapText="1"/>
    </xf>
    <xf numFmtId="0" fontId="29" fillId="24" borderId="0" xfId="0" applyFont="1" applyFill="1" applyAlignment="1">
      <alignment vertical="top" wrapText="1"/>
    </xf>
    <xf numFmtId="0" fontId="29" fillId="25" borderId="0" xfId="0" applyFont="1" applyFill="1" applyAlignment="1">
      <alignment vertical="top" wrapText="1"/>
    </xf>
    <xf numFmtId="0" fontId="29" fillId="26" borderId="0" xfId="0" applyFont="1" applyFill="1" applyAlignment="1">
      <alignment vertical="top" wrapText="1"/>
    </xf>
    <xf numFmtId="0" fontId="29" fillId="27" borderId="0" xfId="0" applyFont="1" applyFill="1" applyAlignment="1">
      <alignment vertical="top" wrapText="1"/>
    </xf>
    <xf numFmtId="0" fontId="29" fillId="28" borderId="0" xfId="0" applyFont="1" applyFill="1" applyAlignment="1">
      <alignment vertical="top" wrapText="1"/>
    </xf>
    <xf numFmtId="0" fontId="29" fillId="29" borderId="0" xfId="0" applyFont="1" applyFill="1" applyAlignment="1">
      <alignment vertical="top" wrapText="1"/>
    </xf>
    <xf numFmtId="0" fontId="69" fillId="0" borderId="0" xfId="0" applyFont="1"/>
    <xf numFmtId="0" fontId="12" fillId="33" borderId="49" xfId="0" applyFont="1" applyFill="1" applyBorder="1" applyAlignment="1">
      <alignment vertical="center" wrapText="1"/>
    </xf>
    <xf numFmtId="0" fontId="12" fillId="33" borderId="50" xfId="0" applyFont="1" applyFill="1" applyBorder="1" applyAlignment="1">
      <alignment vertical="center" wrapText="1"/>
    </xf>
    <xf numFmtId="0" fontId="12" fillId="33" borderId="50" xfId="0" applyFont="1" applyFill="1" applyBorder="1" applyAlignment="1">
      <alignment horizontal="center" vertical="center"/>
    </xf>
    <xf numFmtId="0" fontId="12" fillId="33" borderId="51" xfId="0" applyFont="1" applyFill="1" applyBorder="1" applyAlignment="1">
      <alignment vertical="center" wrapText="1"/>
    </xf>
    <xf numFmtId="0" fontId="9" fillId="0" borderId="52" xfId="0" applyFont="1" applyBorder="1" applyAlignment="1">
      <alignment vertical="center" wrapText="1"/>
    </xf>
    <xf numFmtId="0" fontId="9" fillId="24" borderId="53" xfId="0" applyFont="1" applyFill="1" applyBorder="1" applyAlignment="1">
      <alignment vertical="center" wrapText="1"/>
    </xf>
    <xf numFmtId="0" fontId="13" fillId="30" borderId="53" xfId="0" applyFont="1" applyFill="1" applyBorder="1" applyAlignment="1">
      <alignment vertical="center" wrapText="1"/>
    </xf>
    <xf numFmtId="0" fontId="9" fillId="0" borderId="53" xfId="0" applyFont="1" applyBorder="1" applyAlignment="1">
      <alignment vertical="center" wrapText="1"/>
    </xf>
    <xf numFmtId="0" fontId="9" fillId="0" borderId="54" xfId="0" applyFont="1" applyBorder="1" applyAlignment="1">
      <alignment vertical="center" wrapText="1"/>
    </xf>
    <xf numFmtId="0" fontId="9" fillId="25" borderId="53" xfId="0" applyFont="1" applyFill="1" applyBorder="1" applyAlignment="1">
      <alignment vertical="center" wrapText="1"/>
    </xf>
    <xf numFmtId="0" fontId="13" fillId="31" borderId="53" xfId="0" applyFont="1" applyFill="1" applyBorder="1" applyAlignment="1">
      <alignment vertical="center" wrapText="1"/>
    </xf>
    <xf numFmtId="0" fontId="12" fillId="33" borderId="52" xfId="0" applyFont="1" applyFill="1" applyBorder="1" applyAlignment="1">
      <alignment vertical="center" wrapText="1"/>
    </xf>
    <xf numFmtId="0" fontId="12" fillId="33" borderId="53" xfId="0" applyFont="1" applyFill="1" applyBorder="1" applyAlignment="1">
      <alignment vertical="center" wrapText="1"/>
    </xf>
    <xf numFmtId="0" fontId="12" fillId="33" borderId="53" xfId="0" applyFont="1" applyFill="1" applyBorder="1" applyAlignment="1">
      <alignment horizontal="center" vertical="center"/>
    </xf>
    <xf numFmtId="0" fontId="12" fillId="33" borderId="54" xfId="0" applyFont="1" applyFill="1" applyBorder="1" applyAlignment="1">
      <alignment vertical="center" wrapText="1"/>
    </xf>
    <xf numFmtId="0" fontId="9" fillId="27" borderId="53" xfId="0" applyFont="1" applyFill="1" applyBorder="1" applyAlignment="1">
      <alignment vertical="center" wrapText="1"/>
    </xf>
    <xf numFmtId="0" fontId="13" fillId="25" borderId="53" xfId="0" applyFont="1" applyFill="1" applyBorder="1" applyAlignment="1">
      <alignment vertical="center" wrapText="1"/>
    </xf>
    <xf numFmtId="0" fontId="9" fillId="29" borderId="53" xfId="0" applyFont="1" applyFill="1" applyBorder="1" applyAlignment="1">
      <alignment vertical="center" wrapText="1"/>
    </xf>
    <xf numFmtId="0" fontId="13" fillId="32" borderId="53" xfId="0" applyFont="1" applyFill="1" applyBorder="1" applyAlignment="1">
      <alignment vertical="center" wrapText="1"/>
    </xf>
    <xf numFmtId="0" fontId="9" fillId="26" borderId="53" xfId="0" applyFont="1" applyFill="1" applyBorder="1" applyAlignment="1">
      <alignment vertical="center" wrapText="1"/>
    </xf>
    <xf numFmtId="0" fontId="13" fillId="29" borderId="53" xfId="0" applyFont="1" applyFill="1" applyBorder="1" applyAlignment="1">
      <alignment vertical="center" wrapText="1"/>
    </xf>
    <xf numFmtId="0" fontId="9" fillId="28" borderId="53" xfId="0" applyFont="1" applyFill="1" applyBorder="1" applyAlignment="1">
      <alignment vertical="center" wrapText="1"/>
    </xf>
    <xf numFmtId="0" fontId="9" fillId="0" borderId="55" xfId="0" applyFont="1" applyBorder="1" applyAlignment="1">
      <alignment vertical="center" wrapText="1"/>
    </xf>
    <xf numFmtId="0" fontId="9" fillId="28" borderId="56" xfId="0" applyFont="1" applyFill="1" applyBorder="1" applyAlignment="1">
      <alignment vertical="center" wrapText="1"/>
    </xf>
    <xf numFmtId="0" fontId="13" fillId="30" borderId="56" xfId="0" applyFont="1" applyFill="1" applyBorder="1" applyAlignment="1">
      <alignment vertical="center" wrapText="1"/>
    </xf>
    <xf numFmtId="0" fontId="9" fillId="0" borderId="56" xfId="0" applyFont="1" applyBorder="1" applyAlignment="1">
      <alignment vertical="center" wrapText="1"/>
    </xf>
    <xf numFmtId="0" fontId="9" fillId="0" borderId="57" xfId="0" applyFont="1" applyBorder="1" applyAlignment="1">
      <alignment vertical="center" wrapText="1"/>
    </xf>
    <xf numFmtId="164" fontId="12" fillId="33" borderId="50" xfId="0" applyNumberFormat="1" applyFont="1" applyFill="1" applyBorder="1" applyAlignment="1">
      <alignment horizontal="center" vertical="center"/>
    </xf>
    <xf numFmtId="164" fontId="12" fillId="33" borderId="53" xfId="0" applyNumberFormat="1" applyFont="1" applyFill="1" applyBorder="1" applyAlignment="1">
      <alignment horizontal="center" vertical="center"/>
    </xf>
    <xf numFmtId="9" fontId="9" fillId="0" borderId="53" xfId="0" applyNumberFormat="1" applyFont="1" applyBorder="1" applyAlignment="1">
      <alignment horizontal="center" vertical="center"/>
    </xf>
    <xf numFmtId="9" fontId="9" fillId="0" borderId="56" xfId="0" applyNumberFormat="1" applyFont="1" applyBorder="1" applyAlignment="1">
      <alignment horizontal="center" vertical="center"/>
    </xf>
    <xf numFmtId="0" fontId="70" fillId="0" borderId="0" xfId="0" applyFont="1" applyAlignment="1">
      <alignment vertical="center"/>
    </xf>
    <xf numFmtId="0" fontId="0" fillId="0" borderId="0" xfId="0" applyAlignment="1">
      <alignment vertical="center"/>
    </xf>
    <xf numFmtId="0" fontId="3" fillId="0" borderId="0" xfId="0" applyFont="1" applyAlignment="1">
      <alignment vertical="center"/>
    </xf>
    <xf numFmtId="0" fontId="67" fillId="0" borderId="0" xfId="0" applyFont="1" applyAlignment="1">
      <alignment vertical="center" wrapText="1"/>
    </xf>
    <xf numFmtId="0" fontId="66" fillId="0" borderId="0" xfId="0" applyFont="1" applyAlignment="1">
      <alignment vertical="center"/>
    </xf>
    <xf numFmtId="0" fontId="67" fillId="0" borderId="0" xfId="0" applyFont="1" applyAlignment="1">
      <alignment horizontal="center" vertical="center"/>
    </xf>
    <xf numFmtId="0" fontId="8" fillId="0" borderId="0" xfId="0" applyFont="1" applyAlignment="1">
      <alignment horizontal="center"/>
    </xf>
    <xf numFmtId="164" fontId="11" fillId="0" borderId="0" xfId="0" applyNumberFormat="1" applyFont="1" applyAlignment="1">
      <alignment horizontal="center" wrapText="1"/>
    </xf>
    <xf numFmtId="0" fontId="0" fillId="0" borderId="0" xfId="0" applyAlignment="1">
      <alignment wrapText="1"/>
    </xf>
    <xf numFmtId="164" fontId="71" fillId="0" borderId="0" xfId="0" applyNumberFormat="1" applyFont="1" applyAlignment="1">
      <alignment horizontal="center" wrapText="1"/>
    </xf>
    <xf numFmtId="0" fontId="0" fillId="0" borderId="0" xfId="0" applyAlignment="1">
      <alignment horizontal="center" vertical="center"/>
    </xf>
    <xf numFmtId="0" fontId="25" fillId="35" borderId="0" xfId="0" applyFont="1" applyFill="1" applyAlignment="1">
      <alignment vertical="top" wrapText="1"/>
    </xf>
    <xf numFmtId="0" fontId="29" fillId="35" borderId="0" xfId="0" applyFont="1" applyFill="1" applyAlignment="1">
      <alignment vertical="top" wrapText="1"/>
    </xf>
    <xf numFmtId="0" fontId="30" fillId="34" borderId="0" xfId="0" applyFont="1" applyFill="1" applyAlignment="1">
      <alignment vertical="top" wrapText="1"/>
    </xf>
    <xf numFmtId="0" fontId="25" fillId="36" borderId="0" xfId="0" applyFont="1" applyFill="1" applyAlignment="1">
      <alignment vertical="top" wrapText="1"/>
    </xf>
    <xf numFmtId="0" fontId="29" fillId="36" borderId="0" xfId="0" applyFont="1" applyFill="1" applyAlignment="1">
      <alignment vertical="top" wrapText="1"/>
    </xf>
    <xf numFmtId="9" fontId="0" fillId="0" borderId="0" xfId="0" applyNumberFormat="1" applyAlignment="1">
      <alignment vertical="center"/>
    </xf>
    <xf numFmtId="0" fontId="5" fillId="0" borderId="0" xfId="0" applyFont="1" applyAlignment="1">
      <alignment horizontal="center" vertical="center" wrapText="1"/>
    </xf>
    <xf numFmtId="0" fontId="2" fillId="0" borderId="0" xfId="0" applyFont="1" applyAlignment="1">
      <alignment horizontal="center" vertical="center" wrapText="1"/>
    </xf>
    <xf numFmtId="0" fontId="19" fillId="0" borderId="0" xfId="0" applyFont="1" applyAlignment="1">
      <alignment horizontal="right" vertical="center" wrapText="1"/>
    </xf>
    <xf numFmtId="0" fontId="22" fillId="0" borderId="25" xfId="0" applyFont="1" applyBorder="1" applyAlignment="1">
      <alignment horizontal="center" vertical="center" wrapText="1"/>
    </xf>
    <xf numFmtId="1" fontId="22" fillId="0" borderId="25" xfId="0" applyNumberFormat="1" applyFont="1" applyBorder="1" applyAlignment="1">
      <alignment horizontal="center" vertical="center" wrapText="1"/>
    </xf>
    <xf numFmtId="0" fontId="24" fillId="0" borderId="25" xfId="0" applyFont="1" applyBorder="1" applyAlignment="1">
      <alignment horizontal="center" vertical="center" wrapText="1"/>
    </xf>
    <xf numFmtId="0" fontId="22" fillId="0" borderId="25" xfId="0" applyFont="1" applyBorder="1" applyAlignment="1">
      <alignment horizontal="center" vertical="top" wrapText="1"/>
    </xf>
    <xf numFmtId="0" fontId="23" fillId="0" borderId="58" xfId="0" applyFont="1" applyBorder="1" applyAlignment="1">
      <alignment horizontal="center" vertical="center" wrapText="1"/>
    </xf>
    <xf numFmtId="0" fontId="23" fillId="2" borderId="1" xfId="0" applyFont="1" applyFill="1" applyBorder="1" applyAlignment="1">
      <alignment horizontal="center" vertical="center" wrapText="1"/>
    </xf>
    <xf numFmtId="2" fontId="22" fillId="0" borderId="0" xfId="0" applyNumberFormat="1" applyFont="1" applyAlignment="1">
      <alignment horizontal="center" vertical="center" wrapText="1"/>
    </xf>
    <xf numFmtId="0" fontId="25" fillId="37" borderId="0" xfId="0" applyFont="1" applyFill="1" applyAlignment="1">
      <alignment vertical="top" wrapText="1"/>
    </xf>
    <xf numFmtId="0" fontId="29" fillId="37" borderId="0" xfId="0" applyFont="1" applyFill="1" applyAlignment="1">
      <alignment vertical="top" wrapText="1"/>
    </xf>
    <xf numFmtId="0" fontId="38" fillId="37" borderId="0" xfId="0" applyFont="1" applyFill="1"/>
    <xf numFmtId="0" fontId="42" fillId="37" borderId="0" xfId="0" applyFont="1" applyFill="1"/>
    <xf numFmtId="0" fontId="49" fillId="0" borderId="36" xfId="1" applyFont="1" applyBorder="1" applyAlignment="1">
      <alignment horizontal="center" vertical="center"/>
    </xf>
    <xf numFmtId="0" fontId="49" fillId="0" borderId="34" xfId="1" applyFont="1" applyBorder="1" applyAlignment="1">
      <alignment horizontal="center" vertical="center"/>
    </xf>
    <xf numFmtId="0" fontId="49" fillId="0" borderId="24" xfId="1" applyFont="1" applyBorder="1" applyAlignment="1">
      <alignment horizontal="center" vertical="center"/>
    </xf>
    <xf numFmtId="0" fontId="53" fillId="0" borderId="40" xfId="1" applyFont="1" applyBorder="1" applyAlignment="1">
      <alignment horizontal="center" vertical="center"/>
    </xf>
    <xf numFmtId="0" fontId="53" fillId="0" borderId="39" xfId="1" applyFont="1" applyBorder="1" applyAlignment="1">
      <alignment horizontal="center" vertical="center"/>
    </xf>
    <xf numFmtId="0" fontId="45" fillId="0" borderId="0" xfId="1" applyAlignment="1">
      <alignment horizontal="center" vertical="center"/>
    </xf>
    <xf numFmtId="0" fontId="49" fillId="15" borderId="24" xfId="1" applyFont="1" applyFill="1" applyBorder="1" applyAlignment="1">
      <alignment horizontal="center" vertical="center"/>
    </xf>
    <xf numFmtId="0" fontId="49" fillId="15" borderId="36" xfId="1" applyFont="1" applyFill="1" applyBorder="1" applyAlignment="1">
      <alignment horizontal="center" vertical="center"/>
    </xf>
    <xf numFmtId="0" fontId="53" fillId="18" borderId="0" xfId="1" applyFont="1" applyFill="1" applyAlignment="1">
      <alignment horizontal="center" vertical="center"/>
    </xf>
    <xf numFmtId="0" fontId="53" fillId="17" borderId="0" xfId="1" applyFont="1" applyFill="1" applyAlignment="1">
      <alignment horizontal="center" vertical="center"/>
    </xf>
    <xf numFmtId="0" fontId="53" fillId="16" borderId="0" xfId="1" applyFont="1" applyFill="1" applyAlignment="1">
      <alignment horizontal="center" vertical="center"/>
    </xf>
    <xf numFmtId="0" fontId="49" fillId="15" borderId="34" xfId="1" applyFont="1" applyFill="1" applyBorder="1" applyAlignment="1">
      <alignment horizontal="center" vertical="center"/>
    </xf>
    <xf numFmtId="0" fontId="45" fillId="12" borderId="0" xfId="1" applyFill="1" applyAlignment="1">
      <alignment horizontal="center" vertical="center"/>
    </xf>
    <xf numFmtId="0" fontId="45" fillId="18" borderId="0" xfId="1" applyFill="1" applyAlignment="1">
      <alignment horizontal="center" vertical="center"/>
    </xf>
    <xf numFmtId="0" fontId="45" fillId="22" borderId="0" xfId="1" applyFill="1" applyAlignment="1">
      <alignment horizontal="center" vertical="center"/>
    </xf>
    <xf numFmtId="0" fontId="45" fillId="21" borderId="0" xfId="1" applyFill="1" applyAlignment="1">
      <alignment horizontal="center" vertical="center"/>
    </xf>
    <xf numFmtId="0" fontId="45" fillId="20" borderId="0" xfId="1" applyFill="1" applyAlignment="1">
      <alignment horizontal="center" vertical="center"/>
    </xf>
    <xf numFmtId="0" fontId="45" fillId="19" borderId="0" xfId="1" applyFill="1" applyAlignment="1">
      <alignment horizontal="center" vertical="center"/>
    </xf>
    <xf numFmtId="0" fontId="30" fillId="0" borderId="0" xfId="0" applyFont="1" applyAlignment="1">
      <alignment vertical="top" wrapText="1"/>
    </xf>
    <xf numFmtId="0" fontId="27" fillId="0" borderId="0" xfId="0" applyFont="1" applyAlignment="1">
      <alignment vertical="top" wrapText="1"/>
    </xf>
    <xf numFmtId="0" fontId="30" fillId="4" borderId="0" xfId="0" applyFont="1" applyFill="1" applyAlignment="1">
      <alignment vertical="top" wrapText="1"/>
    </xf>
  </cellXfs>
  <cellStyles count="2">
    <cellStyle name="Normale" xfId="0" builtinId="0"/>
    <cellStyle name="Normale 2" xfId="1" xr:uid="{6B059439-B4A6-B34F-8F17-8246E3977B7C}"/>
  </cellStyles>
  <dxfs count="28">
    <dxf>
      <font>
        <color rgb="FF9C0006"/>
        <family val="2"/>
      </font>
    </dxf>
    <dxf>
      <font>
        <b/>
        <i val="0"/>
        <color rgb="FF2E5016"/>
      </font>
      <fill>
        <patternFill patternType="solid">
          <fgColor indexed="64"/>
          <bgColor rgb="FFA9D18E"/>
        </patternFill>
      </fill>
    </dxf>
    <dxf>
      <font>
        <b/>
        <i val="0"/>
        <color rgb="FF6B5300"/>
      </font>
      <fill>
        <patternFill patternType="solid">
          <fgColor indexed="64"/>
          <bgColor rgb="FFFFE066"/>
        </patternFill>
      </fill>
    </dxf>
    <dxf>
      <font>
        <b/>
        <i val="0"/>
        <color rgb="FF7A3B00"/>
      </font>
      <fill>
        <patternFill patternType="solid">
          <fgColor indexed="64"/>
          <bgColor rgb="FFF8B26A"/>
        </patternFill>
      </fill>
    </dxf>
    <dxf>
      <font>
        <b/>
        <i val="0"/>
        <color rgb="FF7B0000"/>
      </font>
      <fill>
        <patternFill patternType="solid">
          <fgColor indexed="64"/>
          <bgColor rgb="FFFF7B7B"/>
        </patternFill>
      </fill>
    </dxf>
    <dxf>
      <font>
        <b/>
        <i val="0"/>
        <color rgb="FF7B0000"/>
      </font>
      <fill>
        <patternFill patternType="solid">
          <fgColor indexed="64"/>
          <bgColor rgb="FFFF7B7B"/>
        </patternFill>
      </fill>
    </dxf>
    <dxf>
      <font>
        <b/>
        <i val="0"/>
        <color rgb="FF7A3B00"/>
      </font>
      <fill>
        <patternFill patternType="solid">
          <fgColor indexed="64"/>
          <bgColor rgb="FFF8B26A"/>
        </patternFill>
      </fill>
    </dxf>
    <dxf>
      <font>
        <b/>
        <i val="0"/>
        <color rgb="FF6B5300"/>
      </font>
      <fill>
        <patternFill patternType="solid">
          <fgColor indexed="64"/>
          <bgColor rgb="FFFFE066"/>
        </patternFill>
      </fill>
    </dxf>
    <dxf>
      <font>
        <b/>
        <i val="0"/>
        <color rgb="FF2E5016"/>
      </font>
      <fill>
        <patternFill patternType="solid">
          <fgColor indexed="64"/>
          <bgColor rgb="FFA9D18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patternType="solid">
          <fgColor indexed="64"/>
          <bgColor rgb="FFFFF2CC"/>
        </patternFill>
      </fill>
    </dxf>
    <dxf>
      <font>
        <b val="0"/>
        <i/>
      </font>
      <fill>
        <patternFill>
          <bgColor theme="3" tint="0.59996337778862885"/>
        </patternFill>
      </fill>
    </dxf>
    <dxf>
      <fill>
        <patternFill>
          <bgColor rgb="FF92D050"/>
        </patternFill>
      </fill>
    </dxf>
    <dxf>
      <font>
        <color rgb="FF006100"/>
      </font>
      <fill>
        <patternFill>
          <bgColor rgb="FFC6EFCE"/>
        </patternFill>
      </fill>
    </dxf>
    <dxf>
      <font>
        <b/>
        <i val="0"/>
        <color rgb="FF7B0000"/>
      </font>
      <fill>
        <patternFill patternType="solid">
          <fgColor indexed="64"/>
          <bgColor rgb="FFFF7B7B"/>
        </patternFill>
      </fill>
    </dxf>
    <dxf>
      <font>
        <color rgb="FF2E5016"/>
      </font>
      <fill>
        <patternFill patternType="solid">
          <fgColor indexed="64"/>
          <bgColor rgb="FFA9D18E"/>
        </patternFill>
      </fill>
    </dxf>
    <dxf>
      <font>
        <b/>
        <i val="0"/>
        <color rgb="FF2E5016"/>
      </font>
      <fill>
        <patternFill patternType="solid">
          <fgColor indexed="64"/>
          <bgColor rgb="FFA9D18E"/>
        </patternFill>
      </fill>
    </dxf>
    <dxf>
      <font>
        <b/>
        <i val="0"/>
        <color rgb="FF1F3864"/>
      </font>
      <fill>
        <patternFill patternType="solid">
          <fgColor indexed="64"/>
          <bgColor rgb="FFBDD7EE"/>
        </patternFill>
      </fill>
    </dxf>
    <dxf>
      <font>
        <b/>
        <i val="0"/>
        <color rgb="FF7B0000"/>
      </font>
      <fill>
        <patternFill patternType="solid">
          <fgColor indexed="64"/>
          <bgColor rgb="FFFF7B7B"/>
        </patternFill>
      </fill>
    </dxf>
    <dxf>
      <font>
        <color rgb="FF9C5700"/>
      </font>
      <fill>
        <patternFill>
          <bgColor rgb="FFFFEB9C"/>
        </patternFill>
      </fill>
    </dxf>
    <dxf>
      <font>
        <color rgb="FF9C0006"/>
      </font>
      <fill>
        <patternFill>
          <bgColor rgb="FFFFC7CE"/>
        </patternFill>
      </fill>
    </dxf>
    <dxf>
      <font>
        <b/>
        <i val="0"/>
        <color rgb="FF7B0000"/>
      </font>
      <fill>
        <patternFill patternType="solid">
          <fgColor indexed="64"/>
          <bgColor rgb="FFFF7B7B"/>
        </patternFill>
      </fill>
    </dxf>
    <dxf>
      <font>
        <b/>
        <i val="0"/>
        <color rgb="FF7A3B00"/>
      </font>
      <fill>
        <patternFill patternType="solid">
          <fgColor indexed="64"/>
          <bgColor rgb="FFF8B26A"/>
        </patternFill>
      </fill>
    </dxf>
    <dxf>
      <font>
        <b/>
        <i val="0"/>
        <color rgb="FF6B5300"/>
      </font>
      <fill>
        <patternFill patternType="solid">
          <fgColor indexed="64"/>
          <bgColor rgb="FFFFE066"/>
        </patternFill>
      </fill>
    </dxf>
    <dxf>
      <font>
        <b/>
        <i val="0"/>
        <color rgb="FF2E5016"/>
      </font>
      <fill>
        <patternFill patternType="solid">
          <fgColor indexed="64"/>
          <bgColor rgb="FFA9D18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 dockstate="right" visibility="0" width="350" row="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A3552A98-FA4A-6B40-88BA-2EC5C6302747}">
  <we:reference id="WA200010725" version="1.0.0.1" store="Omex" storeType="OMEX"/>
  <we:alternateReferences>
    <we:reference id="WA200010725" version="1.0.0.1" store="WA200010725" storeType="OMEX"/>
  </we:alternateReferences>
  <we:properties>
    <we:property name="claude.fileId" value="&quot;52c723e1-a756-4f6f-8243-b007655d5d24&quot;"/>
  </we:properties>
  <we:bindings/>
  <we:snapshot xmlns:r="http://schemas.openxmlformats.org/officeDocument/2006/relationships"/>
</we:webextension>
</file>

<file path=xl/webextensions/webextension2.xml><?xml version="1.0" encoding="utf-8"?>
<we:webextension xmlns:we="http://schemas.microsoft.com/office/webextensions/webextension/2010/11" id="{DFA7E0E7-38ED-7D48-832E-78831297E680}">
  <we:reference id="WA200009404" version="1.0.0.8" store="Omex" storeType="OMEX"/>
  <we:alternateReferences>
    <we:reference id="WA200009404" version="1.0.0.8" store="WA200009404" storeType="OMEX"/>
  </we:alternateReferences>
  <we:properties>
    <we:property name="claude.fileId" value="&quot;08576b6c-6821-4754-8f53-f1b357155e57&quot;"/>
  </we:properties>
  <we:bindings/>
  <we:snapshot xmlns:r="http://schemas.openxmlformats.org/officeDocument/2006/relationships"/>
</we:webextension>
</file>

<file path=xl/webextensions/webextension3.xml><?xml version="1.0" encoding="utf-8"?>
<we:webextension xmlns:we="http://schemas.microsoft.com/office/webextensions/webextension/2010/11" id="{AD87E272-F6E3-0B43-A1A4-FF14BA9CE142}">
  <we:reference id="WA200005502" version="1.0.0.11" store="Omex" storeType="OMEX"/>
  <we:alternateReferences>
    <we:reference id="WA200005502" version="1.0.0.11" store="WA200005502"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138C0-6126-7440-A5EF-E8C664BAA957}">
  <dimension ref="A1:U51"/>
  <sheetViews>
    <sheetView tabSelected="1" topLeftCell="F21" zoomScale="75" zoomScaleNormal="61" workbookViewId="0">
      <selection activeCell="O23" sqref="O23"/>
    </sheetView>
  </sheetViews>
  <sheetFormatPr baseColWidth="10" defaultRowHeight="22"/>
  <cols>
    <col min="2" max="2" width="22" customWidth="1"/>
    <col min="3" max="3" width="17" customWidth="1"/>
    <col min="4" max="4" width="51.6640625" customWidth="1"/>
    <col min="9" max="9" width="39.6640625" customWidth="1"/>
    <col min="11" max="11" width="18.83203125" bestFit="1" customWidth="1"/>
    <col min="14" max="14" width="19.1640625" customWidth="1"/>
    <col min="15" max="15" width="44.83203125" style="228" customWidth="1"/>
    <col min="16" max="16" width="47.5" style="228" customWidth="1"/>
    <col min="17" max="17" width="22.6640625" style="230" customWidth="1"/>
    <col min="18" max="18" width="35" customWidth="1"/>
    <col min="19" max="19" width="43.6640625" customWidth="1"/>
    <col min="20" max="20" width="47" customWidth="1"/>
    <col min="21" max="21" width="43.6640625" style="5" customWidth="1"/>
  </cols>
  <sheetData>
    <row r="1" spans="1:21" ht="40">
      <c r="A1" s="52" t="s">
        <v>0</v>
      </c>
      <c r="B1" s="52" t="s">
        <v>1</v>
      </c>
      <c r="C1" s="52" t="s">
        <v>2</v>
      </c>
      <c r="D1" s="52" t="s">
        <v>3</v>
      </c>
      <c r="E1" s="52" t="s">
        <v>4</v>
      </c>
      <c r="F1" s="52" t="s">
        <v>5</v>
      </c>
      <c r="G1" s="52" t="s">
        <v>6</v>
      </c>
      <c r="H1" s="52" t="s">
        <v>7</v>
      </c>
      <c r="I1" s="52" t="s">
        <v>217</v>
      </c>
      <c r="J1" s="52" t="s">
        <v>210</v>
      </c>
      <c r="K1" s="52" t="s">
        <v>211</v>
      </c>
      <c r="L1" s="52" t="s">
        <v>8</v>
      </c>
      <c r="M1" s="52" t="s">
        <v>212</v>
      </c>
      <c r="N1" s="138" t="s">
        <v>273</v>
      </c>
      <c r="O1" s="52" t="s">
        <v>213</v>
      </c>
      <c r="P1" s="52" t="s">
        <v>214</v>
      </c>
      <c r="Q1" s="52" t="s">
        <v>215</v>
      </c>
      <c r="R1" s="52" t="s">
        <v>9</v>
      </c>
      <c r="S1" s="52" t="s">
        <v>216</v>
      </c>
      <c r="T1" s="49"/>
      <c r="U1" s="4"/>
    </row>
    <row r="2" spans="1:21" ht="180">
      <c r="A2" s="53">
        <v>1</v>
      </c>
      <c r="B2" s="53" t="s">
        <v>55</v>
      </c>
      <c r="C2" s="53" t="s">
        <v>10</v>
      </c>
      <c r="D2" s="53" t="s">
        <v>76</v>
      </c>
      <c r="E2" s="53">
        <v>3</v>
      </c>
      <c r="F2" s="53">
        <v>4</v>
      </c>
      <c r="G2" s="53">
        <f t="shared" ref="G2:G12" si="0">E2*F2</f>
        <v>12</v>
      </c>
      <c r="H2" s="53" t="str">
        <f t="shared" ref="H2:H12" si="1">IFERROR(IF(G2&gt;=16,"Critico",IF(G2&gt;=10,"Alto",IF(G2&gt;=5,"Medio","Basso"))),"")</f>
        <v>Alto</v>
      </c>
      <c r="I2" s="53" t="s">
        <v>665</v>
      </c>
      <c r="J2" s="54">
        <f>IFERROR(INDEX('Rischio residuo'!$I$2:$I$32,MATCH($A2,'Rischio residuo'!$A$2:$A$32,0)),"")</f>
        <v>1</v>
      </c>
      <c r="K2" s="54">
        <f>IFERROR(INDEX('Rischio residuo'!$J$2:$J$32,MATCH($A2,'Rischio residuo'!$A$2:$A$32,0)),"")</f>
        <v>4</v>
      </c>
      <c r="L2" s="54">
        <f>J2*K2</f>
        <v>4</v>
      </c>
      <c r="M2" s="53" t="str">
        <f>IFERROR(IF(L2&gt;=16,"Critico",IF(L2&gt;=10,"Alto",IF(L2&gt;=5,"Medio","Basso"))),"")</f>
        <v>Basso</v>
      </c>
      <c r="N2" s="58" t="str">
        <f>IF($M2="","",IF($M2="Basso","Accettazione",IF(IFERROR(INDEX('Rischio residuo'!$F$2:$F$32,MATCH($A2,'Rischio residuo'!$A$2:$A$32,0)),0)=0,"Trasferimento","Mitigazione")))</f>
        <v>Accettazione</v>
      </c>
      <c r="O2" s="169"/>
      <c r="P2" s="169"/>
      <c r="Q2" s="53" t="s">
        <v>37</v>
      </c>
      <c r="R2" s="55" t="s">
        <v>38</v>
      </c>
      <c r="S2" s="55" t="str">
        <f>IF($N2="","",IF($N2="Accettazione","CHIUSO",IF($N2="Trasferimento","APERTO","MONITORATO")))</f>
        <v>CHIUSO</v>
      </c>
      <c r="T2" s="50"/>
      <c r="U2" s="237"/>
    </row>
    <row r="3" spans="1:21" ht="120">
      <c r="A3" s="53">
        <v>2</v>
      </c>
      <c r="B3" s="53" t="s">
        <v>11</v>
      </c>
      <c r="C3" s="53" t="s">
        <v>10</v>
      </c>
      <c r="D3" s="53" t="s">
        <v>32</v>
      </c>
      <c r="E3" s="53">
        <v>2</v>
      </c>
      <c r="F3" s="53">
        <v>2</v>
      </c>
      <c r="G3" s="53">
        <f t="shared" si="0"/>
        <v>4</v>
      </c>
      <c r="H3" s="53" t="str">
        <f t="shared" si="1"/>
        <v>Basso</v>
      </c>
      <c r="I3" s="53" t="s">
        <v>666</v>
      </c>
      <c r="J3" s="54">
        <f>IFERROR(INDEX('Rischio residuo'!$I$2:$I$32,MATCH($A3,'Rischio residuo'!$A$2:$A$32,0)),"")</f>
        <v>1</v>
      </c>
      <c r="K3" s="54">
        <f>IFERROR(INDEX('Rischio residuo'!$J$2:$J$32,MATCH($A3,'Rischio residuo'!$A$2:$A$32,0)),"")</f>
        <v>2</v>
      </c>
      <c r="L3" s="54">
        <f t="shared" ref="L3:L31" si="2">J3*K3</f>
        <v>2</v>
      </c>
      <c r="M3" s="53" t="str">
        <f t="shared" ref="M3:M32" si="3">IFERROR(IF(L3&gt;=16,"Critico",IF(L3&gt;=10,"Alto",IF(L3&gt;=5,"Medio","Basso"))),"")</f>
        <v>Basso</v>
      </c>
      <c r="N3" s="58" t="str">
        <f>IF($M3="","",IF($M3="Basso","Accettazione",IF(IFERROR(INDEX('Rischio residuo'!$F$2:$F$32,MATCH($A3,'Rischio residuo'!$A$2:$A$32,0)),0)=0,"Trasferimento","Mitigazione")))</f>
        <v>Accettazione</v>
      </c>
      <c r="O3" s="169"/>
      <c r="P3" s="169"/>
      <c r="Q3" s="53" t="s">
        <v>39</v>
      </c>
      <c r="R3" s="55" t="s">
        <v>40</v>
      </c>
      <c r="S3" s="55" t="str">
        <f t="shared" ref="S3:S32" si="4">IF($N3="","",IF($N3="Accettazione","CHIUSO",IF($N3="Trasferimento","APERTO","MONITORATO")))</f>
        <v>CHIUSO</v>
      </c>
      <c r="T3" s="50"/>
      <c r="U3" s="237"/>
    </row>
    <row r="4" spans="1:21" ht="120">
      <c r="A4" s="53">
        <v>3</v>
      </c>
      <c r="B4" s="53" t="s">
        <v>12</v>
      </c>
      <c r="C4" s="53" t="s">
        <v>13</v>
      </c>
      <c r="D4" s="53" t="s">
        <v>14</v>
      </c>
      <c r="E4" s="53">
        <v>2</v>
      </c>
      <c r="F4" s="53">
        <v>4</v>
      </c>
      <c r="G4" s="53">
        <f t="shared" si="0"/>
        <v>8</v>
      </c>
      <c r="H4" s="53" t="str">
        <f t="shared" si="1"/>
        <v>Medio</v>
      </c>
      <c r="I4" s="53" t="s">
        <v>667</v>
      </c>
      <c r="J4" s="54">
        <f>IFERROR(INDEX('Rischio residuo'!$I$2:$I$32,MATCH($A4,'Rischio residuo'!$A$2:$A$32,0)),"")</f>
        <v>1</v>
      </c>
      <c r="K4" s="54">
        <f>IFERROR(INDEX('Rischio residuo'!$J$2:$J$32,MATCH($A4,'Rischio residuo'!$A$2:$A$32,0)),"")</f>
        <v>4</v>
      </c>
      <c r="L4" s="54">
        <f t="shared" si="2"/>
        <v>4</v>
      </c>
      <c r="M4" s="53" t="str">
        <f t="shared" si="3"/>
        <v>Basso</v>
      </c>
      <c r="N4" s="58" t="str">
        <f>IF($M4="","",IF($M4="Basso","Accettazione",IF(IFERROR(INDEX('Rischio residuo'!$F$2:$F$32,MATCH($A4,'Rischio residuo'!$A$2:$A$32,0)),0)=0,"Trasferimento","Mitigazione")))</f>
        <v>Accettazione</v>
      </c>
      <c r="O4" s="169"/>
      <c r="P4" s="169"/>
      <c r="Q4" s="53" t="s">
        <v>41</v>
      </c>
      <c r="R4" s="55" t="s">
        <v>38</v>
      </c>
      <c r="S4" s="55" t="str">
        <f t="shared" si="4"/>
        <v>CHIUSO</v>
      </c>
      <c r="T4" s="50"/>
      <c r="U4" s="237"/>
    </row>
    <row r="5" spans="1:21" ht="160">
      <c r="A5" s="53">
        <v>4</v>
      </c>
      <c r="B5" s="53" t="s">
        <v>56</v>
      </c>
      <c r="C5" s="53" t="s">
        <v>13</v>
      </c>
      <c r="D5" s="53" t="s">
        <v>71</v>
      </c>
      <c r="E5" s="53">
        <v>4</v>
      </c>
      <c r="F5" s="53">
        <v>3</v>
      </c>
      <c r="G5" s="53">
        <f t="shared" si="0"/>
        <v>12</v>
      </c>
      <c r="H5" s="53" t="str">
        <f t="shared" si="1"/>
        <v>Alto</v>
      </c>
      <c r="I5" s="53" t="s">
        <v>668</v>
      </c>
      <c r="J5" s="54">
        <f>IFERROR(INDEX('Rischio residuo'!$I$2:$I$32,MATCH($A5,'Rischio residuo'!$A$2:$A$32,0)),"")</f>
        <v>2</v>
      </c>
      <c r="K5" s="54">
        <f>IFERROR(INDEX('Rischio residuo'!$J$2:$J$32,MATCH($A5,'Rischio residuo'!$A$2:$A$32,0)),"")</f>
        <v>3</v>
      </c>
      <c r="L5" s="54">
        <f t="shared" si="2"/>
        <v>6</v>
      </c>
      <c r="M5" s="53" t="str">
        <f t="shared" si="3"/>
        <v>Medio</v>
      </c>
      <c r="N5" s="58" t="str">
        <f>IF($M5="","",IF($M5="Basso","Accettazione",IF(IFERROR(INDEX('Rischio residuo'!$F$2:$F$32,MATCH($A5,'Rischio residuo'!$A$2:$A$32,0)),0)=0,"Trasferimento","Mitigazione")))</f>
        <v>Mitigazione</v>
      </c>
      <c r="O5" s="169" t="s">
        <v>768</v>
      </c>
      <c r="P5" s="169" t="s">
        <v>703</v>
      </c>
      <c r="Q5" s="53" t="s">
        <v>37</v>
      </c>
      <c r="R5" s="55" t="s">
        <v>42</v>
      </c>
      <c r="S5" s="55" t="str">
        <f t="shared" si="4"/>
        <v>MONITORATO</v>
      </c>
      <c r="T5" s="50"/>
      <c r="U5" s="237"/>
    </row>
    <row r="6" spans="1:21" ht="160">
      <c r="A6" s="53">
        <v>5</v>
      </c>
      <c r="B6" s="53" t="s">
        <v>31</v>
      </c>
      <c r="C6" s="53" t="s">
        <v>15</v>
      </c>
      <c r="D6" s="53" t="s">
        <v>799</v>
      </c>
      <c r="E6" s="53">
        <v>3</v>
      </c>
      <c r="F6" s="53">
        <v>3</v>
      </c>
      <c r="G6" s="53">
        <f t="shared" si="0"/>
        <v>9</v>
      </c>
      <c r="H6" s="53" t="str">
        <f t="shared" si="1"/>
        <v>Medio</v>
      </c>
      <c r="I6" s="53" t="s">
        <v>669</v>
      </c>
      <c r="J6" s="54">
        <f>IFERROR(INDEX('Rischio residuo'!$I$2:$I$32,MATCH($A6,'Rischio residuo'!$A$2:$A$32,0)),"")</f>
        <v>2</v>
      </c>
      <c r="K6" s="54">
        <f>IFERROR(INDEX('Rischio residuo'!$J$2:$J$32,MATCH($A6,'Rischio residuo'!$A$2:$A$32,0)),"")</f>
        <v>3</v>
      </c>
      <c r="L6" s="54">
        <f t="shared" si="2"/>
        <v>6</v>
      </c>
      <c r="M6" s="53" t="str">
        <f t="shared" si="3"/>
        <v>Medio</v>
      </c>
      <c r="N6" s="58" t="str">
        <f>IF($M6="","",IF($M6="Basso","Accettazione",IF(IFERROR(INDEX('Rischio residuo'!$F$2:$F$32,MATCH($A6,'Rischio residuo'!$A$2:$A$32,0)),0)=0,"Trasferimento","Mitigazione")))</f>
        <v>Mitigazione</v>
      </c>
      <c r="O6" s="169" t="s">
        <v>769</v>
      </c>
      <c r="P6" s="169" t="s">
        <v>704</v>
      </c>
      <c r="Q6" s="53" t="s">
        <v>37</v>
      </c>
      <c r="R6" s="55" t="s">
        <v>43</v>
      </c>
      <c r="S6" s="55" t="str">
        <f t="shared" si="4"/>
        <v>MONITORATO</v>
      </c>
      <c r="T6" s="50"/>
      <c r="U6" s="237"/>
    </row>
    <row r="7" spans="1:21" ht="140">
      <c r="A7" s="53">
        <v>6</v>
      </c>
      <c r="B7" s="53" t="s">
        <v>16</v>
      </c>
      <c r="C7" s="53" t="s">
        <v>17</v>
      </c>
      <c r="D7" s="53" t="s">
        <v>800</v>
      </c>
      <c r="E7" s="53">
        <v>2</v>
      </c>
      <c r="F7" s="53">
        <v>4</v>
      </c>
      <c r="G7" s="53">
        <f t="shared" si="0"/>
        <v>8</v>
      </c>
      <c r="H7" s="53" t="str">
        <f t="shared" si="1"/>
        <v>Medio</v>
      </c>
      <c r="I7" s="53" t="s">
        <v>670</v>
      </c>
      <c r="J7" s="54">
        <f>IFERROR(INDEX('Rischio residuo'!$I$2:$I$32,MATCH($A7,'Rischio residuo'!$A$2:$A$32,0)),"")</f>
        <v>2</v>
      </c>
      <c r="K7" s="54">
        <f>IFERROR(INDEX('Rischio residuo'!$J$2:$J$32,MATCH($A7,'Rischio residuo'!$A$2:$A$32,0)),"")</f>
        <v>2</v>
      </c>
      <c r="L7" s="54">
        <f t="shared" si="2"/>
        <v>4</v>
      </c>
      <c r="M7" s="53" t="str">
        <f t="shared" si="3"/>
        <v>Basso</v>
      </c>
      <c r="N7" s="58" t="str">
        <f>IF($M7="","",IF($M7="Basso","Accettazione",IF(IFERROR(INDEX('Rischio residuo'!$F$2:$F$32,MATCH($A7,'Rischio residuo'!$A$2:$A$32,0)),0)=0,"Trasferimento","Mitigazione")))</f>
        <v>Accettazione</v>
      </c>
      <c r="O7" s="169"/>
      <c r="P7" s="169"/>
      <c r="Q7" s="53" t="s">
        <v>37</v>
      </c>
      <c r="R7" s="55" t="s">
        <v>42</v>
      </c>
      <c r="S7" s="55" t="str">
        <f t="shared" si="4"/>
        <v>CHIUSO</v>
      </c>
      <c r="T7" s="50"/>
      <c r="U7" s="237"/>
    </row>
    <row r="8" spans="1:21" ht="160">
      <c r="A8" s="53">
        <v>7</v>
      </c>
      <c r="B8" s="53" t="s">
        <v>57</v>
      </c>
      <c r="C8" s="53" t="s">
        <v>17</v>
      </c>
      <c r="D8" s="53" t="s">
        <v>72</v>
      </c>
      <c r="E8" s="53">
        <v>3</v>
      </c>
      <c r="F8" s="53">
        <v>3</v>
      </c>
      <c r="G8" s="53">
        <f t="shared" si="0"/>
        <v>9</v>
      </c>
      <c r="H8" s="53" t="str">
        <f t="shared" si="1"/>
        <v>Medio</v>
      </c>
      <c r="I8" s="53" t="s">
        <v>671</v>
      </c>
      <c r="J8" s="54">
        <f>IFERROR(INDEX('Rischio residuo'!$I$2:$I$32,MATCH($A8,'Rischio residuo'!$A$2:$A$32,0)),"")</f>
        <v>2</v>
      </c>
      <c r="K8" s="54">
        <f>IFERROR(INDEX('Rischio residuo'!$J$2:$J$32,MATCH($A8,'Rischio residuo'!$A$2:$A$32,0)),"")</f>
        <v>3</v>
      </c>
      <c r="L8" s="54">
        <f t="shared" si="2"/>
        <v>6</v>
      </c>
      <c r="M8" s="53" t="str">
        <f t="shared" si="3"/>
        <v>Medio</v>
      </c>
      <c r="N8" s="58" t="str">
        <f>IF($M8="","",IF($M8="Basso","Accettazione",IF(IFERROR(INDEX('Rischio residuo'!$F$2:$F$32,MATCH($A8,'Rischio residuo'!$A$2:$A$32,0)),0)=0,"Trasferimento","Mitigazione")))</f>
        <v>Mitigazione</v>
      </c>
      <c r="O8" s="169" t="s">
        <v>770</v>
      </c>
      <c r="P8" s="169" t="s">
        <v>705</v>
      </c>
      <c r="Q8" s="53" t="s">
        <v>39</v>
      </c>
      <c r="R8" s="55" t="s">
        <v>44</v>
      </c>
      <c r="S8" s="55" t="str">
        <f t="shared" si="4"/>
        <v>MONITORATO</v>
      </c>
      <c r="T8" s="50"/>
      <c r="U8" s="237"/>
    </row>
    <row r="9" spans="1:21" ht="409" customHeight="1">
      <c r="A9" s="53">
        <v>8</v>
      </c>
      <c r="B9" s="53" t="s">
        <v>58</v>
      </c>
      <c r="C9" s="53" t="s">
        <v>18</v>
      </c>
      <c r="D9" s="53" t="s">
        <v>19</v>
      </c>
      <c r="E9" s="53">
        <v>3</v>
      </c>
      <c r="F9" s="53">
        <v>4</v>
      </c>
      <c r="G9" s="53">
        <f t="shared" si="0"/>
        <v>12</v>
      </c>
      <c r="H9" s="53" t="str">
        <f t="shared" si="1"/>
        <v>Alto</v>
      </c>
      <c r="I9" s="53" t="s">
        <v>789</v>
      </c>
      <c r="J9" s="54">
        <f>IFERROR(INDEX('Rischio residuo'!$I$2:$I$32,MATCH($A9,'Rischio residuo'!$A$2:$A$32,0)),"")</f>
        <v>2</v>
      </c>
      <c r="K9" s="54">
        <f>IFERROR(INDEX('Rischio residuo'!$J$2:$J$32,MATCH($A9,'Rischio residuo'!$A$2:$A$32,0)),"")</f>
        <v>4</v>
      </c>
      <c r="L9" s="54">
        <f t="shared" si="2"/>
        <v>8</v>
      </c>
      <c r="M9" s="53" t="str">
        <f t="shared" si="3"/>
        <v>Medio</v>
      </c>
      <c r="N9" s="58" t="str">
        <f>IF($M9="","",IF($M9="Basso","Accettazione",IF(IFERROR(INDEX('Rischio residuo'!$F$2:$F$32,MATCH($A9,'Rischio residuo'!$A$2:$A$32,0)),0)=0,"Trasferimento","Mitigazione")))</f>
        <v>Mitigazione</v>
      </c>
      <c r="O9" s="169" t="s">
        <v>782</v>
      </c>
      <c r="P9" s="169" t="s">
        <v>827</v>
      </c>
      <c r="Q9" s="53" t="s">
        <v>39</v>
      </c>
      <c r="R9" s="55" t="s">
        <v>40</v>
      </c>
      <c r="S9" s="55" t="str">
        <f t="shared" si="4"/>
        <v>MONITORATO</v>
      </c>
      <c r="T9" s="50"/>
      <c r="U9" s="237"/>
    </row>
    <row r="10" spans="1:21" ht="409" customHeight="1">
      <c r="A10" s="53">
        <v>9</v>
      </c>
      <c r="B10" s="53" t="s">
        <v>59</v>
      </c>
      <c r="C10" s="53" t="s">
        <v>18</v>
      </c>
      <c r="D10" s="53" t="s">
        <v>801</v>
      </c>
      <c r="E10" s="53">
        <v>4</v>
      </c>
      <c r="F10" s="53">
        <v>4</v>
      </c>
      <c r="G10" s="53">
        <f t="shared" si="0"/>
        <v>16</v>
      </c>
      <c r="H10" s="56" t="str">
        <f t="shared" si="1"/>
        <v>Critico</v>
      </c>
      <c r="I10" s="53" t="s">
        <v>786</v>
      </c>
      <c r="J10" s="54">
        <f>IFERROR(INDEX('Rischio residuo'!$I$2:$I$32,MATCH($A10,'Rischio residuo'!$A$2:$A$32,0)),"")</f>
        <v>2</v>
      </c>
      <c r="K10" s="54">
        <f>IFERROR(INDEX('Rischio residuo'!$J$2:$J$32,MATCH($A10,'Rischio residuo'!$A$2:$A$32,0)),"")</f>
        <v>4</v>
      </c>
      <c r="L10" s="54">
        <f t="shared" si="2"/>
        <v>8</v>
      </c>
      <c r="M10" s="53" t="str">
        <f t="shared" si="3"/>
        <v>Medio</v>
      </c>
      <c r="N10" s="58" t="str">
        <f>IF($M10="","",IF($M10="Basso","Accettazione",IF(IFERROR(INDEX('Rischio residuo'!$F$2:$F$32,MATCH($A10,'Rischio residuo'!$A$2:$A$32,0)),0)=0,"Trasferimento","Mitigazione")))</f>
        <v>Mitigazione</v>
      </c>
      <c r="O10" s="169" t="s">
        <v>771</v>
      </c>
      <c r="P10" s="169" t="s">
        <v>772</v>
      </c>
      <c r="Q10" s="53" t="s">
        <v>39</v>
      </c>
      <c r="R10" s="55" t="s">
        <v>45</v>
      </c>
      <c r="S10" s="55" t="str">
        <f t="shared" si="4"/>
        <v>MONITORATO</v>
      </c>
      <c r="T10" s="50"/>
      <c r="U10"/>
    </row>
    <row r="11" spans="1:21" ht="409.6">
      <c r="A11" s="53">
        <v>10</v>
      </c>
      <c r="B11" s="53" t="s">
        <v>60</v>
      </c>
      <c r="C11" s="53" t="s">
        <v>18</v>
      </c>
      <c r="D11" s="53" t="s">
        <v>701</v>
      </c>
      <c r="E11" s="53">
        <v>4</v>
      </c>
      <c r="F11" s="53">
        <v>4</v>
      </c>
      <c r="G11" s="53">
        <f t="shared" si="0"/>
        <v>16</v>
      </c>
      <c r="H11" s="53" t="str">
        <f t="shared" si="1"/>
        <v>Critico</v>
      </c>
      <c r="I11" s="53" t="s">
        <v>784</v>
      </c>
      <c r="J11" s="54">
        <f>IFERROR(INDEX('Rischio residuo'!$I$2:$I$32,MATCH($A11,'Rischio residuo'!$A$2:$A$32,0)),"")</f>
        <v>3</v>
      </c>
      <c r="K11" s="54">
        <f>IFERROR(INDEX('Rischio residuo'!$J$2:$J$32,MATCH($A11,'Rischio residuo'!$A$2:$A$32,0)),"")</f>
        <v>4</v>
      </c>
      <c r="L11" s="54">
        <f t="shared" si="2"/>
        <v>12</v>
      </c>
      <c r="M11" s="53" t="str">
        <f t="shared" si="3"/>
        <v>Alto</v>
      </c>
      <c r="N11" s="58" t="str">
        <f>IF($M11="","",IF($M11="Basso","Accettazione",IF(IFERROR(INDEX('Rischio residuo'!$F$2:$F$32,MATCH($A11,'Rischio residuo'!$A$2:$A$32,0)),0)=0,"Trasferimento","Mitigazione")))</f>
        <v>Mitigazione</v>
      </c>
      <c r="O11" s="169" t="s">
        <v>774</v>
      </c>
      <c r="P11" s="169" t="s">
        <v>773</v>
      </c>
      <c r="Q11" s="53" t="s">
        <v>39</v>
      </c>
      <c r="R11" s="55" t="s">
        <v>46</v>
      </c>
      <c r="S11" s="55" t="str">
        <f t="shared" si="4"/>
        <v>MONITORATO</v>
      </c>
      <c r="T11" s="50"/>
      <c r="U11" s="237"/>
    </row>
    <row r="12" spans="1:21" ht="160">
      <c r="A12" s="53">
        <v>11</v>
      </c>
      <c r="B12" s="53" t="s">
        <v>61</v>
      </c>
      <c r="C12" s="53" t="s">
        <v>20</v>
      </c>
      <c r="D12" s="53" t="s">
        <v>802</v>
      </c>
      <c r="E12" s="53">
        <v>3</v>
      </c>
      <c r="F12" s="53">
        <v>4</v>
      </c>
      <c r="G12" s="53">
        <f t="shared" si="0"/>
        <v>12</v>
      </c>
      <c r="H12" s="53" t="str">
        <f t="shared" si="1"/>
        <v>Alto</v>
      </c>
      <c r="I12" s="53" t="s">
        <v>672</v>
      </c>
      <c r="J12" s="54">
        <f>IFERROR(INDEX('Rischio residuo'!$I$2:$I$32,MATCH($A12,'Rischio residuo'!$A$2:$A$32,0)),"")</f>
        <v>2</v>
      </c>
      <c r="K12" s="54">
        <f>IFERROR(INDEX('Rischio residuo'!$J$2:$J$32,MATCH($A12,'Rischio residuo'!$A$2:$A$32,0)),"")</f>
        <v>4</v>
      </c>
      <c r="L12" s="54">
        <f t="shared" si="2"/>
        <v>8</v>
      </c>
      <c r="M12" s="53" t="str">
        <f t="shared" si="3"/>
        <v>Medio</v>
      </c>
      <c r="N12" s="58" t="s">
        <v>652</v>
      </c>
      <c r="O12" s="169" t="s">
        <v>791</v>
      </c>
      <c r="P12" s="169"/>
      <c r="Q12" s="53" t="s">
        <v>283</v>
      </c>
      <c r="R12" s="55" t="s">
        <v>795</v>
      </c>
      <c r="S12" s="55" t="str">
        <f t="shared" si="4"/>
        <v>APERTO</v>
      </c>
      <c r="T12" s="50"/>
      <c r="U12" s="237"/>
    </row>
    <row r="13" spans="1:21" ht="180">
      <c r="A13" s="53">
        <v>12</v>
      </c>
      <c r="B13" s="53" t="s">
        <v>62</v>
      </c>
      <c r="C13" s="53" t="s">
        <v>20</v>
      </c>
      <c r="D13" s="53" t="s">
        <v>803</v>
      </c>
      <c r="E13" s="53">
        <v>3</v>
      </c>
      <c r="F13" s="53">
        <v>4</v>
      </c>
      <c r="G13" s="53">
        <f t="shared" ref="G13:G32" si="5">E13*F13</f>
        <v>12</v>
      </c>
      <c r="H13" s="53" t="str">
        <f t="shared" ref="H13:H32" si="6">IFERROR(IF(G13&gt;=16,"Critico",IF(G13&gt;=10,"Alto",IF(G13&gt;=5,"Medio","Basso"))),"")</f>
        <v>Alto</v>
      </c>
      <c r="I13" s="53" t="s">
        <v>673</v>
      </c>
      <c r="J13" s="54">
        <f>IFERROR(INDEX('Rischio residuo'!$I$2:$I$32,MATCH($A13,'Rischio residuo'!$A$2:$A$32,0)),"")</f>
        <v>2</v>
      </c>
      <c r="K13" s="54">
        <f>IFERROR(INDEX('Rischio residuo'!$J$2:$J$32,MATCH($A13,'Rischio residuo'!$A$2:$A$32,0)),"")</f>
        <v>4</v>
      </c>
      <c r="L13" s="54">
        <f t="shared" si="2"/>
        <v>8</v>
      </c>
      <c r="M13" s="53" t="str">
        <f t="shared" si="3"/>
        <v>Medio</v>
      </c>
      <c r="N13" s="58" t="str">
        <f>IF($M13="","",IF($M13="Basso","Accettazione",IF(IFERROR(INDEX('Rischio residuo'!$F$2:$F$32,MATCH($A13,'Rischio residuo'!$A$2:$A$32,0)),0)=0,"Trasferimento","Mitigazione")))</f>
        <v>Mitigazione</v>
      </c>
      <c r="O13" s="169" t="s">
        <v>706</v>
      </c>
      <c r="P13" s="170" t="s">
        <v>707</v>
      </c>
      <c r="Q13" s="53" t="s">
        <v>51</v>
      </c>
      <c r="R13" s="55" t="s">
        <v>47</v>
      </c>
      <c r="S13" s="55" t="str">
        <f t="shared" si="4"/>
        <v>MONITORATO</v>
      </c>
      <c r="T13" s="50"/>
      <c r="U13" s="237"/>
    </row>
    <row r="14" spans="1:21" ht="160">
      <c r="A14" s="53">
        <v>13</v>
      </c>
      <c r="B14" s="53" t="s">
        <v>63</v>
      </c>
      <c r="C14" s="53" t="s">
        <v>21</v>
      </c>
      <c r="D14" s="53" t="s">
        <v>804</v>
      </c>
      <c r="E14" s="53">
        <v>3</v>
      </c>
      <c r="F14" s="53">
        <v>4</v>
      </c>
      <c r="G14" s="53">
        <f t="shared" si="5"/>
        <v>12</v>
      </c>
      <c r="H14" s="53" t="str">
        <f t="shared" si="6"/>
        <v>Alto</v>
      </c>
      <c r="I14" s="53" t="s">
        <v>674</v>
      </c>
      <c r="J14" s="54">
        <f>IFERROR(INDEX('Rischio residuo'!$I$2:$I$32,MATCH($A14,'Rischio residuo'!$A$2:$A$32,0)),"")</f>
        <v>1</v>
      </c>
      <c r="K14" s="54">
        <f>IFERROR(INDEX('Rischio residuo'!$J$2:$J$32,MATCH($A14,'Rischio residuo'!$A$2:$A$32,0)),"")</f>
        <v>4</v>
      </c>
      <c r="L14" s="54">
        <f t="shared" si="2"/>
        <v>4</v>
      </c>
      <c r="M14" s="53" t="str">
        <f t="shared" si="3"/>
        <v>Basso</v>
      </c>
      <c r="N14" s="58" t="str">
        <f>IF($M14="","",IF($M14="Basso","Accettazione",IF(IFERROR(INDEX('Rischio residuo'!$F$2:$F$32,MATCH($A14,'Rischio residuo'!$A$2:$A$32,0)),0)=0,"Trasferimento","Mitigazione")))</f>
        <v>Accettazione</v>
      </c>
      <c r="O14" s="169"/>
      <c r="P14" s="169"/>
      <c r="Q14" s="53" t="s">
        <v>48</v>
      </c>
      <c r="R14" s="55" t="s">
        <v>796</v>
      </c>
      <c r="S14" s="55" t="str">
        <f t="shared" si="4"/>
        <v>CHIUSO</v>
      </c>
      <c r="T14" s="50"/>
      <c r="U14" s="237"/>
    </row>
    <row r="15" spans="1:21" ht="180">
      <c r="A15" s="53">
        <v>14</v>
      </c>
      <c r="B15" s="53" t="s">
        <v>64</v>
      </c>
      <c r="C15" s="53" t="s">
        <v>21</v>
      </c>
      <c r="D15" s="53" t="s">
        <v>805</v>
      </c>
      <c r="E15" s="53">
        <v>2</v>
      </c>
      <c r="F15" s="53">
        <v>4</v>
      </c>
      <c r="G15" s="53">
        <f t="shared" si="5"/>
        <v>8</v>
      </c>
      <c r="H15" s="53" t="str">
        <f t="shared" si="6"/>
        <v>Medio</v>
      </c>
      <c r="I15" s="53" t="s">
        <v>675</v>
      </c>
      <c r="J15" s="54">
        <f>IFERROR(INDEX('Rischio residuo'!$I$2:$I$32,MATCH($A15,'Rischio residuo'!$A$2:$A$32,0)),"")</f>
        <v>1</v>
      </c>
      <c r="K15" s="54">
        <f>IFERROR(INDEX('Rischio residuo'!$J$2:$J$32,MATCH($A15,'Rischio residuo'!$A$2:$A$32,0)),"")</f>
        <v>4</v>
      </c>
      <c r="L15" s="54">
        <f t="shared" si="2"/>
        <v>4</v>
      </c>
      <c r="M15" s="53" t="str">
        <f t="shared" si="3"/>
        <v>Basso</v>
      </c>
      <c r="N15" s="58" t="str">
        <f>IF($M15="","",IF($M15="Basso","Accettazione",IF(IFERROR(INDEX('Rischio residuo'!$F$2:$F$32,MATCH($A15,'Rischio residuo'!$A$2:$A$32,0)),0)=0,"Trasferimento","Mitigazione")))</f>
        <v>Accettazione</v>
      </c>
      <c r="O15" s="169"/>
      <c r="P15" s="169"/>
      <c r="Q15" s="53" t="s">
        <v>37</v>
      </c>
      <c r="R15" s="55" t="s">
        <v>47</v>
      </c>
      <c r="S15" s="55" t="str">
        <f t="shared" si="4"/>
        <v>CHIUSO</v>
      </c>
      <c r="T15" s="50"/>
      <c r="U15" s="237"/>
    </row>
    <row r="16" spans="1:21" ht="180">
      <c r="A16" s="53">
        <v>15</v>
      </c>
      <c r="B16" s="53" t="s">
        <v>65</v>
      </c>
      <c r="C16" s="53" t="s">
        <v>21</v>
      </c>
      <c r="D16" s="53" t="s">
        <v>806</v>
      </c>
      <c r="E16" s="53">
        <v>2</v>
      </c>
      <c r="F16" s="53">
        <v>4</v>
      </c>
      <c r="G16" s="53">
        <f t="shared" si="5"/>
        <v>8</v>
      </c>
      <c r="H16" s="57" t="str">
        <f t="shared" si="6"/>
        <v>Medio</v>
      </c>
      <c r="I16" s="101" t="s">
        <v>676</v>
      </c>
      <c r="J16" s="54">
        <f>IFERROR(INDEX('Rischio residuo'!$I$2:$I$32,MATCH($A16,'Rischio residuo'!$A$2:$A$32,0)),"")</f>
        <v>1</v>
      </c>
      <c r="K16" s="54">
        <f>IFERROR(INDEX('Rischio residuo'!$J$2:$J$32,MATCH($A16,'Rischio residuo'!$A$2:$A$32,0)),"")</f>
        <v>4</v>
      </c>
      <c r="L16" s="54">
        <f t="shared" si="2"/>
        <v>4</v>
      </c>
      <c r="M16" s="53" t="str">
        <f t="shared" si="3"/>
        <v>Basso</v>
      </c>
      <c r="N16" s="58" t="str">
        <f>IF($M16="","",IF($M16="Basso","Accettazione",IF(IFERROR(INDEX('Rischio residuo'!$F$2:$F$32,MATCH($A16,'Rischio residuo'!$A$2:$A$32,0)),0)=0,"Trasferimento","Mitigazione")))</f>
        <v>Accettazione</v>
      </c>
      <c r="O16" s="169"/>
      <c r="P16" s="169"/>
      <c r="Q16" s="53" t="s">
        <v>75</v>
      </c>
      <c r="R16" s="55" t="s">
        <v>49</v>
      </c>
      <c r="S16" s="55" t="str">
        <f t="shared" si="4"/>
        <v>CHIUSO</v>
      </c>
      <c r="T16" s="50"/>
      <c r="U16" s="237"/>
    </row>
    <row r="17" spans="1:21" ht="260">
      <c r="A17" s="53">
        <v>16</v>
      </c>
      <c r="B17" s="53" t="s">
        <v>22</v>
      </c>
      <c r="C17" s="53" t="s">
        <v>21</v>
      </c>
      <c r="D17" s="53" t="s">
        <v>35</v>
      </c>
      <c r="E17" s="53">
        <v>2</v>
      </c>
      <c r="F17" s="53">
        <v>5</v>
      </c>
      <c r="G17" s="53">
        <f t="shared" si="5"/>
        <v>10</v>
      </c>
      <c r="H17" s="53" t="str">
        <f t="shared" si="6"/>
        <v>Alto</v>
      </c>
      <c r="I17" s="53" t="s">
        <v>677</v>
      </c>
      <c r="J17" s="54">
        <f>IFERROR(INDEX('Rischio residuo'!$I$2:$I$32,MATCH($A17,'Rischio residuo'!$A$2:$A$32,0)),"")</f>
        <v>1</v>
      </c>
      <c r="K17" s="54">
        <f>IFERROR(INDEX('Rischio residuo'!$J$2:$J$32,MATCH($A17,'Rischio residuo'!$A$2:$A$32,0)),"")</f>
        <v>5</v>
      </c>
      <c r="L17" s="54">
        <f t="shared" si="2"/>
        <v>5</v>
      </c>
      <c r="M17" s="53" t="str">
        <f t="shared" si="3"/>
        <v>Medio</v>
      </c>
      <c r="N17" s="58" t="str">
        <f>IF($M17="","",IF($M17="Basso","Accettazione",IF(IFERROR(INDEX('Rischio residuo'!$F$2:$F$32,MATCH($A17,'Rischio residuo'!$A$2:$A$32,0)),0)=0,"Trasferimento","Mitigazione")))</f>
        <v>Mitigazione</v>
      </c>
      <c r="O17" s="169" t="s">
        <v>793</v>
      </c>
      <c r="P17" s="169" t="s">
        <v>794</v>
      </c>
      <c r="Q17" s="53" t="s">
        <v>37</v>
      </c>
      <c r="R17" s="55" t="s">
        <v>50</v>
      </c>
      <c r="S17" s="55" t="str">
        <f t="shared" si="4"/>
        <v>MONITORATO</v>
      </c>
      <c r="T17" s="50"/>
      <c r="U17" s="237"/>
    </row>
    <row r="18" spans="1:21" ht="80">
      <c r="A18" s="53">
        <v>17</v>
      </c>
      <c r="B18" s="53" t="s">
        <v>23</v>
      </c>
      <c r="C18" s="53" t="s">
        <v>21</v>
      </c>
      <c r="D18" s="53" t="s">
        <v>36</v>
      </c>
      <c r="E18" s="53">
        <v>3</v>
      </c>
      <c r="F18" s="53">
        <v>4</v>
      </c>
      <c r="G18" s="53">
        <f t="shared" si="5"/>
        <v>12</v>
      </c>
      <c r="H18" s="53" t="str">
        <f t="shared" si="6"/>
        <v>Alto</v>
      </c>
      <c r="I18" s="53" t="s">
        <v>678</v>
      </c>
      <c r="J18" s="54">
        <f>IFERROR(INDEX('Rischio residuo'!$I$2:$I$32,MATCH($A18,'Rischio residuo'!$A$2:$A$32,0)),"")</f>
        <v>2</v>
      </c>
      <c r="K18" s="54">
        <f>IFERROR(INDEX('Rischio residuo'!$J$2:$J$32,MATCH($A18,'Rischio residuo'!$A$2:$A$32,0)),"")</f>
        <v>2</v>
      </c>
      <c r="L18" s="54">
        <f t="shared" si="2"/>
        <v>4</v>
      </c>
      <c r="M18" s="53" t="str">
        <f t="shared" si="3"/>
        <v>Basso</v>
      </c>
      <c r="N18" s="58" t="str">
        <f>IF($M18="","",IF($M18="Basso","Accettazione",IF(IFERROR(INDEX('Rischio residuo'!$F$2:$F$32,MATCH($A18,'Rischio residuo'!$A$2:$A$32,0)),0)=0,"Trasferimento","Mitigazione")))</f>
        <v>Accettazione</v>
      </c>
      <c r="O18" s="169"/>
      <c r="P18" s="169"/>
      <c r="Q18" s="53" t="s">
        <v>51</v>
      </c>
      <c r="R18" s="55" t="s">
        <v>52</v>
      </c>
      <c r="S18" s="55" t="str">
        <f t="shared" si="4"/>
        <v>CHIUSO</v>
      </c>
      <c r="T18" s="50"/>
      <c r="U18" s="237"/>
    </row>
    <row r="19" spans="1:21" ht="100">
      <c r="A19" s="53">
        <v>18</v>
      </c>
      <c r="B19" s="53" t="s">
        <v>24</v>
      </c>
      <c r="C19" s="53" t="s">
        <v>21</v>
      </c>
      <c r="D19" s="53" t="s">
        <v>25</v>
      </c>
      <c r="E19" s="53">
        <v>2</v>
      </c>
      <c r="F19" s="53">
        <v>3</v>
      </c>
      <c r="G19" s="53">
        <f t="shared" si="5"/>
        <v>6</v>
      </c>
      <c r="H19" s="53" t="str">
        <f t="shared" si="6"/>
        <v>Medio</v>
      </c>
      <c r="I19" s="53" t="s">
        <v>679</v>
      </c>
      <c r="J19" s="54">
        <f>IFERROR(INDEX('Rischio residuo'!$I$2:$I$32,MATCH($A19,'Rischio residuo'!$A$2:$A$32,0)),"")</f>
        <v>1</v>
      </c>
      <c r="K19" s="54">
        <f>IFERROR(INDEX('Rischio residuo'!$J$2:$J$32,MATCH($A19,'Rischio residuo'!$A$2:$A$32,0)),"")</f>
        <v>3</v>
      </c>
      <c r="L19" s="54">
        <f t="shared" si="2"/>
        <v>3</v>
      </c>
      <c r="M19" s="53" t="str">
        <f t="shared" si="3"/>
        <v>Basso</v>
      </c>
      <c r="N19" s="58" t="str">
        <f>IF($M19="","",IF($M19="Basso","Accettazione",IF(IFERROR(INDEX('Rischio residuo'!$F$2:$F$32,MATCH($A19,'Rischio residuo'!$A$2:$A$32,0)),0)=0,"Trasferimento","Mitigazione")))</f>
        <v>Accettazione</v>
      </c>
      <c r="O19" s="169"/>
      <c r="P19" s="169"/>
      <c r="Q19" s="53" t="s">
        <v>51</v>
      </c>
      <c r="R19" s="55" t="s">
        <v>52</v>
      </c>
      <c r="S19" s="55" t="str">
        <f t="shared" si="4"/>
        <v>CHIUSO</v>
      </c>
      <c r="T19" s="50"/>
      <c r="U19" s="237"/>
    </row>
    <row r="20" spans="1:21" ht="220">
      <c r="A20" s="53">
        <v>19</v>
      </c>
      <c r="B20" s="53" t="s">
        <v>66</v>
      </c>
      <c r="C20" s="53" t="s">
        <v>26</v>
      </c>
      <c r="D20" s="53" t="s">
        <v>807</v>
      </c>
      <c r="E20" s="53">
        <v>3</v>
      </c>
      <c r="F20" s="53">
        <v>3</v>
      </c>
      <c r="G20" s="53">
        <f t="shared" si="5"/>
        <v>9</v>
      </c>
      <c r="H20" s="53" t="str">
        <f t="shared" si="6"/>
        <v>Medio</v>
      </c>
      <c r="I20" s="53" t="s">
        <v>688</v>
      </c>
      <c r="J20" s="54">
        <f>IFERROR(INDEX('Rischio residuo'!$I$2:$I$32,MATCH($A20,'Rischio residuo'!$A$2:$A$32,0)),"")</f>
        <v>3</v>
      </c>
      <c r="K20" s="54">
        <f>IFERROR(INDEX('Rischio residuo'!$J$2:$J$32,MATCH($A20,'Rischio residuo'!$A$2:$A$32,0)),"")</f>
        <v>3</v>
      </c>
      <c r="L20" s="54">
        <f t="shared" si="2"/>
        <v>9</v>
      </c>
      <c r="M20" s="53" t="str">
        <f t="shared" si="3"/>
        <v>Medio</v>
      </c>
      <c r="N20" s="58" t="str">
        <f>IF($M20="","",IF($M20="Basso","Accettazione",IF(IFERROR(INDEX('Rischio residuo'!$F$2:$F$32,MATCH($A20,'Rischio residuo'!$A$2:$A$32,0)),0)=0,"Trasferimento","Mitigazione")))</f>
        <v>Trasferimento</v>
      </c>
      <c r="O20" s="169" t="s">
        <v>829</v>
      </c>
      <c r="P20" s="169"/>
      <c r="Q20" s="53" t="s">
        <v>283</v>
      </c>
      <c r="R20" s="55" t="s">
        <v>689</v>
      </c>
      <c r="S20" s="55" t="str">
        <f t="shared" si="4"/>
        <v>APERTO</v>
      </c>
      <c r="T20" s="50"/>
      <c r="U20" s="237"/>
    </row>
    <row r="21" spans="1:21" ht="160">
      <c r="A21" s="53">
        <v>20</v>
      </c>
      <c r="B21" s="53" t="s">
        <v>67</v>
      </c>
      <c r="C21" s="53" t="s">
        <v>26</v>
      </c>
      <c r="D21" s="53" t="s">
        <v>73</v>
      </c>
      <c r="E21" s="53">
        <v>3</v>
      </c>
      <c r="F21" s="53">
        <v>4</v>
      </c>
      <c r="G21" s="53">
        <f t="shared" si="5"/>
        <v>12</v>
      </c>
      <c r="H21" s="53" t="str">
        <f t="shared" si="6"/>
        <v>Alto</v>
      </c>
      <c r="I21" s="53" t="s">
        <v>688</v>
      </c>
      <c r="J21" s="54">
        <f>IFERROR(INDEX('Rischio residuo'!$I$2:$I$32,MATCH($A21,'Rischio residuo'!$A$2:$A$32,0)),"")</f>
        <v>3</v>
      </c>
      <c r="K21" s="54">
        <f>IFERROR(INDEX('Rischio residuo'!$J$2:$J$32,MATCH($A21,'Rischio residuo'!$A$2:$A$32,0)),"")</f>
        <v>4</v>
      </c>
      <c r="L21" s="54">
        <f t="shared" si="2"/>
        <v>12</v>
      </c>
      <c r="M21" s="53" t="str">
        <f t="shared" si="3"/>
        <v>Alto</v>
      </c>
      <c r="N21" s="137" t="str">
        <f>IF($M21="","",IF($M21="Basso","Accettazione",IF(IFERROR(INDEX('Rischio residuo'!$F$2:$F$32,MATCH($A21,'Rischio residuo'!$A$2:$A$32,0)),0)=0,"Trasferimento","Mitigazione")))</f>
        <v>Trasferimento</v>
      </c>
      <c r="O21" s="169" t="s">
        <v>828</v>
      </c>
      <c r="P21" s="169"/>
      <c r="Q21" s="53" t="s">
        <v>715</v>
      </c>
      <c r="R21" s="55" t="s">
        <v>690</v>
      </c>
      <c r="S21" s="55" t="str">
        <f t="shared" si="4"/>
        <v>APERTO</v>
      </c>
      <c r="T21" s="50"/>
      <c r="U21" s="237"/>
    </row>
    <row r="22" spans="1:21" ht="180">
      <c r="A22" s="53">
        <v>21</v>
      </c>
      <c r="B22" s="53" t="s">
        <v>27</v>
      </c>
      <c r="C22" s="53" t="s">
        <v>26</v>
      </c>
      <c r="D22" s="53" t="s">
        <v>808</v>
      </c>
      <c r="E22" s="53">
        <v>2</v>
      </c>
      <c r="F22" s="53">
        <v>4</v>
      </c>
      <c r="G22" s="53">
        <f t="shared" si="5"/>
        <v>8</v>
      </c>
      <c r="H22" s="53" t="str">
        <f t="shared" si="6"/>
        <v>Medio</v>
      </c>
      <c r="I22" s="53" t="s">
        <v>688</v>
      </c>
      <c r="J22" s="54">
        <f>IFERROR(INDEX('Rischio residuo'!$I$2:$I$32,MATCH($A22,'Rischio residuo'!$A$2:$A$32,0)),"")</f>
        <v>2</v>
      </c>
      <c r="K22" s="54">
        <f>IFERROR(INDEX('Rischio residuo'!$J$2:$J$32,MATCH($A22,'Rischio residuo'!$A$2:$A$32,0)),"")</f>
        <v>4</v>
      </c>
      <c r="L22" s="54">
        <f t="shared" si="2"/>
        <v>8</v>
      </c>
      <c r="M22" s="53" t="str">
        <f t="shared" si="3"/>
        <v>Medio</v>
      </c>
      <c r="N22" s="137" t="str">
        <f>IF($M22="","",IF($M22="Basso","Accettazione",IF(IFERROR(INDEX('Rischio residuo'!$F$2:$F$32,MATCH($A22,'Rischio residuo'!$A$2:$A$32,0)),0)=0,"Trasferimento","Mitigazione")))</f>
        <v>Trasferimento</v>
      </c>
      <c r="O22" s="169" t="s">
        <v>792</v>
      </c>
      <c r="P22" s="169"/>
      <c r="Q22" s="53" t="s">
        <v>283</v>
      </c>
      <c r="R22" s="55" t="s">
        <v>691</v>
      </c>
      <c r="S22" s="55" t="str">
        <f t="shared" si="4"/>
        <v>APERTO</v>
      </c>
      <c r="T22" s="50"/>
      <c r="U22" s="237"/>
    </row>
    <row r="23" spans="1:21" ht="180">
      <c r="A23" s="53">
        <v>22</v>
      </c>
      <c r="B23" s="53" t="s">
        <v>33</v>
      </c>
      <c r="C23" s="53" t="s">
        <v>26</v>
      </c>
      <c r="D23" s="53" t="s">
        <v>809</v>
      </c>
      <c r="E23" s="53">
        <v>2</v>
      </c>
      <c r="F23" s="53">
        <v>3</v>
      </c>
      <c r="G23" s="53">
        <f t="shared" si="5"/>
        <v>6</v>
      </c>
      <c r="H23" s="53" t="str">
        <f t="shared" si="6"/>
        <v>Medio</v>
      </c>
      <c r="I23" s="53" t="s">
        <v>688</v>
      </c>
      <c r="J23" s="54">
        <f>IFERROR(INDEX('Rischio residuo'!$I$2:$I$32,MATCH($A23,'Rischio residuo'!$A$2:$A$32,0)),"")</f>
        <v>2</v>
      </c>
      <c r="K23" s="54">
        <f>IFERROR(INDEX('Rischio residuo'!$J$2:$J$32,MATCH($A23,'Rischio residuo'!$A$2:$A$32,0)),"")</f>
        <v>3</v>
      </c>
      <c r="L23" s="54">
        <f t="shared" si="2"/>
        <v>6</v>
      </c>
      <c r="M23" s="53" t="str">
        <f t="shared" si="3"/>
        <v>Medio</v>
      </c>
      <c r="N23" s="137" t="str">
        <f>IF($M23="","",IF($M23="Basso","Accettazione",IF(IFERROR(INDEX('Rischio residuo'!$F$2:$F$32,MATCH($A23,'Rischio residuo'!$A$2:$A$32,0)),0)=0,"Trasferimento","Mitigazione")))</f>
        <v>Trasferimento</v>
      </c>
      <c r="O23" s="169" t="s">
        <v>830</v>
      </c>
      <c r="P23" s="169"/>
      <c r="Q23" s="53" t="s">
        <v>283</v>
      </c>
      <c r="R23" s="55" t="s">
        <v>690</v>
      </c>
      <c r="S23" s="55" t="str">
        <f t="shared" si="4"/>
        <v>APERTO</v>
      </c>
      <c r="T23" s="50"/>
      <c r="U23" s="237"/>
    </row>
    <row r="24" spans="1:21" ht="160">
      <c r="A24" s="53">
        <v>23</v>
      </c>
      <c r="B24" s="53" t="s">
        <v>68</v>
      </c>
      <c r="C24" s="53" t="s">
        <v>28</v>
      </c>
      <c r="D24" s="53" t="s">
        <v>810</v>
      </c>
      <c r="E24" s="53">
        <v>3</v>
      </c>
      <c r="F24" s="53">
        <v>4</v>
      </c>
      <c r="G24" s="53">
        <f t="shared" si="5"/>
        <v>12</v>
      </c>
      <c r="H24" s="53" t="str">
        <f t="shared" si="6"/>
        <v>Alto</v>
      </c>
      <c r="I24" s="53" t="s">
        <v>680</v>
      </c>
      <c r="J24" s="54">
        <f>IFERROR(INDEX('Rischio residuo'!$I$2:$I$32,MATCH($A24,'Rischio residuo'!$A$2:$A$32,0)),"")</f>
        <v>1</v>
      </c>
      <c r="K24" s="54">
        <f>IFERROR(INDEX('Rischio residuo'!$J$2:$J$32,MATCH($A24,'Rischio residuo'!$A$2:$A$32,0)),"")</f>
        <v>4</v>
      </c>
      <c r="L24" s="54">
        <f t="shared" si="2"/>
        <v>4</v>
      </c>
      <c r="M24" s="53" t="str">
        <f t="shared" si="3"/>
        <v>Basso</v>
      </c>
      <c r="N24" s="58" t="str">
        <f>IF($M24="","",IF($M24="Basso","Accettazione",IF(IFERROR(INDEX('Rischio residuo'!$F$2:$F$32,MATCH($A24,'Rischio residuo'!$A$2:$A$32,0)),0)=0,"Trasferimento","Mitigazione")))</f>
        <v>Accettazione</v>
      </c>
      <c r="O24" s="169"/>
      <c r="P24" s="169"/>
      <c r="Q24" s="53" t="s">
        <v>39</v>
      </c>
      <c r="R24" s="55" t="s">
        <v>40</v>
      </c>
      <c r="S24" s="55" t="str">
        <f t="shared" si="4"/>
        <v>CHIUSO</v>
      </c>
      <c r="T24" s="50"/>
      <c r="U24" s="237"/>
    </row>
    <row r="25" spans="1:21" ht="140">
      <c r="A25" s="53">
        <v>24</v>
      </c>
      <c r="B25" s="53" t="s">
        <v>69</v>
      </c>
      <c r="C25" s="53" t="s">
        <v>28</v>
      </c>
      <c r="D25" s="53" t="s">
        <v>74</v>
      </c>
      <c r="E25" s="53">
        <v>3</v>
      </c>
      <c r="F25" s="53">
        <v>3</v>
      </c>
      <c r="G25" s="53">
        <f t="shared" si="5"/>
        <v>9</v>
      </c>
      <c r="H25" s="53" t="str">
        <f t="shared" si="6"/>
        <v>Medio</v>
      </c>
      <c r="I25" s="53" t="s">
        <v>681</v>
      </c>
      <c r="J25" s="54">
        <f>IFERROR(INDEX('Rischio residuo'!$I$2:$I$32,MATCH($A25,'Rischio residuo'!$A$2:$A$32,0)),"")</f>
        <v>1</v>
      </c>
      <c r="K25" s="54">
        <f>IFERROR(INDEX('Rischio residuo'!$J$2:$J$32,MATCH($A25,'Rischio residuo'!$A$2:$A$32,0)),"")</f>
        <v>3</v>
      </c>
      <c r="L25" s="54">
        <f t="shared" si="2"/>
        <v>3</v>
      </c>
      <c r="M25" s="53" t="str">
        <f t="shared" si="3"/>
        <v>Basso</v>
      </c>
      <c r="N25" s="58" t="str">
        <f>IF($M25="","",IF($M25="Basso","Accettazione",IF(IFERROR(INDEX('Rischio residuo'!$F$2:$F$32,MATCH($A25,'Rischio residuo'!$A$2:$A$32,0)),0)=0,"Trasferimento","Mitigazione")))</f>
        <v>Accettazione</v>
      </c>
      <c r="O25" s="169"/>
      <c r="P25" s="169"/>
      <c r="Q25" s="53" t="s">
        <v>39</v>
      </c>
      <c r="R25" s="55" t="s">
        <v>40</v>
      </c>
      <c r="S25" s="55" t="str">
        <f t="shared" si="4"/>
        <v>CHIUSO</v>
      </c>
      <c r="T25" s="50"/>
      <c r="U25" s="237"/>
    </row>
    <row r="26" spans="1:21" ht="200">
      <c r="A26" s="53">
        <v>25</v>
      </c>
      <c r="B26" s="53" t="s">
        <v>70</v>
      </c>
      <c r="C26" s="53" t="s">
        <v>29</v>
      </c>
      <c r="D26" s="53" t="s">
        <v>811</v>
      </c>
      <c r="E26" s="53">
        <v>2</v>
      </c>
      <c r="F26" s="53">
        <v>3</v>
      </c>
      <c r="G26" s="53">
        <f t="shared" si="5"/>
        <v>6</v>
      </c>
      <c r="H26" s="53" t="str">
        <f t="shared" si="6"/>
        <v>Medio</v>
      </c>
      <c r="I26" s="53" t="s">
        <v>682</v>
      </c>
      <c r="J26" s="54">
        <f>IFERROR(INDEX('Rischio residuo'!$I$2:$I$32,MATCH($A26,'Rischio residuo'!$A$2:$A$32,0)),"")</f>
        <v>2</v>
      </c>
      <c r="K26" s="54">
        <f>IFERROR(INDEX('Rischio residuo'!$J$2:$J$32,MATCH($A26,'Rischio residuo'!$A$2:$A$32,0)),"")</f>
        <v>3</v>
      </c>
      <c r="L26" s="54">
        <f t="shared" si="2"/>
        <v>6</v>
      </c>
      <c r="M26" s="53" t="str">
        <f t="shared" si="3"/>
        <v>Medio</v>
      </c>
      <c r="N26" s="58" t="str">
        <f>IF($M26="","",IF($M26="Basso","Accettazione",IF(IFERROR(INDEX('Rischio residuo'!$F$2:$F$32,MATCH($A26,'Rischio residuo'!$A$2:$A$32,0)),0)=0,"Trasferimento","Mitigazione")))</f>
        <v>Mitigazione</v>
      </c>
      <c r="O26" s="169" t="s">
        <v>756</v>
      </c>
      <c r="P26" s="169" t="s">
        <v>757</v>
      </c>
      <c r="Q26" s="53" t="s">
        <v>39</v>
      </c>
      <c r="R26" s="55" t="s">
        <v>797</v>
      </c>
      <c r="S26" s="245" t="str">
        <f t="shared" si="4"/>
        <v>MONITORATO</v>
      </c>
      <c r="T26" s="50"/>
      <c r="U26" s="237"/>
    </row>
    <row r="27" spans="1:21" ht="220">
      <c r="A27" s="53">
        <v>26</v>
      </c>
      <c r="B27" s="53" t="s">
        <v>81</v>
      </c>
      <c r="C27" s="53" t="s">
        <v>30</v>
      </c>
      <c r="D27" s="53" t="s">
        <v>812</v>
      </c>
      <c r="E27" s="53">
        <v>3</v>
      </c>
      <c r="F27" s="53">
        <v>3</v>
      </c>
      <c r="G27" s="53">
        <f t="shared" si="5"/>
        <v>9</v>
      </c>
      <c r="H27" s="53" t="str">
        <f t="shared" si="6"/>
        <v>Medio</v>
      </c>
      <c r="I27" s="53" t="s">
        <v>683</v>
      </c>
      <c r="J27" s="54">
        <f>IFERROR(INDEX('Rischio residuo'!$I$2:$I$32,MATCH($A27,'Rischio residuo'!$A$2:$A$32,0)),"")</f>
        <v>2</v>
      </c>
      <c r="K27" s="54">
        <f>IFERROR(INDEX('Rischio residuo'!$J$2:$J$32,MATCH($A27,'Rischio residuo'!$A$2:$A$32,0)),"")</f>
        <v>3</v>
      </c>
      <c r="L27" s="54">
        <f t="shared" si="2"/>
        <v>6</v>
      </c>
      <c r="M27" s="53" t="str">
        <f t="shared" si="3"/>
        <v>Medio</v>
      </c>
      <c r="N27" s="58" t="str">
        <f>IF($M27="","",IF($M27="Basso","Accettazione",IF(IFERROR(INDEX('Rischio residuo'!$F$2:$F$32,MATCH($A27,'Rischio residuo'!$A$2:$A$32,0)),0)=0,"Trasferimento","Mitigazione")))</f>
        <v>Mitigazione</v>
      </c>
      <c r="O27" s="169" t="s">
        <v>758</v>
      </c>
      <c r="P27" s="169" t="s">
        <v>759</v>
      </c>
      <c r="Q27" s="53" t="s">
        <v>39</v>
      </c>
      <c r="R27" s="55" t="s">
        <v>40</v>
      </c>
      <c r="S27" s="55" t="str">
        <f t="shared" si="4"/>
        <v>MONITORATO</v>
      </c>
      <c r="T27" s="50"/>
      <c r="U27" s="237"/>
    </row>
    <row r="28" spans="1:21" ht="140">
      <c r="A28" s="53">
        <v>27</v>
      </c>
      <c r="B28" s="53" t="s">
        <v>82</v>
      </c>
      <c r="C28" s="53" t="s">
        <v>30</v>
      </c>
      <c r="D28" s="53" t="s">
        <v>813</v>
      </c>
      <c r="E28" s="53">
        <v>3</v>
      </c>
      <c r="F28" s="53">
        <v>4</v>
      </c>
      <c r="G28" s="53">
        <f t="shared" si="5"/>
        <v>12</v>
      </c>
      <c r="H28" s="57" t="str">
        <f t="shared" si="6"/>
        <v>Alto</v>
      </c>
      <c r="I28" s="53" t="s">
        <v>684</v>
      </c>
      <c r="J28" s="54">
        <f>IFERROR(INDEX('Rischio residuo'!$I$2:$I$32,MATCH($A28,'Rischio residuo'!$A$2:$A$32,0)),"")</f>
        <v>2</v>
      </c>
      <c r="K28" s="54">
        <f>IFERROR(INDEX('Rischio residuo'!$J$2:$J$32,MATCH($A28,'Rischio residuo'!$A$2:$A$32,0)),"")</f>
        <v>4</v>
      </c>
      <c r="L28" s="54">
        <f t="shared" si="2"/>
        <v>8</v>
      </c>
      <c r="M28" s="53" t="str">
        <f t="shared" si="3"/>
        <v>Medio</v>
      </c>
      <c r="N28" s="58" t="str">
        <f>IF($M28="","",IF($M28="Basso","Accettazione",IF(IFERROR(INDEX('Rischio residuo'!$F$2:$F$32,MATCH($A28,'Rischio residuo'!$A$2:$A$32,0)),0)=0,"Trasferimento","Mitigazione")))</f>
        <v>Mitigazione</v>
      </c>
      <c r="O28" s="169" t="s">
        <v>708</v>
      </c>
      <c r="P28" s="169" t="s">
        <v>709</v>
      </c>
      <c r="Q28" s="53" t="s">
        <v>39</v>
      </c>
      <c r="R28" s="55" t="s">
        <v>53</v>
      </c>
      <c r="S28" s="55" t="str">
        <f t="shared" si="4"/>
        <v>MONITORATO</v>
      </c>
      <c r="T28" s="50"/>
      <c r="U28" s="237"/>
    </row>
    <row r="29" spans="1:21" ht="100">
      <c r="A29" s="53">
        <v>28</v>
      </c>
      <c r="B29" s="53" t="s">
        <v>77</v>
      </c>
      <c r="C29" s="53" t="s">
        <v>30</v>
      </c>
      <c r="D29" s="53" t="s">
        <v>34</v>
      </c>
      <c r="E29" s="53">
        <v>2</v>
      </c>
      <c r="F29" s="53">
        <v>4</v>
      </c>
      <c r="G29" s="53">
        <f t="shared" si="5"/>
        <v>8</v>
      </c>
      <c r="H29" s="53" t="str">
        <f t="shared" si="6"/>
        <v>Medio</v>
      </c>
      <c r="I29" s="53" t="s">
        <v>685</v>
      </c>
      <c r="J29" s="54">
        <f>IFERROR(INDEX('Rischio residuo'!$I$2:$I$32,MATCH($A29,'Rischio residuo'!$A$2:$A$32,0)),"")</f>
        <v>1</v>
      </c>
      <c r="K29" s="54">
        <f>IFERROR(INDEX('Rischio residuo'!$J$2:$J$32,MATCH($A29,'Rischio residuo'!$A$2:$A$32,0)),"")</f>
        <v>4</v>
      </c>
      <c r="L29" s="54">
        <f t="shared" si="2"/>
        <v>4</v>
      </c>
      <c r="M29" s="53" t="str">
        <f t="shared" si="3"/>
        <v>Basso</v>
      </c>
      <c r="N29" s="58" t="str">
        <f>IF($M29="","",IF($M29="Basso","Accettazione",IF(IFERROR(INDEX('Rischio residuo'!$F$2:$F$32,MATCH($A29,'Rischio residuo'!$A$2:$A$32,0)),0)=0,"Trasferimento","Mitigazione")))</f>
        <v>Accettazione</v>
      </c>
      <c r="O29" s="169"/>
      <c r="P29" s="169"/>
      <c r="Q29" s="53" t="s">
        <v>39</v>
      </c>
      <c r="R29" s="55" t="s">
        <v>54</v>
      </c>
      <c r="S29" s="55" t="str">
        <f t="shared" si="4"/>
        <v>CHIUSO</v>
      </c>
      <c r="T29" s="50"/>
      <c r="U29" s="237"/>
    </row>
    <row r="30" spans="1:21" ht="409.6">
      <c r="A30" s="53">
        <v>29</v>
      </c>
      <c r="B30" s="53" t="s">
        <v>78</v>
      </c>
      <c r="C30" s="53" t="s">
        <v>30</v>
      </c>
      <c r="D30" s="53" t="s">
        <v>814</v>
      </c>
      <c r="E30" s="53">
        <v>3</v>
      </c>
      <c r="F30" s="53">
        <v>5</v>
      </c>
      <c r="G30" s="53">
        <f t="shared" si="5"/>
        <v>15</v>
      </c>
      <c r="H30" s="53" t="str">
        <f t="shared" si="6"/>
        <v>Alto</v>
      </c>
      <c r="I30" s="53" t="s">
        <v>822</v>
      </c>
      <c r="J30" s="54">
        <f>IFERROR(INDEX('Rischio residuo'!$I$2:$I$32,MATCH($A30,'Rischio residuo'!$A$2:$A$32,0)),"")</f>
        <v>2</v>
      </c>
      <c r="K30" s="54">
        <f>IFERROR(INDEX('Rischio residuo'!$J$2:$J$32,MATCH($A30,'Rischio residuo'!$A$2:$A$32,0)),"")</f>
        <v>5</v>
      </c>
      <c r="L30" s="54">
        <f t="shared" si="2"/>
        <v>10</v>
      </c>
      <c r="M30" s="53" t="str">
        <f t="shared" si="3"/>
        <v>Alto</v>
      </c>
      <c r="N30" s="58" t="str">
        <f>IF($M30="","",IF($M30="Basso","Accettazione",IF(IFERROR(INDEX('Rischio residuo'!$F$2:$F$32,MATCH($A30,'Rischio residuo'!$A$2:$A$32,0)),0)=0,"Trasferimento","Mitigazione")))</f>
        <v>Mitigazione</v>
      </c>
      <c r="O30" s="169" t="s">
        <v>710</v>
      </c>
      <c r="P30" s="169" t="s">
        <v>823</v>
      </c>
      <c r="Q30" s="53" t="s">
        <v>39</v>
      </c>
      <c r="R30" s="55" t="s">
        <v>40</v>
      </c>
      <c r="S30" s="55" t="str">
        <f t="shared" si="4"/>
        <v>MONITORATO</v>
      </c>
      <c r="T30" s="50"/>
      <c r="U30" s="237"/>
    </row>
    <row r="31" spans="1:21" ht="240">
      <c r="A31" s="53">
        <v>30</v>
      </c>
      <c r="B31" s="53" t="s">
        <v>79</v>
      </c>
      <c r="C31" s="53" t="s">
        <v>30</v>
      </c>
      <c r="D31" s="53" t="s">
        <v>84</v>
      </c>
      <c r="E31" s="53">
        <v>3</v>
      </c>
      <c r="F31" s="53">
        <v>4</v>
      </c>
      <c r="G31" s="53">
        <f t="shared" si="5"/>
        <v>12</v>
      </c>
      <c r="H31" s="53" t="str">
        <f t="shared" si="6"/>
        <v>Alto</v>
      </c>
      <c r="I31" s="53" t="s">
        <v>686</v>
      </c>
      <c r="J31" s="54">
        <f>IFERROR(INDEX('Rischio residuo'!$I$2:$I$32,MATCH($A31,'Rischio residuo'!$A$2:$A$32,0)),"")</f>
        <v>2</v>
      </c>
      <c r="K31" s="54">
        <f>IFERROR(INDEX('Rischio residuo'!$J$2:$J$32,MATCH($A31,'Rischio residuo'!$A$2:$A$32,0)),"")</f>
        <v>4</v>
      </c>
      <c r="L31" s="54">
        <f t="shared" si="2"/>
        <v>8</v>
      </c>
      <c r="M31" s="53" t="str">
        <f t="shared" si="3"/>
        <v>Medio</v>
      </c>
      <c r="N31" s="58" t="str">
        <f>IF($M31="","",IF($M31="Basso","Accettazione",IF(IFERROR(INDEX('Rischio residuo'!$F$2:$F$32,MATCH($A31,'Rischio residuo'!$A$2:$A$32,0)),0)=0,"Trasferimento","Mitigazione")))</f>
        <v>Mitigazione</v>
      </c>
      <c r="O31" s="169" t="s">
        <v>711</v>
      </c>
      <c r="P31" s="169" t="s">
        <v>826</v>
      </c>
      <c r="Q31" s="53" t="s">
        <v>39</v>
      </c>
      <c r="R31" s="55" t="s">
        <v>40</v>
      </c>
      <c r="S31" s="55" t="str">
        <f t="shared" si="4"/>
        <v>MONITORATO</v>
      </c>
      <c r="T31" s="50"/>
      <c r="U31" s="237"/>
    </row>
    <row r="32" spans="1:21" ht="180">
      <c r="A32" s="240">
        <v>31</v>
      </c>
      <c r="B32" s="240" t="s">
        <v>80</v>
      </c>
      <c r="C32" s="240" t="s">
        <v>30</v>
      </c>
      <c r="D32" s="240" t="s">
        <v>815</v>
      </c>
      <c r="E32" s="240">
        <v>2</v>
      </c>
      <c r="F32" s="240">
        <v>5</v>
      </c>
      <c r="G32" s="240">
        <f t="shared" si="5"/>
        <v>10</v>
      </c>
      <c r="H32" s="240" t="str">
        <f t="shared" si="6"/>
        <v>Alto</v>
      </c>
      <c r="I32" s="240" t="s">
        <v>687</v>
      </c>
      <c r="J32" s="241">
        <f>IFERROR(INDEX('Rischio residuo'!$I$2:$I$32,MATCH($A32,'Rischio residuo'!$A$2:$A$32,0)),"")</f>
        <v>1</v>
      </c>
      <c r="K32" s="241">
        <f>IFERROR(INDEX('Rischio residuo'!$J$2:$J$32,MATCH($A32,'Rischio residuo'!$A$2:$A$32,0)),"")</f>
        <v>5</v>
      </c>
      <c r="L32" s="241">
        <f>J32*K32</f>
        <v>5</v>
      </c>
      <c r="M32" s="240" t="str">
        <f t="shared" si="3"/>
        <v>Medio</v>
      </c>
      <c r="N32" s="242" t="str">
        <f>IF($M32="","",IF($M32="Basso","Accettazione",IF(IFERROR(INDEX('Rischio residuo'!$F$2:$F$32,MATCH($A32,'Rischio residuo'!$A$2:$A$32,0)),0)=0,"Trasferimento","Mitigazione")))</f>
        <v>Mitigazione</v>
      </c>
      <c r="O32" s="243" t="s">
        <v>712</v>
      </c>
      <c r="P32" s="243" t="s">
        <v>713</v>
      </c>
      <c r="Q32" s="240" t="s">
        <v>39</v>
      </c>
      <c r="R32" s="244" t="s">
        <v>40</v>
      </c>
      <c r="S32" s="244" t="str">
        <f t="shared" si="4"/>
        <v>MONITORATO</v>
      </c>
      <c r="T32" s="50"/>
      <c r="U32" s="237"/>
    </row>
    <row r="33" spans="1:21" ht="20">
      <c r="A33" s="53"/>
      <c r="T33" s="50"/>
      <c r="U33" s="237"/>
    </row>
    <row r="34" spans="1:21" ht="20">
      <c r="A34" s="53"/>
      <c r="B34" s="53"/>
      <c r="C34" s="53"/>
      <c r="D34" s="53"/>
      <c r="E34" s="53"/>
      <c r="F34" s="53"/>
      <c r="G34" s="53"/>
      <c r="H34" s="53"/>
      <c r="I34" s="53"/>
      <c r="J34" s="54"/>
      <c r="K34" s="54"/>
      <c r="L34" s="53"/>
      <c r="M34" s="53"/>
      <c r="N34" s="58"/>
      <c r="O34" s="53"/>
      <c r="P34" s="53"/>
      <c r="Q34" s="53"/>
      <c r="R34" s="167"/>
      <c r="S34" s="167"/>
      <c r="T34" s="50"/>
      <c r="U34" s="237"/>
    </row>
    <row r="35" spans="1:21" ht="20">
      <c r="A35" s="3"/>
      <c r="B35" s="3"/>
      <c r="C35" s="3"/>
      <c r="D35" s="3"/>
      <c r="E35" s="2"/>
      <c r="F35" s="2"/>
      <c r="G35" s="1"/>
      <c r="H35" s="1"/>
      <c r="I35" s="3"/>
      <c r="J35" s="2"/>
      <c r="K35" s="2"/>
      <c r="L35" s="1"/>
      <c r="M35" s="1"/>
      <c r="N35" s="1"/>
      <c r="Q35" s="238"/>
      <c r="R35" s="238"/>
      <c r="S35" s="238"/>
      <c r="U35" s="237"/>
    </row>
    <row r="36" spans="1:21" ht="20">
      <c r="A36" s="3"/>
      <c r="B36" s="3"/>
      <c r="C36" s="3"/>
      <c r="D36" s="3"/>
      <c r="E36" s="2"/>
      <c r="F36" s="2"/>
      <c r="G36" s="1"/>
      <c r="H36" s="1"/>
      <c r="I36" s="3"/>
      <c r="J36" s="2"/>
      <c r="K36" s="2"/>
      <c r="L36" s="1"/>
      <c r="M36" s="1"/>
      <c r="N36" s="1"/>
      <c r="O36" s="3"/>
      <c r="P36" s="3"/>
      <c r="Q36" s="238"/>
      <c r="R36" s="238"/>
      <c r="S36" s="239"/>
      <c r="T36" s="168"/>
      <c r="U36" s="237"/>
    </row>
    <row r="37" spans="1:21" ht="20">
      <c r="A37" s="3"/>
      <c r="B37" s="3"/>
      <c r="C37" s="3"/>
      <c r="D37" s="3"/>
      <c r="E37" s="2"/>
      <c r="F37" s="2"/>
      <c r="G37" s="1"/>
      <c r="H37" s="1"/>
      <c r="I37" s="3"/>
      <c r="J37" s="2"/>
      <c r="K37" s="2"/>
      <c r="L37" s="1"/>
      <c r="M37" s="1"/>
      <c r="N37" s="1"/>
      <c r="O37" s="3"/>
      <c r="P37" s="3"/>
      <c r="Q37" s="238"/>
      <c r="R37" s="238"/>
      <c r="S37" s="238"/>
      <c r="U37" s="237"/>
    </row>
    <row r="38" spans="1:21" ht="20">
      <c r="A38" s="3"/>
      <c r="B38" s="3"/>
      <c r="C38" s="3"/>
      <c r="D38" s="3"/>
      <c r="E38" s="2"/>
      <c r="F38" s="2"/>
      <c r="G38" s="1"/>
      <c r="H38" s="1"/>
      <c r="I38" s="3"/>
      <c r="J38" s="2"/>
      <c r="K38" s="2"/>
      <c r="L38" s="1"/>
      <c r="M38" s="1"/>
      <c r="N38" s="1"/>
      <c r="P38" s="3"/>
      <c r="Q38" s="238"/>
      <c r="R38" s="238"/>
      <c r="S38" s="238"/>
      <c r="U38" s="237"/>
    </row>
    <row r="39" spans="1:21" ht="20">
      <c r="A39" s="3"/>
      <c r="B39" s="3"/>
      <c r="C39" s="3"/>
      <c r="D39" s="3"/>
      <c r="E39" s="2"/>
      <c r="F39" s="2"/>
      <c r="G39" s="1"/>
      <c r="H39" s="1"/>
      <c r="I39" s="3"/>
      <c r="J39" s="2"/>
      <c r="K39" s="2"/>
      <c r="L39" s="1"/>
      <c r="M39" s="1"/>
      <c r="N39" s="1"/>
      <c r="O39" s="3"/>
      <c r="P39" s="3"/>
      <c r="Q39" s="238"/>
      <c r="R39" s="238"/>
      <c r="S39" s="238"/>
      <c r="U39" s="237"/>
    </row>
    <row r="40" spans="1:21" ht="20">
      <c r="A40" s="3"/>
      <c r="B40" s="3"/>
      <c r="C40" s="3"/>
      <c r="D40" s="3"/>
      <c r="E40" s="2"/>
      <c r="F40" s="2"/>
      <c r="G40" s="1"/>
      <c r="H40" s="1"/>
      <c r="I40" s="3"/>
      <c r="J40" s="2"/>
      <c r="K40" s="2"/>
      <c r="L40" s="1"/>
      <c r="M40" s="1"/>
      <c r="N40" s="1"/>
      <c r="O40" s="3"/>
      <c r="P40" s="3"/>
      <c r="Q40" s="238"/>
      <c r="R40" s="238"/>
      <c r="S40" s="238"/>
      <c r="U40" s="237"/>
    </row>
    <row r="41" spans="1:21" ht="20">
      <c r="A41" s="3"/>
      <c r="B41" s="3"/>
      <c r="C41" s="3"/>
      <c r="D41" s="3"/>
      <c r="E41" s="2"/>
      <c r="F41" s="2"/>
      <c r="G41" s="1"/>
      <c r="H41" s="1"/>
      <c r="I41" s="3"/>
      <c r="J41" s="2"/>
      <c r="K41" s="2"/>
      <c r="L41" s="1"/>
      <c r="M41" s="1"/>
      <c r="N41" s="1"/>
      <c r="O41" s="3"/>
      <c r="P41" s="3"/>
      <c r="Q41" s="238"/>
      <c r="R41" s="238"/>
      <c r="S41" s="238"/>
      <c r="U41" s="237"/>
    </row>
    <row r="42" spans="1:21" ht="20">
      <c r="A42" s="3"/>
      <c r="B42" s="3"/>
      <c r="C42" s="3"/>
      <c r="D42" s="3"/>
      <c r="E42" s="2"/>
      <c r="F42" s="2"/>
      <c r="G42" s="1"/>
      <c r="H42" s="1"/>
      <c r="I42" s="3"/>
      <c r="J42" s="2"/>
      <c r="K42" s="2"/>
      <c r="L42" s="1"/>
      <c r="M42" s="1"/>
      <c r="N42" s="1"/>
      <c r="O42" s="3"/>
      <c r="P42" s="3"/>
      <c r="Q42" s="238"/>
      <c r="R42" s="238"/>
      <c r="S42" s="238"/>
      <c r="U42" s="237"/>
    </row>
    <row r="43" spans="1:21" ht="20">
      <c r="A43" s="3"/>
      <c r="B43" s="3"/>
      <c r="C43" s="3"/>
      <c r="D43" s="3"/>
      <c r="E43" s="2"/>
      <c r="F43" s="2"/>
      <c r="G43" s="1"/>
      <c r="H43" s="1"/>
      <c r="I43" s="3"/>
      <c r="J43" s="2"/>
      <c r="K43" s="2"/>
      <c r="L43" s="1"/>
      <c r="M43" s="1"/>
      <c r="N43" s="1"/>
      <c r="O43" s="3"/>
      <c r="P43" s="3"/>
      <c r="Q43" s="238"/>
      <c r="R43" s="238"/>
      <c r="S43" s="238"/>
      <c r="U43" s="237"/>
    </row>
    <row r="44" spans="1:21" ht="20">
      <c r="A44" s="3"/>
      <c r="B44" s="3"/>
      <c r="C44" s="3"/>
      <c r="D44" s="3"/>
      <c r="E44" s="2"/>
      <c r="F44" s="2"/>
      <c r="G44" s="1"/>
      <c r="H44" s="1"/>
      <c r="I44" s="3"/>
      <c r="J44" s="2"/>
      <c r="K44" s="2"/>
      <c r="L44" s="1"/>
      <c r="M44" s="1"/>
      <c r="N44" s="1"/>
      <c r="O44" s="3"/>
      <c r="P44" s="3"/>
      <c r="Q44" s="238"/>
      <c r="R44" s="238"/>
      <c r="S44" s="238"/>
      <c r="U44" s="237"/>
    </row>
    <row r="45" spans="1:21" ht="20">
      <c r="A45" s="3"/>
      <c r="B45" s="3"/>
      <c r="C45" s="3"/>
      <c r="D45" s="3"/>
      <c r="E45" s="2"/>
      <c r="F45" s="2"/>
      <c r="G45" s="1"/>
      <c r="H45" s="1"/>
      <c r="I45" s="3"/>
      <c r="J45" s="2"/>
      <c r="K45" s="2"/>
      <c r="L45" s="1"/>
      <c r="M45" s="1"/>
      <c r="N45" s="1"/>
      <c r="O45" s="3"/>
      <c r="P45" s="3"/>
      <c r="Q45" s="238"/>
      <c r="R45" s="238"/>
      <c r="S45" s="238"/>
      <c r="U45" s="237"/>
    </row>
    <row r="46" spans="1:21" ht="20">
      <c r="A46" s="3"/>
      <c r="B46" s="3"/>
      <c r="C46" s="3"/>
      <c r="D46" s="3"/>
      <c r="E46" s="2"/>
      <c r="F46" s="2"/>
      <c r="G46" s="1"/>
      <c r="H46" s="1"/>
      <c r="I46" s="3"/>
      <c r="J46" s="2"/>
      <c r="K46" s="2"/>
      <c r="L46" s="1"/>
      <c r="M46" s="1"/>
      <c r="N46" s="1"/>
      <c r="O46" s="3"/>
      <c r="P46" s="3"/>
      <c r="Q46" s="238"/>
      <c r="R46" s="238"/>
      <c r="S46" s="238"/>
      <c r="U46" s="237"/>
    </row>
    <row r="47" spans="1:21" ht="20">
      <c r="A47" s="3"/>
      <c r="B47" s="3"/>
      <c r="C47" s="3"/>
      <c r="D47" s="3"/>
      <c r="E47" s="2"/>
      <c r="F47" s="2"/>
      <c r="G47" s="1"/>
      <c r="H47" s="1"/>
      <c r="I47" s="3"/>
      <c r="J47" s="2"/>
      <c r="K47" s="2"/>
      <c r="L47" s="1"/>
      <c r="M47" s="1"/>
      <c r="N47" s="1"/>
      <c r="O47" s="3"/>
      <c r="P47" s="3"/>
      <c r="Q47" s="238"/>
      <c r="R47" s="238"/>
      <c r="S47" s="238"/>
      <c r="U47" s="237"/>
    </row>
    <row r="48" spans="1:21" ht="20">
      <c r="A48" s="3"/>
      <c r="B48" s="3"/>
      <c r="C48" s="3"/>
      <c r="D48" s="3"/>
      <c r="E48" s="2"/>
      <c r="F48" s="2"/>
      <c r="G48" s="1"/>
      <c r="H48" s="1"/>
      <c r="I48" s="3"/>
      <c r="J48" s="2"/>
      <c r="K48" s="2"/>
      <c r="L48" s="1"/>
      <c r="M48" s="1"/>
      <c r="N48" s="1"/>
      <c r="O48" s="3"/>
      <c r="P48" s="3"/>
      <c r="Q48" s="238"/>
      <c r="R48" s="238"/>
      <c r="S48" s="238"/>
      <c r="U48" s="237"/>
    </row>
    <row r="49" spans="1:21" ht="20">
      <c r="A49" s="3"/>
      <c r="B49" s="3"/>
      <c r="C49" s="3"/>
      <c r="D49" s="3"/>
      <c r="E49" s="2"/>
      <c r="F49" s="2"/>
      <c r="G49" s="1"/>
      <c r="H49" s="1"/>
      <c r="I49" s="3"/>
      <c r="J49" s="2"/>
      <c r="K49" s="2"/>
      <c r="L49" s="1"/>
      <c r="M49" s="1"/>
      <c r="N49" s="1"/>
      <c r="O49" s="3"/>
      <c r="P49" s="3"/>
      <c r="Q49" s="238"/>
      <c r="R49" s="238"/>
      <c r="S49" s="238"/>
      <c r="U49" s="237"/>
    </row>
    <row r="50" spans="1:21" ht="20">
      <c r="A50" s="3"/>
      <c r="B50" s="3"/>
      <c r="C50" s="3"/>
      <c r="D50" s="3"/>
      <c r="E50" s="2"/>
      <c r="F50" s="2"/>
      <c r="G50" s="1"/>
      <c r="H50" s="1"/>
      <c r="I50" s="3"/>
      <c r="J50" s="2"/>
      <c r="K50" s="2"/>
      <c r="L50" s="1"/>
      <c r="M50" s="1"/>
      <c r="N50" s="1"/>
      <c r="O50" s="3"/>
      <c r="P50" s="3"/>
      <c r="Q50" s="238"/>
      <c r="R50" s="238"/>
      <c r="S50" s="238"/>
      <c r="U50" s="237"/>
    </row>
    <row r="51" spans="1:21" ht="20">
      <c r="A51" s="3"/>
      <c r="B51" s="3"/>
      <c r="C51" s="3"/>
      <c r="D51" s="3"/>
      <c r="E51" s="2"/>
      <c r="F51" s="2"/>
      <c r="G51" s="1"/>
      <c r="H51" s="1"/>
      <c r="I51" s="3"/>
      <c r="J51" s="2"/>
      <c r="K51" s="2"/>
      <c r="L51" s="1"/>
      <c r="M51" s="1"/>
      <c r="N51" s="1"/>
      <c r="O51" s="3"/>
      <c r="P51" s="3"/>
      <c r="Q51" s="238"/>
      <c r="R51" s="238"/>
      <c r="S51" s="238"/>
      <c r="U51" s="237"/>
    </row>
  </sheetData>
  <conditionalFormatting sqref="H2:H32 M2:M32 H34 M34">
    <cfRule type="cellIs" dxfId="27" priority="11" operator="equal">
      <formula>"Basso"</formula>
    </cfRule>
    <cfRule type="cellIs" dxfId="26" priority="12" operator="equal">
      <formula>"Medio"</formula>
    </cfRule>
    <cfRule type="cellIs" dxfId="25" priority="13" operator="equal">
      <formula>"Alto"</formula>
    </cfRule>
    <cfRule type="cellIs" dxfId="24" priority="14" operator="equal">
      <formula>"Critico"</formula>
    </cfRule>
  </conditionalFormatting>
  <conditionalFormatting sqref="I1 L1:U1 H1:H32 M2:M32 M34 H34:H51 M35:N51">
    <cfRule type="containsText" dxfId="23" priority="10" operator="containsText" text="Alto">
      <formula>NOT(ISERROR(SEARCH("Alto",H1)))</formula>
    </cfRule>
  </conditionalFormatting>
  <conditionalFormatting sqref="L1:U1 I1 H1:H32 M2:M32 M34 H34:H51 M35:N51">
    <cfRule type="containsText" dxfId="22" priority="9" operator="containsText" text="Medio">
      <formula>NOT(ISERROR(SEARCH("Medio",H1)))</formula>
    </cfRule>
  </conditionalFormatting>
  <conditionalFormatting sqref="S2:S32 S34">
    <cfRule type="containsText" dxfId="21" priority="21" operator="containsText" text="CHIUSO">
      <formula>NOT(ISERROR(SEARCH("CHIUSO",S2)))</formula>
    </cfRule>
    <cfRule type="containsText" dxfId="20" priority="22" operator="containsText" text="MONITORATO">
      <formula>NOT(ISERROR(SEARCH("MONITORATO",S2)))</formula>
    </cfRule>
    <cfRule type="containsText" dxfId="19" priority="23" operator="containsText" text="APERTO">
      <formula>NOT(ISERROR(SEARCH("APERTO",S2)))</formula>
    </cfRule>
  </conditionalFormatting>
  <conditionalFormatting sqref="T2:T34">
    <cfRule type="containsText" dxfId="18" priority="19" operator="containsText" text="Nessuna">
      <formula>NOT(ISERROR(SEARCH("Nessuna",T2)))</formula>
    </cfRule>
    <cfRule type="containsText" dxfId="17" priority="20" operator="containsText" text="Trattamento">
      <formula>NOT(ISERROR(SEARCH("Trattamento",T2)))</formula>
    </cfRule>
  </conditionalFormatting>
  <conditionalFormatting sqref="U1">
    <cfRule type="cellIs" dxfId="16" priority="3" operator="equal">
      <formula>"Basso"</formula>
    </cfRule>
  </conditionalFormatting>
  <conditionalFormatting sqref="U2:U9 U11:U51">
    <cfRule type="containsText" dxfId="15" priority="1" operator="containsText" text="APERTO">
      <formula>NOT(ISERROR(SEARCH("APERTO",U2)))</formula>
    </cfRule>
    <cfRule type="containsText" dxfId="14" priority="2" operator="containsText" text="MONITORATO">
      <formula>NOT(ISERROR(SEARCH("MONITORATO",U2)))</formula>
    </cfRule>
  </conditionalFormatting>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7466E-AAB0-4742-9171-26575CA39CFD}">
  <dimension ref="A1:CA101"/>
  <sheetViews>
    <sheetView topLeftCell="B1" zoomScale="66" workbookViewId="0">
      <pane ySplit="1" topLeftCell="A2" activePane="bottomLeft" state="frozen"/>
      <selection pane="bottomLeft" activeCell="A58" sqref="A58"/>
    </sheetView>
  </sheetViews>
  <sheetFormatPr baseColWidth="10" defaultRowHeight="16"/>
  <cols>
    <col min="1" max="1" width="9.1640625" customWidth="1"/>
    <col min="2" max="2" width="41.6640625" customWidth="1"/>
    <col min="3" max="3" width="29.1640625" customWidth="1"/>
    <col min="4" max="4" width="66.6640625" customWidth="1"/>
    <col min="5" max="7" width="11.6640625" customWidth="1"/>
    <col min="8" max="8" width="24.33203125" customWidth="1"/>
    <col min="9" max="9" width="14.1640625" customWidth="1"/>
    <col min="10" max="10" width="15.83203125" customWidth="1"/>
    <col min="12" max="12" width="21.6640625" customWidth="1"/>
    <col min="13" max="13" width="12.5" customWidth="1"/>
    <col min="14" max="15" width="15.83203125" customWidth="1"/>
  </cols>
  <sheetData>
    <row r="1" spans="1:25" ht="30" customHeight="1">
      <c r="A1" s="9" t="s">
        <v>85</v>
      </c>
      <c r="B1" s="10" t="s">
        <v>86</v>
      </c>
      <c r="C1" s="10" t="s">
        <v>87</v>
      </c>
      <c r="D1" s="10" t="s">
        <v>88</v>
      </c>
      <c r="E1" s="10" t="s">
        <v>89</v>
      </c>
      <c r="F1" s="10" t="s">
        <v>90</v>
      </c>
      <c r="G1" s="11" t="s">
        <v>91</v>
      </c>
      <c r="H1" s="59" t="s">
        <v>218</v>
      </c>
      <c r="I1" s="59" t="s">
        <v>219</v>
      </c>
      <c r="J1" s="47" t="s">
        <v>223</v>
      </c>
      <c r="K1" s="226"/>
      <c r="L1" s="96"/>
      <c r="M1" s="96"/>
      <c r="O1" s="96"/>
      <c r="P1" s="96"/>
    </row>
    <row r="2" spans="1:25">
      <c r="A2" s="12">
        <v>1</v>
      </c>
      <c r="B2" s="13" t="str">
        <f>IFERROR(INDEX(Tabella!$B$2:$B$32,MATCH($A2,Tabella!$A$2:$A$32,0)),"")</f>
        <v>DEV-CHANGE-INTEGRITY_ISO</v>
      </c>
      <c r="C2" s="13" t="s">
        <v>92</v>
      </c>
      <c r="D2" s="13" t="s">
        <v>93</v>
      </c>
      <c r="E2" s="14">
        <v>0.85</v>
      </c>
      <c r="F2" s="14">
        <v>0.95</v>
      </c>
      <c r="G2" s="15">
        <f>E2*F2</f>
        <v>0.8075</v>
      </c>
      <c r="H2" s="173" t="s">
        <v>220</v>
      </c>
      <c r="I2">
        <f>IF(TRIM(H2)="Primario", 3, IF(TRIM(H2)="Secondario", 2, IF(TRIM(H2)="Supporto", 1, 0)))</f>
        <v>3</v>
      </c>
      <c r="J2" s="48" cm="1">
        <f t="array" ref="J2">IFERROR(SUMPRODUCT(G:G,I:I,--($A:$A=$A2))/SUMIF($A:$A,$A2,I:I),0)</f>
        <v>0.69924999999999993</v>
      </c>
      <c r="L2" s="227"/>
      <c r="M2" s="36"/>
    </row>
    <row r="3" spans="1:25">
      <c r="A3" s="12">
        <v>1</v>
      </c>
      <c r="B3" s="13" t="str">
        <f>IFERROR(INDEX(Tabella!$B$2:$B$32,MATCH($A3,Tabella!$A$2:$A$32,0)),"")</f>
        <v>DEV-CHANGE-INTEGRITY_ISO</v>
      </c>
      <c r="C3" s="13" t="s">
        <v>94</v>
      </c>
      <c r="D3" s="13" t="s">
        <v>95</v>
      </c>
      <c r="E3" s="14">
        <v>0.85</v>
      </c>
      <c r="F3" s="14">
        <v>0.7</v>
      </c>
      <c r="G3" s="15">
        <f>E3*F3</f>
        <v>0.59499999999999997</v>
      </c>
      <c r="H3" s="173" t="s">
        <v>220</v>
      </c>
      <c r="I3">
        <f t="shared" ref="I3:I37" si="0">IF(TRIM(H3)="Primario", 3, IF(TRIM(H3)="Secondario", 2, IF(TRIM(H3)="Supporto", 1, 0)))</f>
        <v>3</v>
      </c>
      <c r="J3" s="48" cm="1">
        <f t="array" ref="J3">IFERROR(SUMPRODUCT(G:G,I:I,--($A:$A=$A3))/SUMIF($A:$A,$A3,I:I),0)</f>
        <v>0.69924999999999993</v>
      </c>
      <c r="L3" s="227"/>
      <c r="M3" s="36"/>
    </row>
    <row r="4" spans="1:25">
      <c r="A4" s="12">
        <v>1</v>
      </c>
      <c r="B4" s="13" t="str">
        <f>IFERROR(INDEX(Tabella!$B$2:$B$32,MATCH($A4,Tabella!$A$2:$A$32,0)),"")</f>
        <v>DEV-CHANGE-INTEGRITY_ISO</v>
      </c>
      <c r="C4" s="13" t="s">
        <v>96</v>
      </c>
      <c r="D4" s="13" t="s">
        <v>97</v>
      </c>
      <c r="E4" s="14">
        <v>0.95</v>
      </c>
      <c r="F4" s="14">
        <v>0.95</v>
      </c>
      <c r="G4" s="15">
        <f t="shared" ref="G4:G32" si="1">E4*F4</f>
        <v>0.90249999999999997</v>
      </c>
      <c r="H4" s="174" t="s">
        <v>221</v>
      </c>
      <c r="I4">
        <f t="shared" si="0"/>
        <v>2</v>
      </c>
      <c r="J4" s="48" cm="1">
        <f t="array" ref="J4">IFERROR(SUMPRODUCT(G:G,I:I,--($A:$A=$A4))/SUMIF($A:$A,$A4,I:I),0)</f>
        <v>0.69924999999999993</v>
      </c>
      <c r="L4" s="227"/>
      <c r="M4" s="36"/>
    </row>
    <row r="5" spans="1:25" s="85" customFormat="1">
      <c r="A5" s="81">
        <v>1</v>
      </c>
      <c r="B5" s="82" t="str">
        <f>IFERROR(INDEX(Tabella!$B$2:$B$32,MATCH($A5,Tabella!$A$2:$A$32,0)),"")</f>
        <v>DEV-CHANGE-INTEGRITY_ISO</v>
      </c>
      <c r="C5" s="82" t="s">
        <v>98</v>
      </c>
      <c r="D5" s="82" t="s">
        <v>99</v>
      </c>
      <c r="E5" s="83">
        <v>0.7</v>
      </c>
      <c r="F5" s="83">
        <v>0.7</v>
      </c>
      <c r="G5" s="84">
        <f t="shared" si="1"/>
        <v>0.48999999999999994</v>
      </c>
      <c r="H5" s="177" t="s">
        <v>221</v>
      </c>
      <c r="I5" s="85">
        <f t="shared" si="0"/>
        <v>2</v>
      </c>
      <c r="J5" s="48" cm="1">
        <f t="array" ref="J5">IFERROR(SUMPRODUCT(G:G,I:I,--($A:$A=$A5))/SUMIF($A:$A,$A5,I:I),0)</f>
        <v>0.69924999999999993</v>
      </c>
      <c r="K5"/>
      <c r="L5" s="227"/>
      <c r="M5" s="36"/>
      <c r="N5"/>
      <c r="O5"/>
      <c r="P5"/>
      <c r="Q5"/>
      <c r="R5"/>
      <c r="S5"/>
      <c r="T5"/>
      <c r="U5"/>
      <c r="V5"/>
      <c r="W5"/>
      <c r="X5"/>
      <c r="Y5"/>
    </row>
    <row r="6" spans="1:25">
      <c r="A6" s="20">
        <v>2</v>
      </c>
      <c r="B6" s="21" t="str">
        <f>IFERROR(INDEX(Tabella!$B$2:$B$32,MATCH($A6,Tabella!$A$2:$A$32,0)),"")</f>
        <v>DEV-SCALABILITY-LATENCY</v>
      </c>
      <c r="C6" s="21" t="s">
        <v>100</v>
      </c>
      <c r="D6" s="21" t="s">
        <v>101</v>
      </c>
      <c r="E6" s="22">
        <v>0.85</v>
      </c>
      <c r="F6" s="22">
        <v>0.95</v>
      </c>
      <c r="G6" s="23">
        <f t="shared" si="1"/>
        <v>0.8075</v>
      </c>
      <c r="H6" s="173" t="s">
        <v>220</v>
      </c>
      <c r="I6">
        <f t="shared" si="0"/>
        <v>3</v>
      </c>
      <c r="J6" s="48" cm="1">
        <f t="array" ref="J6">IFERROR(SUMPRODUCT(G:G,I:I,--($A:$A=$A6))/SUMIF($A:$A,$A6,I:I),0)</f>
        <v>0.72249999999999992</v>
      </c>
      <c r="L6" s="227"/>
      <c r="M6" s="36"/>
    </row>
    <row r="7" spans="1:25" s="85" customFormat="1">
      <c r="A7" s="86">
        <v>2</v>
      </c>
      <c r="B7" s="87" t="str">
        <f>IFERROR(INDEX(Tabella!$B$2:$B$32,MATCH($A7,Tabella!$A$2:$A$32,0)),"")</f>
        <v>DEV-SCALABILITY-LATENCY</v>
      </c>
      <c r="C7" s="87" t="s">
        <v>102</v>
      </c>
      <c r="D7" s="87" t="s">
        <v>103</v>
      </c>
      <c r="E7" s="88">
        <v>0.7</v>
      </c>
      <c r="F7" s="88">
        <v>0.85</v>
      </c>
      <c r="G7" s="89">
        <f t="shared" si="1"/>
        <v>0.59499999999999997</v>
      </c>
      <c r="H7" s="177" t="s">
        <v>221</v>
      </c>
      <c r="I7" s="85">
        <f t="shared" si="0"/>
        <v>2</v>
      </c>
      <c r="J7" s="48" cm="1">
        <f t="array" ref="J7">IFERROR(SUMPRODUCT(G:G,I:I,--($A:$A=$A7))/SUMIF($A:$A,$A7,I:I),0)</f>
        <v>0.72249999999999992</v>
      </c>
      <c r="K7"/>
      <c r="L7" s="227"/>
      <c r="M7" s="36"/>
      <c r="N7"/>
      <c r="O7"/>
      <c r="P7"/>
      <c r="Q7"/>
      <c r="R7"/>
      <c r="S7"/>
      <c r="T7"/>
      <c r="U7"/>
      <c r="V7"/>
      <c r="W7"/>
      <c r="X7"/>
      <c r="Y7"/>
    </row>
    <row r="8" spans="1:25">
      <c r="A8" s="20">
        <v>3</v>
      </c>
      <c r="B8" s="21" t="str">
        <f>IFERROR(INDEX(Tabella!$B$2:$B$32,MATCH($A8,Tabella!$A$2:$A$32,0)),"")</f>
        <v>DATA-DATASET-POISONING</v>
      </c>
      <c r="C8" s="21" t="s">
        <v>104</v>
      </c>
      <c r="D8" s="21" t="s">
        <v>105</v>
      </c>
      <c r="E8" s="22">
        <v>0.85</v>
      </c>
      <c r="F8" s="22">
        <v>0.7</v>
      </c>
      <c r="G8" s="23">
        <f t="shared" si="1"/>
        <v>0.59499999999999997</v>
      </c>
      <c r="H8" s="173" t="s">
        <v>220</v>
      </c>
      <c r="I8">
        <f t="shared" si="0"/>
        <v>3</v>
      </c>
      <c r="J8" s="48" cm="1">
        <f t="array" ref="J8">IFERROR(SUMPRODUCT(G:G,I:I,--($A:$A=$A8))/SUMIF($A:$A,$A8,I:I),0)</f>
        <v>0.56874999999999998</v>
      </c>
      <c r="L8" s="227"/>
      <c r="M8" s="36"/>
    </row>
    <row r="9" spans="1:25" s="85" customFormat="1">
      <c r="A9" s="86">
        <v>3</v>
      </c>
      <c r="B9" s="87" t="str">
        <f>IFERROR(INDEX(Tabella!$B$2:$B$32,MATCH($A9,Tabella!$A$2:$A$32,0)),"")</f>
        <v>DATA-DATASET-POISONING</v>
      </c>
      <c r="C9" s="87" t="s">
        <v>106</v>
      </c>
      <c r="D9" s="87" t="s">
        <v>107</v>
      </c>
      <c r="E9" s="88">
        <v>0.7</v>
      </c>
      <c r="F9" s="88">
        <v>0.7</v>
      </c>
      <c r="G9" s="89">
        <f t="shared" si="1"/>
        <v>0.48999999999999994</v>
      </c>
      <c r="H9" s="178" t="s">
        <v>222</v>
      </c>
      <c r="I9" s="85">
        <f t="shared" si="0"/>
        <v>1</v>
      </c>
      <c r="J9" s="48" cm="1">
        <f t="array" ref="J9">IFERROR(SUMPRODUCT(G:G,I:I,--($A:$A=$A9))/SUMIF($A:$A,$A9,I:I),0)</f>
        <v>0.56874999999999998</v>
      </c>
      <c r="K9"/>
      <c r="L9" s="227"/>
      <c r="M9" s="36"/>
      <c r="N9"/>
      <c r="O9"/>
      <c r="P9"/>
      <c r="Q9"/>
      <c r="R9"/>
      <c r="S9"/>
      <c r="T9"/>
      <c r="U9"/>
      <c r="V9"/>
      <c r="W9"/>
      <c r="X9"/>
      <c r="Y9"/>
    </row>
    <row r="10" spans="1:25">
      <c r="A10" s="20">
        <v>4</v>
      </c>
      <c r="B10" s="21" t="str">
        <f>IFERROR(INDEX(Tabella!$B$2:$B$32,MATCH($A10,Tabella!$A$2:$A$32,0)),"")</f>
        <v>DATA-QUALITY-VALIDATION</v>
      </c>
      <c r="C10" s="21" t="s">
        <v>108</v>
      </c>
      <c r="D10" s="21" t="s">
        <v>109</v>
      </c>
      <c r="E10" s="22">
        <v>0.7</v>
      </c>
      <c r="F10" s="22">
        <v>0.95</v>
      </c>
      <c r="G10" s="23">
        <f t="shared" si="1"/>
        <v>0.66499999999999992</v>
      </c>
      <c r="H10" s="173" t="s">
        <v>220</v>
      </c>
      <c r="I10">
        <f t="shared" si="0"/>
        <v>3</v>
      </c>
      <c r="J10" s="48" cm="1">
        <f t="array" ref="J10">IFERROR(SUMPRODUCT(G:G,I:I,--($A:$A=$A10))/SUMIF($A:$A,$A10,I:I),0)</f>
        <v>0.62124999999999997</v>
      </c>
      <c r="L10" s="227"/>
      <c r="M10" s="36"/>
    </row>
    <row r="11" spans="1:25">
      <c r="A11" s="20">
        <v>4</v>
      </c>
      <c r="B11" s="21" t="str">
        <f>IFERROR(INDEX(Tabella!$B$2:$B$32,MATCH($A11,Tabella!$A$2:$A$32,0)),"")</f>
        <v>DATA-QUALITY-VALIDATION</v>
      </c>
      <c r="C11" s="21" t="s">
        <v>110</v>
      </c>
      <c r="D11" s="21" t="s">
        <v>111</v>
      </c>
      <c r="E11" s="22">
        <v>0.85</v>
      </c>
      <c r="F11" s="22">
        <v>0.7</v>
      </c>
      <c r="G11" s="23">
        <f t="shared" si="1"/>
        <v>0.59499999999999997</v>
      </c>
      <c r="H11" s="174" t="s">
        <v>221</v>
      </c>
      <c r="I11">
        <f t="shared" si="0"/>
        <v>2</v>
      </c>
      <c r="J11" s="48" cm="1">
        <f t="array" ref="J11">IFERROR(SUMPRODUCT(G:G,I:I,--($A:$A=$A11))/SUMIF($A:$A,$A11,I:I),0)</f>
        <v>0.62124999999999997</v>
      </c>
      <c r="L11" s="227"/>
      <c r="M11" s="36"/>
    </row>
    <row r="12" spans="1:25" s="85" customFormat="1">
      <c r="A12" s="81">
        <v>4</v>
      </c>
      <c r="B12" s="82" t="str">
        <f>IFERROR(INDEX(Tabella!$B$2:$B$32,MATCH($A12,Tabella!$A$2:$A$32,0)),"")</f>
        <v>DATA-QUALITY-VALIDATION</v>
      </c>
      <c r="C12" s="82" t="s">
        <v>112</v>
      </c>
      <c r="D12" s="82" t="s">
        <v>113</v>
      </c>
      <c r="E12" s="83">
        <v>0.85</v>
      </c>
      <c r="F12" s="83">
        <v>0.7</v>
      </c>
      <c r="G12" s="84">
        <f t="shared" si="1"/>
        <v>0.59499999999999997</v>
      </c>
      <c r="H12" s="179" t="s">
        <v>220</v>
      </c>
      <c r="I12" s="85">
        <f t="shared" si="0"/>
        <v>3</v>
      </c>
      <c r="J12" s="48" cm="1">
        <f t="array" ref="J12">IFERROR(SUMPRODUCT(G:G,I:I,--($A:$A=$A12))/SUMIF($A:$A,$A12,I:I),0)</f>
        <v>0.62124999999999997</v>
      </c>
      <c r="K12"/>
      <c r="L12" s="227"/>
      <c r="M12" s="36"/>
      <c r="N12"/>
      <c r="O12"/>
      <c r="P12"/>
      <c r="Q12"/>
      <c r="R12"/>
      <c r="S12"/>
      <c r="T12"/>
      <c r="U12"/>
      <c r="V12"/>
      <c r="W12"/>
      <c r="X12"/>
      <c r="Y12"/>
    </row>
    <row r="13" spans="1:25">
      <c r="A13" s="20">
        <v>5</v>
      </c>
      <c r="B13" s="21" t="str">
        <f>IFERROR(INDEX(Tabella!$B$2:$B$32,MATCH($A13,Tabella!$A$2:$A$32,0)),"")</f>
        <v>IMP-SYSTEM-INTEGRATION-CONFIGURATION</v>
      </c>
      <c r="C13" s="21" t="s">
        <v>114</v>
      </c>
      <c r="D13" s="21" t="s">
        <v>115</v>
      </c>
      <c r="E13" s="22">
        <v>0.7</v>
      </c>
      <c r="F13" s="22">
        <v>0.7</v>
      </c>
      <c r="G13" s="23">
        <f t="shared" si="1"/>
        <v>0.48999999999999994</v>
      </c>
      <c r="H13" s="173" t="s">
        <v>220</v>
      </c>
      <c r="I13">
        <f t="shared" si="0"/>
        <v>3</v>
      </c>
      <c r="J13" s="48" cm="1">
        <f t="array" ref="J13">IFERROR(SUMPRODUCT(G:G,I:I,--($A:$A=$A13))/SUMIF($A:$A,$A13,I:I),0)</f>
        <v>0.51999999999999991</v>
      </c>
      <c r="L13" s="227"/>
      <c r="M13" s="36"/>
    </row>
    <row r="14" spans="1:25">
      <c r="A14" s="20">
        <v>5</v>
      </c>
      <c r="B14" s="21" t="str">
        <f>IFERROR(INDEX(Tabella!$B$2:$B$32,MATCH($A14,Tabella!$A$2:$A$32,0)),"")</f>
        <v>IMP-SYSTEM-INTEGRATION-CONFIGURATION</v>
      </c>
      <c r="C14" s="21" t="s">
        <v>98</v>
      </c>
      <c r="D14" s="21" t="s">
        <v>116</v>
      </c>
      <c r="E14" s="22">
        <v>0.7</v>
      </c>
      <c r="F14" s="22">
        <v>0.7</v>
      </c>
      <c r="G14" s="23">
        <f t="shared" si="1"/>
        <v>0.48999999999999994</v>
      </c>
      <c r="H14" s="174" t="s">
        <v>221</v>
      </c>
      <c r="I14">
        <f t="shared" si="0"/>
        <v>2</v>
      </c>
      <c r="J14" s="48" cm="1">
        <f t="array" ref="J14">IFERROR(SUMPRODUCT(G:G,I:I,--($A:$A=$A14))/SUMIF($A:$A,$A14,I:I),0)</f>
        <v>0.51999999999999991</v>
      </c>
      <c r="L14" s="227"/>
      <c r="M14" s="36"/>
    </row>
    <row r="15" spans="1:25" s="85" customFormat="1">
      <c r="A15" s="81">
        <v>5</v>
      </c>
      <c r="B15" s="82" t="str">
        <f>IFERROR(INDEX(Tabella!$B$2:$B$32,MATCH($A15,Tabella!$A$2:$A$32,0)),"")</f>
        <v>IMP-SYSTEM-INTEGRATION-CONFIGURATION</v>
      </c>
      <c r="C15" s="82" t="s">
        <v>117</v>
      </c>
      <c r="D15" s="82" t="s">
        <v>118</v>
      </c>
      <c r="E15" s="83">
        <v>0.7</v>
      </c>
      <c r="F15" s="83">
        <v>0.85</v>
      </c>
      <c r="G15" s="84">
        <f t="shared" si="1"/>
        <v>0.59499999999999997</v>
      </c>
      <c r="H15" s="177" t="s">
        <v>221</v>
      </c>
      <c r="I15" s="85">
        <f t="shared" si="0"/>
        <v>2</v>
      </c>
      <c r="J15" s="48" cm="1">
        <f t="array" ref="J15">IFERROR(SUMPRODUCT(G:G,I:I,--($A:$A=$A15))/SUMIF($A:$A,$A15,I:I),0)</f>
        <v>0.51999999999999991</v>
      </c>
      <c r="K15"/>
      <c r="L15" s="227"/>
      <c r="M15" s="36"/>
      <c r="N15"/>
      <c r="O15"/>
      <c r="P15"/>
      <c r="Q15"/>
      <c r="R15"/>
      <c r="S15"/>
      <c r="T15"/>
      <c r="U15"/>
      <c r="V15"/>
      <c r="W15"/>
      <c r="X15"/>
      <c r="Y15"/>
    </row>
    <row r="16" spans="1:25">
      <c r="A16" s="20">
        <v>6</v>
      </c>
      <c r="B16" s="21" t="str">
        <f>IFERROR(INDEX(Tabella!$B$2:$B$32,MATCH($A16,Tabella!$A$2:$A$32,0)),"")</f>
        <v>DATA-LOSS</v>
      </c>
      <c r="C16" s="21" t="s">
        <v>119</v>
      </c>
      <c r="D16" s="21" t="s">
        <v>120</v>
      </c>
      <c r="E16" s="22">
        <v>0.85</v>
      </c>
      <c r="F16" s="22">
        <v>0.85</v>
      </c>
      <c r="G16" s="23">
        <f t="shared" si="1"/>
        <v>0.72249999999999992</v>
      </c>
      <c r="H16" s="174" t="s">
        <v>221</v>
      </c>
      <c r="I16">
        <f t="shared" si="0"/>
        <v>2</v>
      </c>
      <c r="J16" s="48" cm="1">
        <f t="array" ref="J16">IFERROR(SUMPRODUCT(G:G,I:I,--($A:$A=$A16))/SUMIF($A:$A,$A16,I:I),0)</f>
        <v>0.7332142857142856</v>
      </c>
      <c r="L16" s="227"/>
      <c r="M16" s="36"/>
    </row>
    <row r="17" spans="1:25">
      <c r="A17" s="20">
        <v>6</v>
      </c>
      <c r="B17" s="21" t="str">
        <f>IFERROR(INDEX(Tabella!$B$2:$B$32,MATCH($A17,Tabella!$A$2:$A$32,0)),"")</f>
        <v>DATA-LOSS</v>
      </c>
      <c r="C17" s="21" t="s">
        <v>121</v>
      </c>
      <c r="D17" s="21" t="s">
        <v>122</v>
      </c>
      <c r="E17" s="22">
        <v>0.95</v>
      </c>
      <c r="F17" s="22">
        <v>0.95</v>
      </c>
      <c r="G17" s="23">
        <f t="shared" si="1"/>
        <v>0.90249999999999997</v>
      </c>
      <c r="H17" s="173" t="s">
        <v>220</v>
      </c>
      <c r="I17">
        <f t="shared" si="0"/>
        <v>3</v>
      </c>
      <c r="J17" s="48" cm="1">
        <f t="array" ref="J17">IFERROR(SUMPRODUCT(G:G,I:I,--($A:$A=$A17))/SUMIF($A:$A,$A17,I:I),0)</f>
        <v>0.7332142857142856</v>
      </c>
      <c r="L17" s="227"/>
      <c r="M17" s="36"/>
    </row>
    <row r="18" spans="1:25" s="85" customFormat="1">
      <c r="A18" s="81">
        <v>6</v>
      </c>
      <c r="B18" s="82" t="str">
        <f>IFERROR(INDEX(Tabella!$B$2:$B$32,MATCH($A18,Tabella!$A$2:$A$32,0)),"")</f>
        <v>DATA-LOSS</v>
      </c>
      <c r="C18" s="82" t="s">
        <v>123</v>
      </c>
      <c r="D18" s="82" t="s">
        <v>124</v>
      </c>
      <c r="E18" s="83">
        <v>0.7</v>
      </c>
      <c r="F18" s="83">
        <v>0.7</v>
      </c>
      <c r="G18" s="84">
        <f t="shared" si="1"/>
        <v>0.48999999999999994</v>
      </c>
      <c r="H18" s="177" t="s">
        <v>221</v>
      </c>
      <c r="I18" s="85">
        <f t="shared" si="0"/>
        <v>2</v>
      </c>
      <c r="J18" s="48" cm="1">
        <f t="array" ref="J18">IFERROR(SUMPRODUCT(G:G,I:I,--($A:$A=$A18))/SUMIF($A:$A,$A18,I:I),0)</f>
        <v>0.7332142857142856</v>
      </c>
      <c r="K18"/>
      <c r="L18" s="227"/>
      <c r="M18" s="36"/>
      <c r="N18"/>
      <c r="O18"/>
      <c r="P18"/>
      <c r="Q18"/>
      <c r="R18"/>
      <c r="S18"/>
      <c r="T18"/>
      <c r="U18"/>
      <c r="V18"/>
      <c r="W18"/>
      <c r="X18"/>
      <c r="Y18"/>
    </row>
    <row r="19" spans="1:25">
      <c r="A19" s="20">
        <v>7</v>
      </c>
      <c r="B19" s="21" t="str">
        <f>IFERROR(INDEX(Tabella!$B$2:$B$32,MATCH($A19,Tabella!$A$2:$A$32,0)),"")</f>
        <v>OPS-PIPELINE-CAPACITY-FAILURE</v>
      </c>
      <c r="C19" s="21" t="s">
        <v>117</v>
      </c>
      <c r="D19" s="21" t="s">
        <v>125</v>
      </c>
      <c r="E19" s="22">
        <v>0.7</v>
      </c>
      <c r="F19" s="22">
        <v>0.85</v>
      </c>
      <c r="G19" s="23">
        <f t="shared" si="1"/>
        <v>0.59499999999999997</v>
      </c>
      <c r="H19" s="174" t="s">
        <v>221</v>
      </c>
      <c r="I19">
        <f t="shared" si="0"/>
        <v>2</v>
      </c>
      <c r="J19" s="48" cm="1">
        <f t="array" ref="J19">IFERROR(SUMPRODUCT(G:G,I:I,--($A:$A=$A19))/SUMIF($A:$A,$A19,I:I),0)</f>
        <v>0.42555555555555558</v>
      </c>
      <c r="L19" s="227"/>
      <c r="M19" s="36"/>
    </row>
    <row r="20" spans="1:25">
      <c r="A20" s="20">
        <v>7</v>
      </c>
      <c r="B20" s="21" t="str">
        <f>IFERROR(INDEX(Tabella!$B$2:$B$32,MATCH($A20,Tabella!$A$2:$A$32,0)),"")</f>
        <v>OPS-PIPELINE-CAPACITY-FAILURE</v>
      </c>
      <c r="C20" s="21" t="s">
        <v>126</v>
      </c>
      <c r="D20" s="21" t="s">
        <v>127</v>
      </c>
      <c r="E20" s="22">
        <v>0.5</v>
      </c>
      <c r="F20" s="22">
        <v>0.7</v>
      </c>
      <c r="G20" s="23">
        <f t="shared" si="1"/>
        <v>0.35</v>
      </c>
      <c r="H20" s="174" t="s">
        <v>221</v>
      </c>
      <c r="I20">
        <f t="shared" si="0"/>
        <v>2</v>
      </c>
      <c r="J20" s="48" cm="1">
        <f t="array" ref="J20">IFERROR(SUMPRODUCT(G:G,I:I,--($A:$A=$A20))/SUMIF($A:$A,$A20,I:I),0)</f>
        <v>0.42555555555555558</v>
      </c>
      <c r="L20" s="227"/>
      <c r="M20" s="36"/>
    </row>
    <row r="21" spans="1:25">
      <c r="A21" s="12">
        <v>7</v>
      </c>
      <c r="B21" s="13" t="str">
        <f>IFERROR(INDEX(Tabella!$B$2:$B$32,MATCH($A21,Tabella!$A$2:$A$32,0)),"")</f>
        <v>OPS-PIPELINE-CAPACITY-FAILURE</v>
      </c>
      <c r="C21" s="13" t="s">
        <v>102</v>
      </c>
      <c r="D21" s="13" t="s">
        <v>128</v>
      </c>
      <c r="E21" s="14">
        <v>0.7</v>
      </c>
      <c r="F21" s="14">
        <v>0.85</v>
      </c>
      <c r="G21" s="15">
        <f t="shared" si="1"/>
        <v>0.59499999999999997</v>
      </c>
      <c r="H21" s="174" t="s">
        <v>221</v>
      </c>
      <c r="I21">
        <f t="shared" si="0"/>
        <v>2</v>
      </c>
      <c r="J21" s="48" cm="1">
        <f t="array" ref="J21">IFERROR(SUMPRODUCT(G:G,I:I,--($A:$A=$A21))/SUMIF($A:$A,$A21,I:I),0)</f>
        <v>0.42555555555555558</v>
      </c>
      <c r="L21" s="227"/>
      <c r="M21" s="36"/>
    </row>
    <row r="22" spans="1:25" s="85" customFormat="1">
      <c r="A22" s="81">
        <v>7</v>
      </c>
      <c r="B22" s="82" t="str">
        <f>IFERROR(INDEX(Tabella!$B$2:$B$32,MATCH($A22,Tabella!$A$2:$A$32,0)),"")</f>
        <v>OPS-PIPELINE-CAPACITY-FAILURE</v>
      </c>
      <c r="C22" s="82" t="s">
        <v>129</v>
      </c>
      <c r="D22" s="82" t="s">
        <v>130</v>
      </c>
      <c r="E22" s="83">
        <v>0.5</v>
      </c>
      <c r="F22" s="83">
        <v>0.5</v>
      </c>
      <c r="G22" s="84">
        <f t="shared" si="1"/>
        <v>0.25</v>
      </c>
      <c r="H22" s="179" t="s">
        <v>220</v>
      </c>
      <c r="I22" s="85">
        <f t="shared" si="0"/>
        <v>3</v>
      </c>
      <c r="J22" s="48" cm="1">
        <f t="array" ref="J22">IFERROR(SUMPRODUCT(G:G,I:I,--($A:$A=$A22))/SUMIF($A:$A,$A22,I:I),0)</f>
        <v>0.42555555555555558</v>
      </c>
      <c r="K22"/>
      <c r="L22" s="227"/>
      <c r="M22" s="36"/>
      <c r="N22"/>
      <c r="O22"/>
      <c r="P22"/>
      <c r="Q22"/>
      <c r="R22"/>
      <c r="S22"/>
      <c r="T22"/>
      <c r="U22"/>
      <c r="V22"/>
      <c r="W22"/>
      <c r="X22"/>
      <c r="Y22"/>
    </row>
    <row r="23" spans="1:25">
      <c r="A23" s="20">
        <v>8</v>
      </c>
      <c r="B23" s="21" t="str">
        <f>IFERROR(INDEX(Tabella!$B$2:$B$32,MATCH($A23,Tabella!$A$2:$A$32,0)),"")</f>
        <v>INF-OUT-OF-DISTRIBUTION_ISO</v>
      </c>
      <c r="C23" s="21" t="s">
        <v>108</v>
      </c>
      <c r="D23" s="21" t="s">
        <v>131</v>
      </c>
      <c r="E23" s="22">
        <v>0.7</v>
      </c>
      <c r="F23" s="22">
        <v>0.95</v>
      </c>
      <c r="G23" s="23">
        <f t="shared" si="1"/>
        <v>0.66499999999999992</v>
      </c>
      <c r="H23" s="173" t="s">
        <v>220</v>
      </c>
      <c r="I23">
        <f t="shared" si="0"/>
        <v>3</v>
      </c>
      <c r="J23" s="48" cm="1">
        <f t="array" ref="J23">IFERROR(SUMPRODUCT(G:G,I:I,--($A:$A=$A23))/SUMIF($A:$A,$A23,I:I),0)</f>
        <v>0.51714285714285713</v>
      </c>
      <c r="L23" s="227"/>
      <c r="M23" s="36"/>
    </row>
    <row r="24" spans="1:25">
      <c r="A24" s="20">
        <v>8</v>
      </c>
      <c r="B24" s="21" t="str">
        <f>IFERROR(INDEX(Tabella!$B$2:$B$32,MATCH($A24,Tabella!$A$2:$A$32,0)),"")</f>
        <v>INF-OUT-OF-DISTRIBUTION_ISO</v>
      </c>
      <c r="C24" s="21" t="s">
        <v>132</v>
      </c>
      <c r="D24" s="21" t="s">
        <v>776</v>
      </c>
      <c r="E24" s="22">
        <v>0.5</v>
      </c>
      <c r="F24" s="22">
        <v>0.85</v>
      </c>
      <c r="G24" s="23">
        <f t="shared" si="1"/>
        <v>0.42499999999999999</v>
      </c>
      <c r="H24" s="173" t="s">
        <v>220</v>
      </c>
      <c r="I24">
        <f t="shared" si="0"/>
        <v>3</v>
      </c>
      <c r="J24" s="48" cm="1">
        <f t="array" ref="J24">IFERROR(SUMPRODUCT(G:G,I:I,--($A:$A=$A24))/SUMIF($A:$A,$A24,I:I),0)</f>
        <v>0.51714285714285713</v>
      </c>
      <c r="L24" s="227"/>
      <c r="M24" s="36"/>
    </row>
    <row r="25" spans="1:25" s="85" customFormat="1">
      <c r="A25" s="81">
        <v>8</v>
      </c>
      <c r="B25" s="82" t="str">
        <f>IFERROR(INDEX(Tabella!$B$2:$B$32,MATCH($A25,Tabella!$A$2:$A$32,0)),"")</f>
        <v>INF-OUT-OF-DISTRIBUTION_ISO</v>
      </c>
      <c r="C25" s="82" t="s">
        <v>785</v>
      </c>
      <c r="D25" s="82" t="s">
        <v>133</v>
      </c>
      <c r="E25" s="83">
        <v>0.5</v>
      </c>
      <c r="F25" s="83">
        <v>0.7</v>
      </c>
      <c r="G25" s="84">
        <f t="shared" si="1"/>
        <v>0.35</v>
      </c>
      <c r="H25" s="180" t="s">
        <v>222</v>
      </c>
      <c r="I25" s="85">
        <f t="shared" si="0"/>
        <v>1</v>
      </c>
      <c r="J25" s="48" cm="1">
        <f t="array" ref="J25">IFERROR(SUMPRODUCT(G:G,I:I,--($A:$A=$A25))/SUMIF($A:$A,$A25,I:I),0)</f>
        <v>0.51714285714285713</v>
      </c>
      <c r="K25"/>
      <c r="L25" s="227"/>
      <c r="M25" s="36"/>
      <c r="N25"/>
      <c r="O25"/>
      <c r="P25"/>
      <c r="Q25"/>
      <c r="R25"/>
      <c r="S25"/>
      <c r="T25"/>
      <c r="U25"/>
      <c r="V25"/>
      <c r="W25"/>
      <c r="X25"/>
      <c r="Y25"/>
    </row>
    <row r="26" spans="1:25">
      <c r="A26" s="20">
        <v>9</v>
      </c>
      <c r="B26" s="21" t="str">
        <f>IFERROR(INDEX(Tabella!$B$2:$B$32,MATCH($A26,Tabella!$A$2:$A$32,0)),"")</f>
        <v>INF-FALSE-NEGATIVE_ISO</v>
      </c>
      <c r="C26" s="21" t="s">
        <v>132</v>
      </c>
      <c r="D26" s="21" t="s">
        <v>777</v>
      </c>
      <c r="E26" s="22">
        <v>0.7</v>
      </c>
      <c r="F26" s="22">
        <v>0.85</v>
      </c>
      <c r="G26" s="23">
        <f t="shared" si="1"/>
        <v>0.59499999999999997</v>
      </c>
      <c r="H26" s="173" t="s">
        <v>220</v>
      </c>
      <c r="I26">
        <f t="shared" si="0"/>
        <v>3</v>
      </c>
      <c r="J26" s="48" cm="1">
        <f t="array" ref="J26">IFERROR(SUMPRODUCT(G:G,I:I,--($A:$A=$A26))/SUMIF($A:$A,$A26,I:I),0)</f>
        <v>0.55160714285714274</v>
      </c>
      <c r="L26" s="227"/>
      <c r="M26" s="36"/>
    </row>
    <row r="27" spans="1:25">
      <c r="A27" s="20">
        <v>9</v>
      </c>
      <c r="B27" s="21" t="str">
        <f>IFERROR(INDEX(Tabella!$B$2:$B$32,MATCH($A27,Tabella!$A$2:$A$32,0)),"")</f>
        <v>INF-FALSE-NEGATIVE_ISO</v>
      </c>
      <c r="C27" s="21" t="s">
        <v>134</v>
      </c>
      <c r="D27" s="21" t="s">
        <v>135</v>
      </c>
      <c r="E27" s="22">
        <v>0.7</v>
      </c>
      <c r="F27" s="22">
        <v>0.95</v>
      </c>
      <c r="G27" s="23">
        <f t="shared" si="1"/>
        <v>0.66499999999999992</v>
      </c>
      <c r="H27" s="173" t="s">
        <v>220</v>
      </c>
      <c r="I27">
        <f t="shared" si="0"/>
        <v>3</v>
      </c>
      <c r="J27" s="48" cm="1">
        <f t="array" ref="J27">IFERROR(SUMPRODUCT(G:G,I:I,--($A:$A=$A27))/SUMIF($A:$A,$A27,I:I),0)</f>
        <v>0.55160714285714274</v>
      </c>
      <c r="L27" s="227"/>
      <c r="M27" s="36"/>
    </row>
    <row r="28" spans="1:25">
      <c r="A28" s="12">
        <v>9</v>
      </c>
      <c r="B28" s="13" t="str">
        <f>IFERROR(INDEX(Tabella!$B$2:$B$32,MATCH($A28,Tabella!$A$2:$A$32,0)),"")</f>
        <v>INF-FALSE-NEGATIVE_ISO</v>
      </c>
      <c r="C28" s="13" t="s">
        <v>136</v>
      </c>
      <c r="D28" s="13" t="s">
        <v>754</v>
      </c>
      <c r="E28" s="14">
        <v>0.85</v>
      </c>
      <c r="F28" s="14">
        <v>0.85</v>
      </c>
      <c r="G28" s="15">
        <f t="shared" si="1"/>
        <v>0.72249999999999992</v>
      </c>
      <c r="H28" s="173" t="s">
        <v>220</v>
      </c>
      <c r="I28">
        <f t="shared" si="0"/>
        <v>3</v>
      </c>
      <c r="J28" s="48" cm="1">
        <f t="array" ref="J28">IFERROR(SUMPRODUCT(G:G,I:I,--($A:$A=$A28))/SUMIF($A:$A,$A28,I:I),0)</f>
        <v>0.55160714285714274</v>
      </c>
      <c r="L28" s="227"/>
      <c r="M28" s="36"/>
    </row>
    <row r="29" spans="1:25">
      <c r="A29" s="12">
        <v>9</v>
      </c>
      <c r="B29" s="13" t="str">
        <f>IFERROR(INDEX(Tabella!$B$2:$B$32,MATCH($A29,Tabella!$A$2:$A$32,0)),"")</f>
        <v>INF-FALSE-NEGATIVE_ISO</v>
      </c>
      <c r="C29" s="13" t="s">
        <v>137</v>
      </c>
      <c r="D29" s="13" t="s">
        <v>138</v>
      </c>
      <c r="E29" s="14">
        <v>0.85</v>
      </c>
      <c r="F29" s="14">
        <v>0.5</v>
      </c>
      <c r="G29" s="15">
        <f t="shared" si="1"/>
        <v>0.42499999999999999</v>
      </c>
      <c r="H29" s="173" t="s">
        <v>220</v>
      </c>
      <c r="I29">
        <f t="shared" si="0"/>
        <v>3</v>
      </c>
      <c r="J29" s="48" cm="1">
        <f t="array" ref="J29">IFERROR(SUMPRODUCT(G:G,I:I,--($A:$A=$A29))/SUMIF($A:$A,$A29,I:I),0)</f>
        <v>0.55160714285714274</v>
      </c>
      <c r="L29" s="227"/>
      <c r="M29" s="36"/>
    </row>
    <row r="30" spans="1:25" s="85" customFormat="1">
      <c r="A30" s="81">
        <v>9</v>
      </c>
      <c r="B30" s="82" t="str">
        <f>IFERROR(INDEX(Tabella!$B$2:$B$32,MATCH($A30,Tabella!$A$2:$A$32,0)),"")</f>
        <v>INF-FALSE-NEGATIVE_ISO</v>
      </c>
      <c r="C30" s="82" t="s">
        <v>139</v>
      </c>
      <c r="D30" s="82" t="s">
        <v>140</v>
      </c>
      <c r="E30" s="83">
        <v>0.5</v>
      </c>
      <c r="F30" s="83">
        <v>0.5</v>
      </c>
      <c r="G30" s="84">
        <f t="shared" si="1"/>
        <v>0.25</v>
      </c>
      <c r="H30" s="177" t="s">
        <v>221</v>
      </c>
      <c r="I30" s="85">
        <f t="shared" si="0"/>
        <v>2</v>
      </c>
      <c r="J30" s="48" cm="1">
        <f t="array" ref="J30">IFERROR(SUMPRODUCT(G:G,I:I,--($A:$A=$A30))/SUMIF($A:$A,$A30,I:I),0)</f>
        <v>0.55160714285714274</v>
      </c>
      <c r="K30"/>
      <c r="L30" s="227"/>
      <c r="M30" s="36"/>
      <c r="N30"/>
      <c r="O30"/>
      <c r="P30"/>
      <c r="Q30"/>
      <c r="R30"/>
      <c r="S30"/>
      <c r="T30"/>
      <c r="U30"/>
      <c r="V30"/>
      <c r="W30"/>
      <c r="X30"/>
      <c r="Y30"/>
    </row>
    <row r="31" spans="1:25">
      <c r="A31" s="20">
        <v>10</v>
      </c>
      <c r="B31" s="21" t="str">
        <f>IFERROR(INDEX(Tabella!$B$2:$B$32,MATCH($A31,Tabella!$A$2:$A$32,0)),"")</f>
        <v>INF-FALSE-POSITIVE_ISO</v>
      </c>
      <c r="C31" s="21" t="s">
        <v>136</v>
      </c>
      <c r="D31" s="21" t="s">
        <v>755</v>
      </c>
      <c r="E31" s="22">
        <f>E28</f>
        <v>0.85</v>
      </c>
      <c r="F31" s="22">
        <f>F28</f>
        <v>0.85</v>
      </c>
      <c r="G31" s="23">
        <f t="shared" si="1"/>
        <v>0.72249999999999992</v>
      </c>
      <c r="H31" s="173" t="s">
        <v>220</v>
      </c>
      <c r="I31">
        <f t="shared" si="0"/>
        <v>3</v>
      </c>
      <c r="J31" s="48" cm="1">
        <f t="array" ref="J31">IFERROR(SUMPRODUCT(G:G,I:I,--($A:$A=$A31))/SUMIF($A:$A,$A31,I:I),0)</f>
        <v>0.45472222222222214</v>
      </c>
      <c r="L31" s="227"/>
      <c r="M31" s="36"/>
    </row>
    <row r="32" spans="1:25">
      <c r="A32" s="20">
        <v>10</v>
      </c>
      <c r="B32" s="21" t="str">
        <f>IFERROR(INDEX(Tabella!$B$2:$B$32,MATCH($A32,Tabella!$A$2:$A$32,0)),"")</f>
        <v>INF-FALSE-POSITIVE_ISO</v>
      </c>
      <c r="C32" s="21" t="s">
        <v>137</v>
      </c>
      <c r="D32" s="21" t="s">
        <v>141</v>
      </c>
      <c r="E32" s="22">
        <f>E29</f>
        <v>0.85</v>
      </c>
      <c r="F32" s="22">
        <f>F29</f>
        <v>0.5</v>
      </c>
      <c r="G32" s="23">
        <f t="shared" si="1"/>
        <v>0.42499999999999999</v>
      </c>
      <c r="H32" s="173" t="s">
        <v>220</v>
      </c>
      <c r="I32">
        <f t="shared" si="0"/>
        <v>3</v>
      </c>
      <c r="J32" s="48" cm="1">
        <f t="array" ref="J32">IFERROR(SUMPRODUCT(G:G,I:I,--($A:$A=$A32))/SUMIF($A:$A,$A32,I:I),0)</f>
        <v>0.45472222222222214</v>
      </c>
      <c r="L32" s="227"/>
      <c r="M32" s="36"/>
    </row>
    <row r="33" spans="1:25">
      <c r="A33" s="12">
        <v>10</v>
      </c>
      <c r="B33" s="13" t="str">
        <f>IFERROR(INDEX(Tabella!$B$2:$B$32,MATCH($A33,Tabella!$A$2:$A$32,0)),"")</f>
        <v>INF-FALSE-POSITIVE_ISO</v>
      </c>
      <c r="C33" s="13" t="s">
        <v>142</v>
      </c>
      <c r="D33" s="13" t="s">
        <v>143</v>
      </c>
      <c r="E33" s="14">
        <v>0.5</v>
      </c>
      <c r="F33" s="14">
        <v>0.3</v>
      </c>
      <c r="G33" s="15">
        <f t="shared" ref="G33:G37" si="2">E33*F33</f>
        <v>0.15</v>
      </c>
      <c r="H33" s="175" t="s">
        <v>222</v>
      </c>
      <c r="I33">
        <f t="shared" si="0"/>
        <v>1</v>
      </c>
      <c r="J33" s="48" cm="1">
        <f t="array" ref="J33">IFERROR(SUMPRODUCT(G:G,I:I,--($A:$A=$A33))/SUMIF($A:$A,$A33,I:I),0)</f>
        <v>0.45472222222222214</v>
      </c>
      <c r="L33" s="227"/>
      <c r="M33" s="36"/>
    </row>
    <row r="34" spans="1:25" s="85" customFormat="1">
      <c r="A34" s="81">
        <v>10</v>
      </c>
      <c r="B34" s="82" t="str">
        <f>IFERROR(INDEX(Tabella!$B$2:$B$32,MATCH($A34,Tabella!$A$2:$A$32,0)),"")</f>
        <v>INF-FALSE-POSITIVE_ISO</v>
      </c>
      <c r="C34" s="82" t="s">
        <v>139</v>
      </c>
      <c r="D34" s="82" t="s">
        <v>140</v>
      </c>
      <c r="E34" s="83">
        <f>E30</f>
        <v>0.5</v>
      </c>
      <c r="F34" s="83">
        <f>F30</f>
        <v>0.5</v>
      </c>
      <c r="G34" s="84">
        <f t="shared" si="2"/>
        <v>0.25</v>
      </c>
      <c r="H34" s="177" t="s">
        <v>221</v>
      </c>
      <c r="I34" s="85">
        <f t="shared" si="0"/>
        <v>2</v>
      </c>
      <c r="J34" s="48" cm="1">
        <f t="array" ref="J34">IFERROR(SUMPRODUCT(G:G,I:I,--($A:$A=$A34))/SUMIF($A:$A,$A34,I:I),0)</f>
        <v>0.45472222222222214</v>
      </c>
      <c r="K34"/>
      <c r="L34" s="227"/>
      <c r="M34" s="36"/>
      <c r="N34"/>
      <c r="O34"/>
      <c r="P34"/>
      <c r="Q34"/>
      <c r="R34"/>
      <c r="S34"/>
      <c r="T34"/>
      <c r="U34"/>
      <c r="V34"/>
      <c r="W34"/>
      <c r="X34"/>
      <c r="Y34"/>
    </row>
    <row r="35" spans="1:25">
      <c r="A35" s="20">
        <v>11</v>
      </c>
      <c r="B35" s="21" t="str">
        <f>IFERROR(INDEX(Tabella!$B$2:$B$32,MATCH($A35,Tabella!$A$2:$A$32,0)),"")</f>
        <v>USE-AI-LITERACY-SUPERVISION_ISO</v>
      </c>
      <c r="C35" s="21" t="s">
        <v>144</v>
      </c>
      <c r="D35" s="21" t="s">
        <v>145</v>
      </c>
      <c r="E35" s="22">
        <v>0.7</v>
      </c>
      <c r="F35" s="22">
        <v>0.7</v>
      </c>
      <c r="G35" s="23">
        <f t="shared" si="2"/>
        <v>0.48999999999999994</v>
      </c>
      <c r="H35" s="174" t="s">
        <v>221</v>
      </c>
      <c r="I35">
        <f t="shared" si="0"/>
        <v>2</v>
      </c>
      <c r="J35" s="48" cm="1">
        <f t="array" ref="J35">IFERROR(SUMPRODUCT(G:G,I:I,--($A:$A=$A35))/SUMIF($A:$A,$A35,I:I),0)</f>
        <v>0.36333333333333329</v>
      </c>
      <c r="L35" s="227"/>
      <c r="M35" s="36"/>
    </row>
    <row r="36" spans="1:25">
      <c r="A36" s="20">
        <v>11</v>
      </c>
      <c r="B36" s="21" t="str">
        <f>IFERROR(INDEX(Tabella!$B$2:$B$32,MATCH($A36,Tabella!$A$2:$A$32,0)),"")</f>
        <v>USE-AI-LITERACY-SUPERVISION_ISO</v>
      </c>
      <c r="C36" s="21" t="s">
        <v>146</v>
      </c>
      <c r="D36" s="21" t="s">
        <v>147</v>
      </c>
      <c r="E36" s="22">
        <v>0.7</v>
      </c>
      <c r="F36" s="22">
        <v>0.5</v>
      </c>
      <c r="G36" s="23">
        <f t="shared" si="2"/>
        <v>0.35</v>
      </c>
      <c r="H36" s="173" t="s">
        <v>220</v>
      </c>
      <c r="I36">
        <f t="shared" si="0"/>
        <v>3</v>
      </c>
      <c r="J36" s="48" cm="1">
        <f t="array" ref="J36">IFERROR(SUMPRODUCT(G:G,I:I,--($A:$A=$A36))/SUMIF($A:$A,$A36,I:I),0)</f>
        <v>0.36333333333333329</v>
      </c>
      <c r="L36" s="227"/>
      <c r="M36" s="36"/>
    </row>
    <row r="37" spans="1:25">
      <c r="A37" s="16">
        <v>11</v>
      </c>
      <c r="B37" s="17" t="str">
        <f>IFERROR(INDEX(Tabella!$B$2:$B$32,MATCH($A37,Tabella!$A$2:$A$32,0)),"")</f>
        <v>USE-AI-LITERACY-SUPERVISION_ISO</v>
      </c>
      <c r="C37" s="17" t="s">
        <v>148</v>
      </c>
      <c r="D37" s="17" t="s">
        <v>798</v>
      </c>
      <c r="E37" s="18">
        <v>0.5</v>
      </c>
      <c r="F37" s="18">
        <v>0.3</v>
      </c>
      <c r="G37" s="19">
        <f t="shared" si="2"/>
        <v>0.15</v>
      </c>
      <c r="H37" s="175" t="s">
        <v>222</v>
      </c>
      <c r="I37">
        <f t="shared" si="0"/>
        <v>1</v>
      </c>
      <c r="J37" s="48" cm="1">
        <f t="array" ref="J37">IFERROR(SUMPRODUCT(G:G,I:I,--($A:$A=$A37))/SUMIF($A:$A,$A37,I:I),0)</f>
        <v>0.36333333333333329</v>
      </c>
      <c r="L37" s="227"/>
      <c r="M37" s="36"/>
    </row>
    <row r="38" spans="1:25" s="85" customFormat="1">
      <c r="A38" s="20">
        <v>12</v>
      </c>
      <c r="B38" s="21" t="str">
        <f>IFERROR(INDEX(Tabella!$B$2:$B$32,MATCH($A38,Tabella!$A$2:$A$32,0)),"")</f>
        <v>USE-OVERSIGHT-VERIFICATION-FAILURE_ISO</v>
      </c>
      <c r="C38" s="21" t="s">
        <v>137</v>
      </c>
      <c r="D38" s="21" t="s">
        <v>149</v>
      </c>
      <c r="E38" s="22">
        <v>0.85</v>
      </c>
      <c r="F38" s="22">
        <v>0.5</v>
      </c>
      <c r="G38" s="23">
        <f t="shared" ref="G38:G81" si="3">E38*F38</f>
        <v>0.42499999999999999</v>
      </c>
      <c r="H38" s="173" t="s">
        <v>220</v>
      </c>
      <c r="I38">
        <f t="shared" ref="I38:I81" si="4">IF(TRIM(H38)="Primario", 3, IF(TRIM(H38)="Secondario", 2, IF(TRIM(H38)="Supporto", 1, 0)))</f>
        <v>3</v>
      </c>
      <c r="J38" s="48" cm="1">
        <f t="array" ref="J38">IFERROR(SUMPRODUCT(G:G,I:I,--($A:$A=$A38))/SUMIF($A:$A,$A38,I:I),0)</f>
        <v>0.35624999999999996</v>
      </c>
      <c r="K38"/>
      <c r="L38" s="227"/>
      <c r="M38" s="36"/>
      <c r="N38"/>
      <c r="O38"/>
      <c r="P38"/>
      <c r="Q38"/>
      <c r="R38"/>
      <c r="S38"/>
      <c r="T38"/>
      <c r="U38"/>
      <c r="V38"/>
      <c r="W38"/>
      <c r="X38"/>
      <c r="Y38"/>
    </row>
    <row r="39" spans="1:25">
      <c r="A39" s="86">
        <v>12</v>
      </c>
      <c r="B39" s="87" t="str">
        <f>IFERROR(INDEX(Tabella!$B$2:$B$32,MATCH($A39,Tabella!$A$2:$A$32,0)),"")</f>
        <v>USE-OVERSIGHT-VERIFICATION-FAILURE_ISO</v>
      </c>
      <c r="C39" s="87" t="s">
        <v>148</v>
      </c>
      <c r="D39" s="87" t="s">
        <v>150</v>
      </c>
      <c r="E39" s="88">
        <v>0.5</v>
      </c>
      <c r="F39" s="88">
        <v>0.3</v>
      </c>
      <c r="G39" s="89">
        <f t="shared" si="3"/>
        <v>0.15</v>
      </c>
      <c r="H39" s="178" t="s">
        <v>222</v>
      </c>
      <c r="I39" s="85">
        <f t="shared" si="4"/>
        <v>1</v>
      </c>
      <c r="J39" s="48" cm="1">
        <f t="array" ref="J39">IFERROR(SUMPRODUCT(G:G,I:I,--($A:$A=$A39))/SUMIF($A:$A,$A39,I:I),0)</f>
        <v>0.35624999999999996</v>
      </c>
      <c r="L39" s="227"/>
      <c r="M39" s="36"/>
    </row>
    <row r="40" spans="1:25">
      <c r="A40" s="20">
        <v>13</v>
      </c>
      <c r="B40" s="21" t="str">
        <f>IFERROR(INDEX(Tabella!$B$2:$B$32,MATCH($A40,Tabella!$A$2:$A$32,0)),"")</f>
        <v>SEC-ACCESS-CREDENTIAL-MISUSE</v>
      </c>
      <c r="C40" s="21" t="s">
        <v>151</v>
      </c>
      <c r="D40" s="21" t="s">
        <v>152</v>
      </c>
      <c r="E40" s="22">
        <v>0.7</v>
      </c>
      <c r="F40" s="22">
        <v>0.95</v>
      </c>
      <c r="G40" s="23">
        <f t="shared" si="3"/>
        <v>0.66499999999999992</v>
      </c>
      <c r="H40" s="173" t="s">
        <v>220</v>
      </c>
      <c r="I40">
        <f t="shared" si="4"/>
        <v>3</v>
      </c>
      <c r="J40" s="48" cm="1">
        <f t="array" ref="J40">IFERROR(SUMPRODUCT(G:G,I:I,--($A:$A=$A40))/SUMIF($A:$A,$A40,I:I),0)</f>
        <v>0.73624999999999996</v>
      </c>
      <c r="L40" s="227"/>
      <c r="M40" s="36"/>
    </row>
    <row r="41" spans="1:25">
      <c r="A41" s="28">
        <v>13</v>
      </c>
      <c r="B41" s="29" t="str">
        <f>IFERROR(INDEX(Tabella!$B$2:$B$32,MATCH($A41,Tabella!$A$2:$A$32,0)),"")</f>
        <v>SEC-ACCESS-CREDENTIAL-MISUSE</v>
      </c>
      <c r="C41" s="29" t="s">
        <v>153</v>
      </c>
      <c r="D41" s="29" t="s">
        <v>154</v>
      </c>
      <c r="E41" s="30">
        <v>0.85</v>
      </c>
      <c r="F41" s="30">
        <v>0.95</v>
      </c>
      <c r="G41" s="31">
        <f t="shared" si="3"/>
        <v>0.8075</v>
      </c>
      <c r="H41" s="179" t="s">
        <v>220</v>
      </c>
      <c r="I41" s="85">
        <f t="shared" si="4"/>
        <v>3</v>
      </c>
      <c r="J41" s="48" cm="1">
        <f t="array" ref="J41">IFERROR(SUMPRODUCT(G:G,I:I,--($A:$A=$A41))/SUMIF($A:$A,$A41,I:I),0)</f>
        <v>0.73624999999999996</v>
      </c>
      <c r="L41" s="227"/>
      <c r="M41" s="36"/>
    </row>
    <row r="42" spans="1:25">
      <c r="A42" s="24">
        <v>14</v>
      </c>
      <c r="B42" s="25" t="str">
        <f>IFERROR(INDEX(Tabella!$B$2:$B$32,MATCH($A42,Tabella!$A$2:$A$32,0)),"")</f>
        <v>SEC-NETWORK-COMMUNICATION-COMPROMISE</v>
      </c>
      <c r="C42" s="25" t="s">
        <v>155</v>
      </c>
      <c r="D42" s="25" t="s">
        <v>156</v>
      </c>
      <c r="E42" s="26">
        <v>0.95</v>
      </c>
      <c r="F42" s="26">
        <v>0.95</v>
      </c>
      <c r="G42" s="27">
        <f t="shared" si="3"/>
        <v>0.90249999999999997</v>
      </c>
      <c r="H42" s="173" t="s">
        <v>220</v>
      </c>
      <c r="I42">
        <f t="shared" si="4"/>
        <v>3</v>
      </c>
      <c r="J42" s="48" cm="1">
        <f t="array" ref="J42">IFERROR(SUMPRODUCT(G:G,I:I,--($A:$A=$A42))/SUMIF($A:$A,$A42,I:I),0)</f>
        <v>0.76833333333333331</v>
      </c>
      <c r="L42" s="227"/>
      <c r="M42" s="36"/>
    </row>
    <row r="43" spans="1:25">
      <c r="A43" s="24">
        <v>14</v>
      </c>
      <c r="B43" s="21" t="str">
        <f>IFERROR(INDEX(Tabella!$B$2:$B$32,MATCH($A43,Tabella!$A$2:$A$32,0)),"")</f>
        <v>SEC-NETWORK-COMMUNICATION-COMPROMISE</v>
      </c>
      <c r="C43" s="21" t="s">
        <v>157</v>
      </c>
      <c r="D43" s="21" t="s">
        <v>158</v>
      </c>
      <c r="E43" s="22">
        <v>0.85</v>
      </c>
      <c r="F43" s="22">
        <v>0.95</v>
      </c>
      <c r="G43" s="23">
        <f t="shared" si="3"/>
        <v>0.8075</v>
      </c>
      <c r="H43" s="173" t="s">
        <v>220</v>
      </c>
      <c r="I43">
        <f t="shared" si="4"/>
        <v>3</v>
      </c>
      <c r="J43" s="48" cm="1">
        <f t="array" ref="J43">IFERROR(SUMPRODUCT(G:G,I:I,--($A:$A=$A43))/SUMIF($A:$A,$A43,I:I),0)</f>
        <v>0.76833333333333331</v>
      </c>
      <c r="L43" s="227"/>
      <c r="M43" s="36"/>
    </row>
    <row r="44" spans="1:25" s="85" customFormat="1">
      <c r="A44" s="90">
        <v>14</v>
      </c>
      <c r="B44" s="82" t="str">
        <f>IFERROR(INDEX(Tabella!$B$2:$B$32,MATCH($A44,Tabella!$A$2:$A$32,0)),"")</f>
        <v>SEC-NETWORK-COMMUNICATION-COMPROMISE</v>
      </c>
      <c r="C44" s="82" t="s">
        <v>159</v>
      </c>
      <c r="D44" s="82" t="s">
        <v>160</v>
      </c>
      <c r="E44" s="83">
        <v>0.7</v>
      </c>
      <c r="F44" s="83">
        <v>0.85</v>
      </c>
      <c r="G44" s="84">
        <f t="shared" si="3"/>
        <v>0.59499999999999997</v>
      </c>
      <c r="H44" s="179" t="s">
        <v>220</v>
      </c>
      <c r="I44" s="85">
        <f t="shared" si="4"/>
        <v>3</v>
      </c>
      <c r="J44" s="48" cm="1">
        <f t="array" ref="J44">IFERROR(SUMPRODUCT(G:G,I:I,--($A:$A=$A44))/SUMIF($A:$A,$A44,I:I),0)</f>
        <v>0.76833333333333331</v>
      </c>
      <c r="K44"/>
      <c r="L44" s="227"/>
      <c r="M44" s="36"/>
      <c r="N44"/>
      <c r="O44"/>
      <c r="P44"/>
      <c r="Q44"/>
      <c r="R44"/>
      <c r="S44"/>
      <c r="T44"/>
      <c r="U44"/>
      <c r="V44"/>
      <c r="W44"/>
      <c r="X44"/>
      <c r="Y44"/>
    </row>
    <row r="45" spans="1:25">
      <c r="A45" s="20">
        <v>15</v>
      </c>
      <c r="B45" s="21" t="str">
        <f>IFERROR(INDEX(Tabella!$B$2:$B$32,MATCH($A45,Tabella!$A$2:$A$32,0)),"")</f>
        <v>SEC-RECON-VULNERABILITY-EXPLOITATION</v>
      </c>
      <c r="C45" s="21" t="s">
        <v>155</v>
      </c>
      <c r="D45" s="21" t="s">
        <v>161</v>
      </c>
      <c r="E45" s="22">
        <v>0.95</v>
      </c>
      <c r="F45" s="22">
        <v>0.95</v>
      </c>
      <c r="G45" s="23">
        <f t="shared" si="3"/>
        <v>0.90249999999999997</v>
      </c>
      <c r="H45" s="173" t="s">
        <v>220</v>
      </c>
      <c r="I45">
        <f t="shared" si="4"/>
        <v>3</v>
      </c>
      <c r="J45" s="48" cm="1">
        <f t="array" ref="J45">IFERROR(SUMPRODUCT(G:G,I:I,--($A:$A=$A45))/SUMIF($A:$A,$A45,I:I),0)</f>
        <v>0.52218750000000003</v>
      </c>
      <c r="L45" s="227"/>
      <c r="M45" s="36"/>
    </row>
    <row r="46" spans="1:25">
      <c r="A46" s="20">
        <v>15</v>
      </c>
      <c r="B46" s="21" t="str">
        <f>IFERROR(INDEX(Tabella!$B$2:$B$32,MATCH($A46,Tabella!$A$2:$A$32,0)),"")</f>
        <v>SEC-RECON-VULNERABILITY-EXPLOITATION</v>
      </c>
      <c r="C46" s="21" t="s">
        <v>162</v>
      </c>
      <c r="D46" s="21" t="s">
        <v>163</v>
      </c>
      <c r="E46" s="22">
        <v>0.5</v>
      </c>
      <c r="F46" s="22">
        <v>0.7</v>
      </c>
      <c r="G46" s="23">
        <f t="shared" si="3"/>
        <v>0.35</v>
      </c>
      <c r="H46" s="173" t="s">
        <v>220</v>
      </c>
      <c r="I46">
        <f t="shared" si="4"/>
        <v>3</v>
      </c>
      <c r="J46" s="48" cm="1">
        <f t="array" ref="J46">IFERROR(SUMPRODUCT(G:G,I:I,--($A:$A=$A46))/SUMIF($A:$A,$A46,I:I),0)</f>
        <v>0.52218750000000003</v>
      </c>
      <c r="L46" s="227"/>
      <c r="M46" s="36"/>
    </row>
    <row r="47" spans="1:25" s="85" customFormat="1">
      <c r="A47" s="16">
        <v>15</v>
      </c>
      <c r="B47" s="82" t="str">
        <f>IFERROR(INDEX(Tabella!$B$2:$B$32,MATCH($A47,Tabella!$A$2:$A$32,0)),"")</f>
        <v>SEC-RECON-VULNERABILITY-EXPLOITATION</v>
      </c>
      <c r="C47" s="82" t="s">
        <v>164</v>
      </c>
      <c r="D47" s="82" t="s">
        <v>165</v>
      </c>
      <c r="E47" s="83">
        <v>0.3</v>
      </c>
      <c r="F47" s="83">
        <v>0.7</v>
      </c>
      <c r="G47" s="84">
        <f t="shared" si="3"/>
        <v>0.21</v>
      </c>
      <c r="H47" s="177" t="s">
        <v>221</v>
      </c>
      <c r="I47" s="85">
        <f t="shared" si="4"/>
        <v>2</v>
      </c>
      <c r="J47" s="48" cm="1">
        <f t="array" ref="J47">IFERROR(SUMPRODUCT(G:G,I:I,--($A:$A=$A47))/SUMIF($A:$A,$A47,I:I),0)</f>
        <v>0.52218750000000003</v>
      </c>
      <c r="K47"/>
      <c r="L47" s="227"/>
      <c r="M47" s="36"/>
      <c r="N47"/>
      <c r="O47"/>
      <c r="P47"/>
      <c r="Q47"/>
      <c r="R47"/>
      <c r="S47"/>
      <c r="T47"/>
      <c r="U47"/>
      <c r="V47"/>
      <c r="W47"/>
      <c r="X47"/>
      <c r="Y47"/>
    </row>
    <row r="48" spans="1:25">
      <c r="A48" s="98">
        <v>16</v>
      </c>
      <c r="B48" s="108" t="str">
        <f>IFERROR(INDEX(Tabella!$B$2:$B$32,MATCH($A48,Tabella!$A$2:$A$32,0)),"")</f>
        <v>SEC-INTENTIONAL-DATA-MODEL-CHANGE</v>
      </c>
      <c r="C48" s="21" t="s">
        <v>96</v>
      </c>
      <c r="D48" s="21" t="s">
        <v>166</v>
      </c>
      <c r="E48" s="22">
        <v>0.95</v>
      </c>
      <c r="F48" s="22">
        <v>0.95</v>
      </c>
      <c r="G48" s="23">
        <f t="shared" si="3"/>
        <v>0.90249999999999997</v>
      </c>
      <c r="H48" s="174" t="s">
        <v>221</v>
      </c>
      <c r="I48">
        <f t="shared" si="4"/>
        <v>2</v>
      </c>
      <c r="J48" s="48" cm="1">
        <f t="array" ref="J48">IFERROR(SUMPRODUCT(G:G,I:I,--($A:$A=$A48))/SUMIF($A:$A,$A48,I:I),0)</f>
        <v>0.68285714285714272</v>
      </c>
      <c r="L48" s="228"/>
    </row>
    <row r="49" spans="1:25">
      <c r="A49" s="98">
        <v>16</v>
      </c>
      <c r="B49" s="108" t="str">
        <f>IFERROR(INDEX(Tabella!$B$2:$B$32,MATCH($A49,Tabella!$A$2:$A$32,0)),"")</f>
        <v>SEC-INTENTIONAL-DATA-MODEL-CHANGE</v>
      </c>
      <c r="C49" s="21" t="s">
        <v>94</v>
      </c>
      <c r="D49" s="21" t="s">
        <v>167</v>
      </c>
      <c r="E49" s="22">
        <v>0.85</v>
      </c>
      <c r="F49" s="22">
        <v>0.7</v>
      </c>
      <c r="G49" s="23">
        <f t="shared" si="3"/>
        <v>0.59499999999999997</v>
      </c>
      <c r="H49" s="173" t="s">
        <v>220</v>
      </c>
      <c r="I49">
        <f t="shared" si="4"/>
        <v>3</v>
      </c>
      <c r="J49" s="48" cm="1">
        <f t="array" ref="J49">IFERROR(SUMPRODUCT(G:G,I:I,--($A:$A=$A49))/SUMIF($A:$A,$A49,I:I),0)</f>
        <v>0.68285714285714272</v>
      </c>
      <c r="L49" s="227"/>
      <c r="M49" s="36"/>
    </row>
    <row r="50" spans="1:25">
      <c r="A50" s="86">
        <v>16</v>
      </c>
      <c r="B50" s="82" t="str">
        <f>IFERROR(INDEX(Tabella!$B$2:$B$32,MATCH($A50,Tabella!$A$2:$A$32,0)),"")</f>
        <v>SEC-INTENTIONAL-DATA-MODEL-CHANGE</v>
      </c>
      <c r="C50" s="82" t="s">
        <v>117</v>
      </c>
      <c r="D50" s="82" t="s">
        <v>168</v>
      </c>
      <c r="E50" s="83">
        <v>0.7</v>
      </c>
      <c r="F50" s="83">
        <v>0.85</v>
      </c>
      <c r="G50" s="84">
        <f t="shared" si="3"/>
        <v>0.59499999999999997</v>
      </c>
      <c r="H50" s="177" t="s">
        <v>221</v>
      </c>
      <c r="I50" s="85">
        <f t="shared" si="4"/>
        <v>2</v>
      </c>
      <c r="J50" s="48" cm="1">
        <f t="array" ref="J50">IFERROR(SUMPRODUCT(G:G,I:I,--($A:$A=$A50))/SUMIF($A:$A,$A50,I:I),0)</f>
        <v>0.68285714285714272</v>
      </c>
      <c r="L50" s="227"/>
      <c r="M50" s="36"/>
    </row>
    <row r="51" spans="1:25" s="85" customFormat="1">
      <c r="A51" s="20">
        <v>17</v>
      </c>
      <c r="B51" s="21" t="str">
        <f>IFERROR(INDEX(Tabella!$B$2:$B$32,MATCH($A51,Tabella!$A$2:$A$32,0)),"")</f>
        <v>SEC-MALWARE</v>
      </c>
      <c r="C51" s="21" t="s">
        <v>155</v>
      </c>
      <c r="D51" s="21" t="s">
        <v>169</v>
      </c>
      <c r="E51" s="22">
        <v>0.95</v>
      </c>
      <c r="F51" s="22">
        <v>0.95</v>
      </c>
      <c r="G51" s="23">
        <f t="shared" si="3"/>
        <v>0.90249999999999997</v>
      </c>
      <c r="H51" s="173" t="s">
        <v>220</v>
      </c>
      <c r="I51">
        <f t="shared" si="4"/>
        <v>3</v>
      </c>
      <c r="J51" s="48" cm="1">
        <f t="array" ref="J51">IFERROR(SUMPRODUCT(G:G,I:I,--($A:$A=$A51))/SUMIF($A:$A,$A51,I:I),0)</f>
        <v>0.63924999999999998</v>
      </c>
      <c r="K51"/>
      <c r="L51" s="227"/>
      <c r="M51" s="36"/>
      <c r="N51"/>
      <c r="O51"/>
      <c r="P51"/>
      <c r="Q51"/>
      <c r="R51"/>
      <c r="S51"/>
      <c r="T51"/>
      <c r="U51"/>
      <c r="V51"/>
      <c r="W51"/>
      <c r="X51"/>
      <c r="Y51"/>
    </row>
    <row r="52" spans="1:25">
      <c r="A52" s="20">
        <v>17</v>
      </c>
      <c r="B52" s="21" t="str">
        <f>IFERROR(INDEX(Tabella!$B$2:$B$32,MATCH($A52,Tabella!$A$2:$A$32,0)),"")</f>
        <v>SEC-MALWARE</v>
      </c>
      <c r="C52" s="21" t="s">
        <v>170</v>
      </c>
      <c r="D52" s="21" t="s">
        <v>171</v>
      </c>
      <c r="E52" s="22">
        <v>0.5</v>
      </c>
      <c r="F52" s="22">
        <v>0.7</v>
      </c>
      <c r="G52" s="23">
        <f t="shared" si="3"/>
        <v>0.35</v>
      </c>
      <c r="H52" s="173" t="s">
        <v>220</v>
      </c>
      <c r="I52">
        <f t="shared" si="4"/>
        <v>3</v>
      </c>
      <c r="J52" s="48" cm="1">
        <f t="array" ref="J52">IFERROR(SUMPRODUCT(G:G,I:I,--($A:$A=$A52))/SUMIF($A:$A,$A52,I:I),0)</f>
        <v>0.63924999999999998</v>
      </c>
      <c r="L52" s="227"/>
      <c r="M52" s="36"/>
    </row>
    <row r="53" spans="1:25">
      <c r="A53" s="12">
        <v>17</v>
      </c>
      <c r="B53" s="13" t="str">
        <f>IFERROR(INDEX(Tabella!$B$2:$B$32,MATCH($A53,Tabella!$A$2:$A$32,0)),"")</f>
        <v>SEC-MALWARE</v>
      </c>
      <c r="C53" s="13" t="s">
        <v>119</v>
      </c>
      <c r="D53" s="13" t="s">
        <v>172</v>
      </c>
      <c r="E53" s="14">
        <v>0.85</v>
      </c>
      <c r="F53" s="14">
        <v>0.85</v>
      </c>
      <c r="G53" s="15">
        <f t="shared" si="3"/>
        <v>0.72249999999999992</v>
      </c>
      <c r="H53" s="174" t="s">
        <v>221</v>
      </c>
      <c r="I53">
        <f t="shared" si="4"/>
        <v>2</v>
      </c>
      <c r="J53" s="48" cm="1">
        <f t="array" ref="J53">IFERROR(SUMPRODUCT(G:G,I:I,--($A:$A=$A53))/SUMIF($A:$A,$A53,I:I),0)</f>
        <v>0.63924999999999998</v>
      </c>
      <c r="L53" s="227"/>
      <c r="M53" s="36"/>
    </row>
    <row r="54" spans="1:25">
      <c r="A54" s="81">
        <v>17</v>
      </c>
      <c r="B54" s="82" t="str">
        <f>IFERROR(INDEX(Tabella!$B$2:$B$32,MATCH($A54,Tabella!$A$2:$A$32,0)),"")</f>
        <v>SEC-MALWARE</v>
      </c>
      <c r="C54" s="82" t="s">
        <v>117</v>
      </c>
      <c r="D54" s="82" t="s">
        <v>173</v>
      </c>
      <c r="E54" s="83">
        <v>0.7</v>
      </c>
      <c r="F54" s="83">
        <v>0.85</v>
      </c>
      <c r="G54" s="84">
        <f t="shared" si="3"/>
        <v>0.59499999999999997</v>
      </c>
      <c r="H54" s="177" t="s">
        <v>221</v>
      </c>
      <c r="I54" s="85">
        <f t="shared" si="4"/>
        <v>2</v>
      </c>
      <c r="J54" s="48" cm="1">
        <f t="array" ref="J54">IFERROR(SUMPRODUCT(G:G,I:I,--($A:$A=$A54))/SUMIF($A:$A,$A54,I:I),0)</f>
        <v>0.63924999999999998</v>
      </c>
      <c r="L54" s="227"/>
      <c r="M54" s="36"/>
    </row>
    <row r="55" spans="1:25" s="85" customFormat="1">
      <c r="A55" s="107">
        <v>18</v>
      </c>
      <c r="B55" s="21" t="str">
        <f>IFERROR(INDEX(Tabella!$B$2:$B$32,MATCH($A55,Tabella!$A$2:$A$32,0)),"")</f>
        <v>SEC-DENIAL-OF-SERVICE</v>
      </c>
      <c r="C55" s="21" t="s">
        <v>155</v>
      </c>
      <c r="D55" s="21" t="s">
        <v>174</v>
      </c>
      <c r="E55" s="22">
        <v>0.95</v>
      </c>
      <c r="F55" s="22">
        <v>0.95</v>
      </c>
      <c r="G55" s="23">
        <f t="shared" si="3"/>
        <v>0.90249999999999997</v>
      </c>
      <c r="H55" s="173" t="s">
        <v>220</v>
      </c>
      <c r="I55">
        <f t="shared" si="4"/>
        <v>3</v>
      </c>
      <c r="J55" s="48" cm="1">
        <f t="array" ref="J55">IFERROR(SUMPRODUCT(G:G,I:I,--($A:$A=$A55))/SUMIF($A:$A,$A55,I:I),0)</f>
        <v>0.77949999999999997</v>
      </c>
      <c r="K55"/>
      <c r="L55" s="227"/>
      <c r="M55" s="36"/>
      <c r="N55"/>
      <c r="O55"/>
      <c r="P55"/>
      <c r="Q55"/>
      <c r="R55"/>
      <c r="S55"/>
      <c r="T55"/>
      <c r="U55"/>
      <c r="V55"/>
      <c r="W55"/>
      <c r="X55"/>
      <c r="Y55"/>
    </row>
    <row r="56" spans="1:25">
      <c r="A56" s="28">
        <v>18</v>
      </c>
      <c r="B56" s="29" t="str">
        <f>IFERROR(INDEX(Tabella!$B$2:$B$32,MATCH($A56,Tabella!$A$2:$A$32,0)),"")</f>
        <v>SEC-DENIAL-OF-SERVICE</v>
      </c>
      <c r="C56" s="29" t="s">
        <v>102</v>
      </c>
      <c r="D56" s="29" t="s">
        <v>175</v>
      </c>
      <c r="E56" s="30">
        <v>0.7</v>
      </c>
      <c r="F56" s="30">
        <v>0.85</v>
      </c>
      <c r="G56" s="31">
        <f t="shared" si="3"/>
        <v>0.59499999999999997</v>
      </c>
      <c r="H56" s="174" t="s">
        <v>221</v>
      </c>
      <c r="I56">
        <f t="shared" si="4"/>
        <v>2</v>
      </c>
      <c r="J56" s="48" cm="1">
        <f t="array" ref="J56">IFERROR(SUMPRODUCT(G:G,I:I,--($A:$A=$A56))/SUMIF($A:$A,$A56,I:I),0)</f>
        <v>0.77949999999999997</v>
      </c>
      <c r="L56" s="227"/>
      <c r="M56" s="36"/>
    </row>
    <row r="57" spans="1:25">
      <c r="A57" s="32">
        <v>19</v>
      </c>
      <c r="B57" s="33" t="str">
        <f>IFERROR(INDEX(Tabella!$B$2:$B$32,MATCH($A57,Tabella!$A$2:$A$32,0)),"")</f>
        <v>CONT-ENVIRONMENTAL-EXPOSURE</v>
      </c>
      <c r="C57" s="33" t="s">
        <v>176</v>
      </c>
      <c r="D57" s="33" t="s">
        <v>664</v>
      </c>
      <c r="E57" s="34">
        <v>0</v>
      </c>
      <c r="F57" s="34">
        <v>0</v>
      </c>
      <c r="G57" s="35">
        <f t="shared" si="3"/>
        <v>0</v>
      </c>
      <c r="H57" s="176" t="s">
        <v>787</v>
      </c>
      <c r="I57">
        <f t="shared" si="4"/>
        <v>0</v>
      </c>
      <c r="J57" s="48" cm="1">
        <f t="array" ref="J57">IFERROR(SUMPRODUCT(G:G,I:I,--($A:$A=$A57))/SUMIF($A:$A,$A57,I:I),0)</f>
        <v>0</v>
      </c>
      <c r="L57" s="227"/>
      <c r="M57" s="36"/>
    </row>
    <row r="58" spans="1:25">
      <c r="A58" s="24">
        <v>20</v>
      </c>
      <c r="B58" s="25" t="str">
        <f>IFERROR(INDEX(Tabella!$B$2:$B$32,MATCH($A58,Tabella!$A$2:$A$32,0)),"")</f>
        <v>CONT-INFRASTRUCTURE-EQUIPMENT-FAILURE</v>
      </c>
      <c r="C58" s="25" t="s">
        <v>176</v>
      </c>
      <c r="D58" s="25" t="s">
        <v>664</v>
      </c>
      <c r="E58" s="26">
        <v>0</v>
      </c>
      <c r="F58" s="26">
        <v>0</v>
      </c>
      <c r="G58" s="27">
        <f t="shared" si="3"/>
        <v>0</v>
      </c>
      <c r="H58" s="176" t="s">
        <v>787</v>
      </c>
      <c r="I58">
        <f t="shared" si="4"/>
        <v>0</v>
      </c>
      <c r="J58" s="48" cm="1">
        <f t="array" ref="J58">IFERROR(SUMPRODUCT(G:G,I:I,--($A:$A=$A58))/SUMIF($A:$A,$A58,I:I),0)</f>
        <v>0</v>
      </c>
      <c r="L58" s="227"/>
      <c r="M58" s="36"/>
    </row>
    <row r="59" spans="1:25" s="85" customFormat="1">
      <c r="A59" s="28">
        <v>21</v>
      </c>
      <c r="B59" s="29" t="str">
        <f>IFERROR(INDEX(Tabella!$B$2:$B$32,MATCH($A59,Tabella!$A$2:$A$32,0)),"")</f>
        <v>CONT-UNAUTHORIZED-PHYSICAL-ACCESS</v>
      </c>
      <c r="C59" s="29" t="s">
        <v>176</v>
      </c>
      <c r="D59" s="29" t="s">
        <v>664</v>
      </c>
      <c r="E59" s="30">
        <v>0</v>
      </c>
      <c r="F59" s="30">
        <v>0</v>
      </c>
      <c r="G59" s="31">
        <f t="shared" si="3"/>
        <v>0</v>
      </c>
      <c r="H59" s="176" t="s">
        <v>787</v>
      </c>
      <c r="I59">
        <f t="shared" si="4"/>
        <v>0</v>
      </c>
      <c r="J59" s="48" cm="1">
        <f t="array" ref="J59">IFERROR(SUMPRODUCT(G:G,I:I,--($A:$A=$A59))/SUMIF($A:$A,$A59,I:I),0)</f>
        <v>0</v>
      </c>
      <c r="K59"/>
      <c r="L59" s="227"/>
      <c r="M59" s="36"/>
      <c r="N59"/>
      <c r="O59"/>
      <c r="P59"/>
      <c r="Q59"/>
      <c r="R59"/>
      <c r="S59"/>
      <c r="T59"/>
      <c r="U59"/>
      <c r="V59"/>
      <c r="W59"/>
      <c r="X59"/>
      <c r="Y59"/>
    </row>
    <row r="60" spans="1:25">
      <c r="A60" s="32">
        <v>22</v>
      </c>
      <c r="B60" s="33" t="str">
        <f>IFERROR(INDEX(Tabella!$B$2:$B$32,MATCH($A60,Tabella!$A$2:$A$32,0)),"")</f>
        <v>CONT-STAFF-UNAVAILABILITY</v>
      </c>
      <c r="C60" s="33" t="s">
        <v>176</v>
      </c>
      <c r="D60" s="33" t="s">
        <v>664</v>
      </c>
      <c r="E60" s="34">
        <v>0</v>
      </c>
      <c r="F60" s="34">
        <v>0</v>
      </c>
      <c r="G60" s="35">
        <f t="shared" si="3"/>
        <v>0</v>
      </c>
      <c r="H60" s="176" t="s">
        <v>787</v>
      </c>
      <c r="I60">
        <f t="shared" si="4"/>
        <v>0</v>
      </c>
      <c r="J60" s="48" cm="1">
        <f t="array" ref="J60">IFERROR(SUMPRODUCT(G:G,I:I,--($A:$A=$A60))/SUMIF($A:$A,$A60,I:I),0)</f>
        <v>0</v>
      </c>
      <c r="L60" s="227"/>
      <c r="M60" s="36"/>
    </row>
    <row r="61" spans="1:25">
      <c r="A61" s="24">
        <v>23</v>
      </c>
      <c r="B61" s="25" t="str">
        <f>IFERROR(INDEX(Tabella!$B$2:$B$32,MATCH($A61,Tabella!$A$2:$A$32,0)),"")</f>
        <v>PRIV-UNLAWFUL-DATA-PROCESSING_GDPR</v>
      </c>
      <c r="C61" s="25" t="s">
        <v>177</v>
      </c>
      <c r="D61" s="25" t="s">
        <v>178</v>
      </c>
      <c r="E61" s="26">
        <v>0.85</v>
      </c>
      <c r="F61" s="26">
        <v>0.95</v>
      </c>
      <c r="G61" s="27">
        <f t="shared" si="3"/>
        <v>0.8075</v>
      </c>
      <c r="H61" s="173" t="s">
        <v>220</v>
      </c>
      <c r="I61">
        <f t="shared" si="4"/>
        <v>3</v>
      </c>
      <c r="J61" s="48" cm="1">
        <f t="array" ref="J61">IFERROR(SUMPRODUCT(G:G,I:I,--($A:$A=$A61))/SUMIF($A:$A,$A61,I:I),0)</f>
        <v>0.7022222222222223</v>
      </c>
      <c r="L61" s="227"/>
      <c r="M61" s="36"/>
    </row>
    <row r="62" spans="1:25">
      <c r="A62" s="20">
        <v>23</v>
      </c>
      <c r="B62" s="21" t="str">
        <f>IFERROR(INDEX(Tabella!$B$2:$B$32,MATCH($A62,Tabella!$A$2:$A$32,0)),"")</f>
        <v>PRIV-UNLAWFUL-DATA-PROCESSING_GDPR</v>
      </c>
      <c r="C62" s="21" t="s">
        <v>179</v>
      </c>
      <c r="D62" s="21" t="s">
        <v>180</v>
      </c>
      <c r="E62" s="22">
        <v>0.95</v>
      </c>
      <c r="F62" s="22">
        <v>0.95</v>
      </c>
      <c r="G62" s="23">
        <f t="shared" si="3"/>
        <v>0.90249999999999997</v>
      </c>
      <c r="H62" s="173" t="s">
        <v>220</v>
      </c>
      <c r="I62">
        <f t="shared" si="4"/>
        <v>3</v>
      </c>
      <c r="J62" s="48" cm="1">
        <f t="array" ref="J62">IFERROR(SUMPRODUCT(G:G,I:I,--($A:$A=$A62))/SUMIF($A:$A,$A62,I:I),0)</f>
        <v>0.7022222222222223</v>
      </c>
      <c r="L62" s="227"/>
      <c r="M62" s="36"/>
    </row>
    <row r="63" spans="1:25">
      <c r="A63" s="12">
        <v>23</v>
      </c>
      <c r="B63" s="13" t="str">
        <f>IFERROR(INDEX(Tabella!$B$2:$B$32,MATCH($A63,Tabella!$A$2:$A$32,0)),"")</f>
        <v>PRIV-UNLAWFUL-DATA-PROCESSING_GDPR</v>
      </c>
      <c r="C63" s="13" t="s">
        <v>181</v>
      </c>
      <c r="D63" s="13" t="s">
        <v>182</v>
      </c>
      <c r="E63" s="14">
        <v>0.5</v>
      </c>
      <c r="F63" s="14">
        <v>0.7</v>
      </c>
      <c r="G63" s="15">
        <f t="shared" si="3"/>
        <v>0.35</v>
      </c>
      <c r="H63" s="174" t="s">
        <v>221</v>
      </c>
      <c r="I63">
        <f t="shared" si="4"/>
        <v>2</v>
      </c>
      <c r="J63" s="48" cm="1">
        <f t="array" ref="J63">IFERROR(SUMPRODUCT(G:G,I:I,--($A:$A=$A63))/SUMIF($A:$A,$A63,I:I),0)</f>
        <v>0.7022222222222223</v>
      </c>
      <c r="L63" s="227"/>
      <c r="M63" s="36"/>
    </row>
    <row r="64" spans="1:25">
      <c r="A64" s="81">
        <v>23</v>
      </c>
      <c r="B64" s="82" t="str">
        <f>IFERROR(INDEX(Tabella!$B$2:$B$32,MATCH($A64,Tabella!$A$2:$A$32,0)),"")</f>
        <v>PRIV-UNLAWFUL-DATA-PROCESSING_GDPR</v>
      </c>
      <c r="C64" s="82" t="s">
        <v>106</v>
      </c>
      <c r="D64" s="82" t="s">
        <v>183</v>
      </c>
      <c r="E64" s="83">
        <v>0.7</v>
      </c>
      <c r="F64" s="83">
        <v>0.7</v>
      </c>
      <c r="G64" s="84">
        <f t="shared" si="3"/>
        <v>0.48999999999999994</v>
      </c>
      <c r="H64" s="178" t="s">
        <v>222</v>
      </c>
      <c r="I64" s="85">
        <f t="shared" si="4"/>
        <v>1</v>
      </c>
      <c r="J64" s="48" cm="1">
        <f t="array" ref="J64">IFERROR(SUMPRODUCT(G:G,I:I,--($A:$A=$A64))/SUMIF($A:$A,$A64,I:I),0)</f>
        <v>0.7022222222222223</v>
      </c>
      <c r="L64" s="227"/>
      <c r="M64" s="36"/>
    </row>
    <row r="65" spans="1:25" s="85" customFormat="1">
      <c r="A65" s="20">
        <v>24</v>
      </c>
      <c r="B65" s="21" t="str">
        <f>IFERROR(INDEX(Tabella!$B$2:$B$32,MATCH($A65,Tabella!$A$2:$A$32,0)),"")</f>
        <v>PRIV-RETENTION-SUBJECT-RIGHTS_GDPR</v>
      </c>
      <c r="C65" s="21" t="s">
        <v>184</v>
      </c>
      <c r="D65" s="21" t="s">
        <v>185</v>
      </c>
      <c r="E65" s="22">
        <v>0.85</v>
      </c>
      <c r="F65" s="22">
        <v>0.85</v>
      </c>
      <c r="G65" s="23">
        <f t="shared" si="3"/>
        <v>0.72249999999999992</v>
      </c>
      <c r="H65" s="173" t="s">
        <v>220</v>
      </c>
      <c r="I65">
        <f t="shared" si="4"/>
        <v>3</v>
      </c>
      <c r="J65" s="48" cm="1">
        <f t="array" ref="J65">IFERROR(SUMPRODUCT(G:G,I:I,--($A:$A=$A65))/SUMIF($A:$A,$A65,I:I),0)</f>
        <v>0.67388888888888898</v>
      </c>
      <c r="K65"/>
      <c r="L65" s="227"/>
      <c r="M65" s="36"/>
      <c r="N65"/>
      <c r="O65"/>
      <c r="P65"/>
      <c r="Q65"/>
      <c r="R65"/>
      <c r="S65"/>
      <c r="T65"/>
      <c r="U65"/>
      <c r="V65"/>
      <c r="W65"/>
      <c r="X65"/>
      <c r="Y65"/>
    </row>
    <row r="66" spans="1:25">
      <c r="A66" s="20">
        <v>24</v>
      </c>
      <c r="B66" s="21" t="str">
        <f>IFERROR(INDEX(Tabella!$B$2:$B$32,MATCH($A66,Tabella!$A$2:$A$32,0)),"")</f>
        <v>PRIV-RETENTION-SUBJECT-RIGHTS_GDPR</v>
      </c>
      <c r="C66" s="21" t="s">
        <v>121</v>
      </c>
      <c r="D66" s="21" t="s">
        <v>186</v>
      </c>
      <c r="E66" s="22">
        <v>0.95</v>
      </c>
      <c r="F66" s="22">
        <v>0.95</v>
      </c>
      <c r="G66" s="23">
        <f t="shared" si="3"/>
        <v>0.90249999999999997</v>
      </c>
      <c r="H66" s="173" t="s">
        <v>220</v>
      </c>
      <c r="I66">
        <f t="shared" si="4"/>
        <v>3</v>
      </c>
      <c r="J66" s="48" cm="1">
        <f t="array" ref="J66">IFERROR(SUMPRODUCT(G:G,I:I,--($A:$A=$A66))/SUMIF($A:$A,$A66,I:I),0)</f>
        <v>0.67388888888888898</v>
      </c>
      <c r="L66" s="227"/>
      <c r="M66" s="36"/>
    </row>
    <row r="67" spans="1:25">
      <c r="A67" s="12">
        <v>24</v>
      </c>
      <c r="B67" s="13" t="str">
        <f>IFERROR(INDEX(Tabella!$B$2:$B$32,MATCH($A67,Tabella!$A$2:$A$32,0)),"")</f>
        <v>PRIV-RETENTION-SUBJECT-RIGHTS_GDPR</v>
      </c>
      <c r="C67" s="13" t="s">
        <v>187</v>
      </c>
      <c r="D67" s="13" t="s">
        <v>188</v>
      </c>
      <c r="E67" s="14">
        <v>0.7</v>
      </c>
      <c r="F67" s="14">
        <v>0.7</v>
      </c>
      <c r="G67" s="15">
        <f t="shared" si="3"/>
        <v>0.48999999999999994</v>
      </c>
      <c r="H67" s="175" t="s">
        <v>222</v>
      </c>
      <c r="I67">
        <f t="shared" si="4"/>
        <v>1</v>
      </c>
      <c r="J67" s="48" cm="1">
        <f t="array" ref="J67">IFERROR(SUMPRODUCT(G:G,I:I,--($A:$A=$A67))/SUMIF($A:$A,$A67,I:I),0)</f>
        <v>0.67388888888888898</v>
      </c>
      <c r="L67" s="227"/>
      <c r="M67" s="36"/>
    </row>
    <row r="68" spans="1:25">
      <c r="A68" s="81">
        <v>24</v>
      </c>
      <c r="B68" s="82" t="str">
        <f>IFERROR(INDEX(Tabella!$B$2:$B$32,MATCH($A68,Tabella!$A$2:$A$32,0)),"")</f>
        <v>PRIV-RETENTION-SUBJECT-RIGHTS_GDPR</v>
      </c>
      <c r="C68" s="82" t="s">
        <v>189</v>
      </c>
      <c r="D68" s="82" t="s">
        <v>190</v>
      </c>
      <c r="E68" s="83">
        <v>0.5</v>
      </c>
      <c r="F68" s="83">
        <v>0.7</v>
      </c>
      <c r="G68" s="84">
        <f t="shared" si="3"/>
        <v>0.35</v>
      </c>
      <c r="H68" s="179" t="s">
        <v>221</v>
      </c>
      <c r="I68" s="85">
        <f t="shared" si="4"/>
        <v>2</v>
      </c>
      <c r="J68" s="48" cm="1">
        <f t="array" ref="J68">IFERROR(SUMPRODUCT(G:G,I:I,--($A:$A=$A68))/SUMIF($A:$A,$A68,I:I),0)</f>
        <v>0.67388888888888898</v>
      </c>
      <c r="L68" s="227"/>
      <c r="M68" s="36"/>
    </row>
    <row r="69" spans="1:25" s="85" customFormat="1">
      <c r="A69" s="86">
        <v>25</v>
      </c>
      <c r="B69" s="87" t="str">
        <f>IFERROR(INDEX(Tabella!$B$2:$B$32,MATCH($A69,Tabella!$A$2:$A$32,0)),"")</f>
        <v>SUP-SUPPLIER-DEPENDENCY_ISO</v>
      </c>
      <c r="C69" s="87" t="s">
        <v>191</v>
      </c>
      <c r="D69" s="87" t="s">
        <v>192</v>
      </c>
      <c r="E69" s="88">
        <v>0.5</v>
      </c>
      <c r="F69" s="88">
        <v>0.85</v>
      </c>
      <c r="G69" s="89">
        <f t="shared" si="3"/>
        <v>0.42499999999999999</v>
      </c>
      <c r="H69" s="179" t="s">
        <v>220</v>
      </c>
      <c r="I69" s="85">
        <f t="shared" si="4"/>
        <v>3</v>
      </c>
      <c r="J69" s="48" cm="1">
        <f t="array" ref="J69">IFERROR(SUMPRODUCT(G:G,I:I,--($A:$A=$A69))/SUMIF($A:$A,$A69,I:I),0)</f>
        <v>0.42499999999999999</v>
      </c>
      <c r="K69"/>
      <c r="L69" s="227"/>
      <c r="M69" s="36"/>
      <c r="N69"/>
      <c r="O69"/>
      <c r="P69"/>
      <c r="Q69"/>
      <c r="R69"/>
      <c r="S69"/>
      <c r="T69"/>
      <c r="U69"/>
      <c r="V69"/>
      <c r="W69"/>
      <c r="X69"/>
      <c r="Y69"/>
    </row>
    <row r="70" spans="1:25" s="85" customFormat="1">
      <c r="A70" s="20">
        <v>26</v>
      </c>
      <c r="B70" s="21" t="str">
        <f>IFERROR(INDEX(Tabella!$B$2:$B$32,MATCH($A70,Tabella!$A$2:$A$32,0)),"")</f>
        <v xml:space="preserve">GOV-DOCUMENTATION-TRANSPARENCY -GDPR </v>
      </c>
      <c r="C70" s="21" t="s">
        <v>193</v>
      </c>
      <c r="D70" s="21" t="s">
        <v>194</v>
      </c>
      <c r="E70" s="22">
        <v>0.85</v>
      </c>
      <c r="F70" s="22">
        <v>0.7</v>
      </c>
      <c r="G70" s="23">
        <f t="shared" si="3"/>
        <v>0.59499999999999997</v>
      </c>
      <c r="H70" s="173" t="s">
        <v>220</v>
      </c>
      <c r="I70">
        <f t="shared" si="4"/>
        <v>3</v>
      </c>
      <c r="J70" s="48" cm="1">
        <f t="array" ref="J70">IFERROR(SUMPRODUCT(G:G,I:I,--($A:$A=$A70))/SUMIF($A:$A,$A70,I:I),0)</f>
        <v>0.54249999999999998</v>
      </c>
      <c r="K70"/>
      <c r="L70" s="227"/>
      <c r="M70" s="36"/>
      <c r="N70"/>
      <c r="O70"/>
      <c r="P70"/>
      <c r="Q70"/>
      <c r="R70"/>
      <c r="S70"/>
      <c r="T70"/>
      <c r="U70"/>
      <c r="V70"/>
      <c r="W70"/>
      <c r="X70"/>
      <c r="Y70"/>
    </row>
    <row r="71" spans="1:25">
      <c r="A71" s="86">
        <v>26</v>
      </c>
      <c r="B71" s="87" t="str">
        <f>IFERROR(INDEX(Tabella!$B$2:$B$32,MATCH($A71,Tabella!$A$2:$A$32,0)),"")</f>
        <v xml:space="preserve">GOV-DOCUMENTATION-TRANSPARENCY -GDPR </v>
      </c>
      <c r="C71" s="87" t="s">
        <v>144</v>
      </c>
      <c r="D71" s="87" t="s">
        <v>195</v>
      </c>
      <c r="E71" s="88">
        <v>0.7</v>
      </c>
      <c r="F71" s="88">
        <v>0.7</v>
      </c>
      <c r="G71" s="89">
        <f t="shared" si="3"/>
        <v>0.48999999999999994</v>
      </c>
      <c r="H71" s="179" t="s">
        <v>220</v>
      </c>
      <c r="I71" s="85">
        <f t="shared" si="4"/>
        <v>3</v>
      </c>
      <c r="J71" s="48" cm="1">
        <f t="array" ref="J71">IFERROR(SUMPRODUCT(G:G,I:I,--($A:$A=$A71))/SUMIF($A:$A,$A71,I:I),0)</f>
        <v>0.54249999999999998</v>
      </c>
      <c r="L71" s="227"/>
      <c r="M71" s="36"/>
    </row>
    <row r="72" spans="1:25" s="85" customFormat="1">
      <c r="A72" s="20">
        <v>27</v>
      </c>
      <c r="B72" s="21" t="str">
        <f>IFERROR(INDEX(Tabella!$B$2:$B$32,MATCH($A72,Tabella!$A$2:$A$32,0)),"")</f>
        <v xml:space="preserve">GOV-ACCOUNTABILITY-AUDITABILITY -GDPR </v>
      </c>
      <c r="C72" s="21" t="s">
        <v>117</v>
      </c>
      <c r="D72" s="21" t="s">
        <v>196</v>
      </c>
      <c r="E72" s="22">
        <v>0.7</v>
      </c>
      <c r="F72" s="22">
        <v>0.85</v>
      </c>
      <c r="G72" s="23">
        <f t="shared" si="3"/>
        <v>0.59499999999999997</v>
      </c>
      <c r="H72" s="173" t="s">
        <v>220</v>
      </c>
      <c r="I72">
        <f t="shared" si="4"/>
        <v>3</v>
      </c>
      <c r="J72" s="48" cm="1">
        <f t="array" ref="J72">IFERROR(SUMPRODUCT(G:G,I:I,--($A:$A=$A72))/SUMIF($A:$A,$A72,I:I),0)</f>
        <v>0.54249999999999998</v>
      </c>
      <c r="K72"/>
      <c r="L72" s="227"/>
      <c r="M72" s="36"/>
      <c r="N72"/>
      <c r="O72"/>
      <c r="P72"/>
      <c r="Q72"/>
      <c r="R72"/>
      <c r="S72"/>
      <c r="T72"/>
      <c r="U72"/>
      <c r="V72"/>
      <c r="W72"/>
      <c r="X72"/>
      <c r="Y72"/>
    </row>
    <row r="73" spans="1:25">
      <c r="A73" s="86">
        <v>27</v>
      </c>
      <c r="B73" s="87" t="str">
        <f>IFERROR(INDEX(Tabella!$B$2:$B$32,MATCH($A73,Tabella!$A$2:$A$32,0)),"")</f>
        <v xml:space="preserve">GOV-ACCOUNTABILITY-AUDITABILITY -GDPR </v>
      </c>
      <c r="C73" s="87" t="s">
        <v>197</v>
      </c>
      <c r="D73" s="87" t="s">
        <v>198</v>
      </c>
      <c r="E73" s="88">
        <v>0.7</v>
      </c>
      <c r="F73" s="88">
        <v>0.7</v>
      </c>
      <c r="G73" s="89">
        <f t="shared" si="3"/>
        <v>0.48999999999999994</v>
      </c>
      <c r="H73" s="179" t="s">
        <v>220</v>
      </c>
      <c r="I73" s="85">
        <f t="shared" si="4"/>
        <v>3</v>
      </c>
      <c r="J73" s="48" cm="1">
        <f t="array" ref="J73">IFERROR(SUMPRODUCT(G:G,I:I,--($A:$A=$A73))/SUMIF($A:$A,$A73,I:I),0)</f>
        <v>0.54249999999999998</v>
      </c>
      <c r="L73" s="227"/>
      <c r="M73" s="36"/>
    </row>
    <row r="74" spans="1:25" s="85" customFormat="1">
      <c r="A74" s="28">
        <v>28</v>
      </c>
      <c r="B74" s="29" t="str">
        <f>IFERROR(INDEX(Tabella!$B$2:$B$32,MATCH($A74,Tabella!$A$2:$A$32,0)),"")</f>
        <v>GOV-AI-CLASSIFICATION</v>
      </c>
      <c r="C74" s="29" t="s">
        <v>199</v>
      </c>
      <c r="D74" s="29" t="s">
        <v>200</v>
      </c>
      <c r="E74" s="30">
        <v>0.85</v>
      </c>
      <c r="F74" s="30">
        <v>0.7</v>
      </c>
      <c r="G74" s="31">
        <f t="shared" si="3"/>
        <v>0.59499999999999997</v>
      </c>
      <c r="H74" s="179" t="s">
        <v>220</v>
      </c>
      <c r="I74" s="85">
        <f t="shared" si="4"/>
        <v>3</v>
      </c>
      <c r="J74" s="48" cm="1">
        <f t="array" ref="J74">IFERROR(SUMPRODUCT(G:G,I:I,--($A:$A=$A74))/SUMIF($A:$A,$A74,I:I),0)</f>
        <v>0.59499999999999997</v>
      </c>
      <c r="K74"/>
      <c r="L74" s="227"/>
      <c r="M74" s="36"/>
      <c r="N74"/>
      <c r="O74"/>
      <c r="P74"/>
      <c r="Q74"/>
      <c r="R74"/>
      <c r="S74"/>
      <c r="T74"/>
      <c r="U74"/>
      <c r="V74"/>
      <c r="W74"/>
      <c r="X74"/>
      <c r="Y74"/>
    </row>
    <row r="75" spans="1:25" s="85" customFormat="1">
      <c r="A75" s="98">
        <v>29</v>
      </c>
      <c r="B75" s="7" t="str">
        <f>IFERROR(INDEX(Tabella!$B$2:$B$32,MATCH($A75,Tabella!$A$2:$A$32,0)),"")</f>
        <v>GOV-DEROGA-SCOPE</v>
      </c>
      <c r="C75" s="7" t="s">
        <v>201</v>
      </c>
      <c r="D75" s="7" t="s">
        <v>202</v>
      </c>
      <c r="E75" s="102">
        <v>0.3</v>
      </c>
      <c r="F75" s="102">
        <v>0.7</v>
      </c>
      <c r="G75" s="103">
        <f t="shared" si="3"/>
        <v>0.21</v>
      </c>
      <c r="H75" s="175" t="s">
        <v>222</v>
      </c>
      <c r="I75">
        <f t="shared" si="4"/>
        <v>1</v>
      </c>
      <c r="J75" s="48" cm="1">
        <f t="array" ref="J75">IFERROR(SUMPRODUCT(G:G,I:I,--($A:$A=$A75))/SUMIF($A:$A,$A75,I:I),0)</f>
        <v>0.59437499999999988</v>
      </c>
      <c r="K75"/>
      <c r="L75" s="227"/>
      <c r="M75" s="36"/>
      <c r="N75"/>
      <c r="O75"/>
      <c r="P75"/>
      <c r="Q75"/>
      <c r="R75"/>
      <c r="S75"/>
      <c r="T75"/>
      <c r="U75"/>
      <c r="V75"/>
      <c r="W75"/>
      <c r="X75"/>
      <c r="Y75"/>
    </row>
    <row r="76" spans="1:25">
      <c r="A76" s="104">
        <v>29</v>
      </c>
      <c r="B76" s="80" t="str">
        <f>IFERROR(INDEX(Tabella!$B$2:$B$32,MATCH($A76,Tabella!$A$2:$A$32,0)),"")</f>
        <v>GOV-DEROGA-SCOPE</v>
      </c>
      <c r="C76" s="80" t="s">
        <v>269</v>
      </c>
      <c r="D76" s="80" t="s">
        <v>206</v>
      </c>
      <c r="E76" s="105">
        <v>0.85</v>
      </c>
      <c r="F76" s="105">
        <v>0.85</v>
      </c>
      <c r="G76" s="106">
        <f t="shared" si="3"/>
        <v>0.72249999999999992</v>
      </c>
      <c r="H76" s="173" t="s">
        <v>220</v>
      </c>
      <c r="I76">
        <f t="shared" si="4"/>
        <v>3</v>
      </c>
      <c r="J76" s="48" cm="1">
        <f t="array" ref="J76">IFERROR(SUMPRODUCT(G:G,I:I,--($A:$A=$A76))/SUMIF($A:$A,$A76,I:I),0)</f>
        <v>0.59437499999999988</v>
      </c>
      <c r="L76" s="227"/>
      <c r="M76" s="36"/>
    </row>
    <row r="77" spans="1:25">
      <c r="A77" s="104">
        <v>29</v>
      </c>
      <c r="B77" s="80" t="str">
        <f>IFERROR(INDEX(Tabella!$B$2:$B$32,MATCH($A77,Tabella!$A$2:$A$32,0)),"")</f>
        <v>GOV-DEROGA-SCOPE</v>
      </c>
      <c r="C77" s="80" t="s">
        <v>271</v>
      </c>
      <c r="D77" s="80" t="s">
        <v>207</v>
      </c>
      <c r="E77" s="105">
        <v>0.7</v>
      </c>
      <c r="F77" s="105">
        <v>0.3</v>
      </c>
      <c r="G77" s="106">
        <f t="shared" si="3"/>
        <v>0.21</v>
      </c>
      <c r="H77" s="174" t="s">
        <v>821</v>
      </c>
      <c r="I77">
        <f t="shared" si="4"/>
        <v>0</v>
      </c>
      <c r="J77" s="48" cm="1">
        <f t="array" ref="J77">IFERROR(SUMPRODUCT(G:G,I:I,--($A:$A=$A77))/SUMIF($A:$A,$A77,I:I),0)</f>
        <v>0.59437499999999988</v>
      </c>
      <c r="L77" s="227"/>
      <c r="M77" s="36"/>
    </row>
    <row r="78" spans="1:25">
      <c r="A78" s="109">
        <v>29</v>
      </c>
      <c r="B78" s="110" t="str">
        <f>IFERROR(INDEX(Tabella!$B$2:$B$32,MATCH($A78,Tabella!$A$2:$A$32,0)),"")</f>
        <v>GOV-DEROGA-SCOPE</v>
      </c>
      <c r="C78" s="110" t="s">
        <v>270</v>
      </c>
      <c r="D78" s="110" t="s">
        <v>208</v>
      </c>
      <c r="E78" s="111">
        <v>0.7</v>
      </c>
      <c r="F78" s="111">
        <v>0.7</v>
      </c>
      <c r="G78" s="112">
        <f t="shared" si="3"/>
        <v>0.48999999999999994</v>
      </c>
      <c r="H78" s="174" t="s">
        <v>821</v>
      </c>
      <c r="I78">
        <f t="shared" si="4"/>
        <v>0</v>
      </c>
      <c r="J78" s="48" cm="1">
        <f t="array" ref="J78">IFERROR(SUMPRODUCT(G:G,I:I,--($A:$A=$A78))/SUMIF($A:$A,$A78,I:I),0)</f>
        <v>0.59437499999999988</v>
      </c>
      <c r="L78" s="227"/>
      <c r="M78" s="36"/>
    </row>
    <row r="79" spans="1:25" s="85" customFormat="1">
      <c r="A79" s="91">
        <v>30</v>
      </c>
      <c r="B79" s="92" t="str">
        <f>IFERROR(INDEX(Tabella!$B$2:$B$32,MATCH($A79,Tabella!$A$2:$A$32,0)),"")</f>
        <v>GOV-DEROGA-DOC-MAINTENANCE</v>
      </c>
      <c r="C79" s="92" t="s">
        <v>201</v>
      </c>
      <c r="D79" s="92" t="s">
        <v>203</v>
      </c>
      <c r="E79" s="93">
        <v>0.3</v>
      </c>
      <c r="F79" s="93">
        <v>0.7</v>
      </c>
      <c r="G79" s="94">
        <f t="shared" si="3"/>
        <v>0.21</v>
      </c>
      <c r="H79" s="178" t="s">
        <v>222</v>
      </c>
      <c r="I79" s="85">
        <f t="shared" si="4"/>
        <v>1</v>
      </c>
      <c r="J79" s="48" cm="1">
        <f t="array" ref="J79">IFERROR(SUMPRODUCT(G:G,I:I,--($A:$A=$A79))/SUMIF($A:$A,$A79,I:I),0)</f>
        <v>0.49874999999999997</v>
      </c>
      <c r="K79"/>
      <c r="L79" s="227"/>
      <c r="M79" s="36"/>
      <c r="N79"/>
      <c r="O79"/>
      <c r="P79"/>
      <c r="Q79"/>
      <c r="R79"/>
      <c r="S79"/>
      <c r="T79"/>
      <c r="U79"/>
      <c r="V79"/>
      <c r="W79"/>
      <c r="X79"/>
      <c r="Y79"/>
    </row>
    <row r="80" spans="1:25" s="85" customFormat="1">
      <c r="A80" s="91">
        <v>30</v>
      </c>
      <c r="B80" s="92" t="str">
        <f>IFERROR(INDEX(Tabella!$B$2:$B$32,MATCH($A80,Tabella!$A$2:$A$32,0)),"")</f>
        <v>GOV-DEROGA-DOC-MAINTENANCE</v>
      </c>
      <c r="C80" s="92" t="s">
        <v>272</v>
      </c>
      <c r="D80" s="92" t="s">
        <v>209</v>
      </c>
      <c r="E80" s="93">
        <v>0.85</v>
      </c>
      <c r="F80" s="93">
        <v>0.7</v>
      </c>
      <c r="G80" s="94">
        <f t="shared" si="3"/>
        <v>0.59499999999999997</v>
      </c>
      <c r="H80" s="179" t="s">
        <v>220</v>
      </c>
      <c r="I80" s="85">
        <f t="shared" si="4"/>
        <v>3</v>
      </c>
      <c r="J80" s="48" cm="1">
        <f t="array" ref="J80">IFERROR(SUMPRODUCT(G:G,I:I,--($A:$A=$A80))/SUMIF($A:$A,$A80,I:I),0)</f>
        <v>0.49874999999999997</v>
      </c>
      <c r="K80"/>
      <c r="L80" s="227"/>
      <c r="M80" s="36"/>
      <c r="N80"/>
      <c r="O80"/>
      <c r="P80"/>
      <c r="Q80"/>
      <c r="R80"/>
      <c r="S80"/>
      <c r="T80"/>
      <c r="U80"/>
      <c r="V80"/>
      <c r="W80"/>
      <c r="X80"/>
      <c r="Y80"/>
    </row>
    <row r="81" spans="1:79" s="85" customFormat="1">
      <c r="A81" s="86">
        <v>31</v>
      </c>
      <c r="B81" s="87" t="str">
        <f>IFERROR(INDEX(Tabella!$B$2:$B$32,MATCH($A81,Tabella!$A$2:$A$32,0)),"")</f>
        <v>GOV-DEROGA-PROFILING-EXCLUSION -GDPR</v>
      </c>
      <c r="C81" s="87" t="s">
        <v>204</v>
      </c>
      <c r="D81" s="87" t="s">
        <v>205</v>
      </c>
      <c r="E81" s="88">
        <v>0.95</v>
      </c>
      <c r="F81" s="88">
        <v>0.95</v>
      </c>
      <c r="G81" s="89">
        <f t="shared" si="3"/>
        <v>0.90249999999999997</v>
      </c>
      <c r="H81" s="179" t="s">
        <v>220</v>
      </c>
      <c r="I81" s="85">
        <f t="shared" si="4"/>
        <v>3</v>
      </c>
      <c r="J81" s="48" cm="1">
        <f t="array" ref="J81">IFERROR(SUMPRODUCT(G:G,I:I,--($A:$A=$A81))/SUMIF($A:$A,$A81,I:I),0)</f>
        <v>0.90249999999999997</v>
      </c>
      <c r="K81"/>
      <c r="L81" s="227"/>
      <c r="M81" s="36"/>
      <c r="N81"/>
      <c r="O81"/>
      <c r="P81"/>
      <c r="Q81"/>
      <c r="R81"/>
      <c r="S81"/>
      <c r="T81"/>
      <c r="U81"/>
      <c r="V81"/>
      <c r="W81"/>
      <c r="X81"/>
      <c r="Y81"/>
    </row>
    <row r="82" spans="1:79" s="85" customFormat="1">
      <c r="A82"/>
      <c r="B82"/>
      <c r="C82"/>
      <c r="D82"/>
      <c r="E82"/>
      <c r="F82"/>
      <c r="G82"/>
      <c r="H82"/>
      <c r="I82"/>
      <c r="J82" s="48"/>
      <c r="K82"/>
      <c r="L82" s="8"/>
      <c r="M82" s="36"/>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row>
    <row r="83" spans="1:79" s="85" customFormat="1" ht="67" customHeight="1">
      <c r="A83" s="98"/>
      <c r="B83" s="98"/>
      <c r="C83" s="98"/>
      <c r="D83" s="98"/>
      <c r="E83" s="98"/>
      <c r="F83" s="98"/>
      <c r="G83" s="98"/>
      <c r="H83" s="98"/>
      <c r="I83" s="98"/>
      <c r="J83" s="98"/>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row>
    <row r="86" spans="1:79">
      <c r="A86" s="113"/>
      <c r="B86" s="113"/>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c r="AO86" s="113"/>
      <c r="AP86" s="113"/>
      <c r="AQ86" s="113"/>
      <c r="AR86" s="113"/>
      <c r="AS86" s="113"/>
      <c r="AT86" s="113"/>
      <c r="AU86" s="113"/>
      <c r="AV86" s="113"/>
      <c r="AW86" s="113"/>
      <c r="AX86" s="113"/>
      <c r="AY86" s="113"/>
      <c r="AZ86" s="113"/>
      <c r="BA86" s="113"/>
      <c r="BB86" s="113"/>
      <c r="BC86" s="113"/>
      <c r="BD86" s="113"/>
      <c r="BE86" s="113"/>
      <c r="BF86" s="113"/>
      <c r="BG86" s="113"/>
      <c r="BH86" s="113"/>
      <c r="BI86" s="113"/>
      <c r="BJ86" s="113"/>
      <c r="BK86" s="113"/>
      <c r="BL86" s="113"/>
      <c r="BM86" s="113"/>
      <c r="BN86" s="113"/>
      <c r="BO86" s="113"/>
      <c r="BP86" s="113"/>
      <c r="BQ86" s="113"/>
      <c r="BR86" s="113"/>
      <c r="BS86" s="113"/>
      <c r="BT86" s="113"/>
      <c r="BU86" s="113"/>
      <c r="BV86" s="113"/>
      <c r="BW86" s="113"/>
      <c r="BX86" s="113"/>
      <c r="BY86" s="113"/>
      <c r="BZ86" s="113"/>
      <c r="CA86" s="113"/>
    </row>
    <row r="88" spans="1:79">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row>
    <row r="89" spans="1:7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c r="BI89" s="51"/>
      <c r="BJ89" s="51"/>
      <c r="BK89" s="51"/>
      <c r="BL89" s="51"/>
      <c r="BM89" s="51"/>
      <c r="BN89" s="51"/>
      <c r="BO89" s="51"/>
      <c r="BP89" s="51"/>
      <c r="BQ89" s="51"/>
      <c r="BR89" s="51"/>
      <c r="BS89" s="51"/>
      <c r="BT89" s="51"/>
      <c r="BU89" s="51"/>
      <c r="BV89" s="51"/>
      <c r="BW89" s="51"/>
      <c r="BX89" s="51"/>
      <c r="BY89" s="51"/>
      <c r="BZ89" s="51"/>
      <c r="CA89" s="51"/>
    </row>
    <row r="91" spans="1:79">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c r="BR91" s="51"/>
      <c r="BS91" s="51"/>
      <c r="BT91" s="51"/>
      <c r="BU91" s="51"/>
      <c r="BV91" s="51"/>
      <c r="BW91" s="51"/>
      <c r="BX91" s="51"/>
      <c r="BY91" s="51"/>
      <c r="BZ91" s="51"/>
      <c r="CA91" s="51"/>
    </row>
    <row r="96" spans="1:79">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c r="BX96" s="51"/>
      <c r="BY96" s="51"/>
      <c r="BZ96" s="51"/>
      <c r="CA96" s="51"/>
    </row>
    <row r="99" ht="11" customHeight="1"/>
    <row r="100" hidden="1"/>
    <row r="101" hidden="1"/>
  </sheetData>
  <conditionalFormatting sqref="M2:M47 M49:M82">
    <cfRule type="cellIs" dxfId="13" priority="1" operator="notBetween">
      <formula>0.02</formula>
      <formula>-0.02</formula>
    </cfRule>
  </conditionalFormatting>
  <dataValidations count="1">
    <dataValidation type="list" allowBlank="1" showInputMessage="1" showErrorMessage="1" sqref="H2:H81" xr:uid="{FA69CA7C-60FB-894F-B0F6-336FD4ED7674}">
      <formula1>"Primario,Secondario,Supporto,Da implementare"</formula1>
    </dataValidation>
  </dataValidation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943B0-6C50-C141-A584-B81C0D2D37B6}">
  <dimension ref="A1:V51"/>
  <sheetViews>
    <sheetView zoomScaleNormal="100" workbookViewId="0">
      <pane ySplit="1" topLeftCell="A7" activePane="bottomLeft" state="frozen"/>
      <selection pane="bottomLeft" activeCell="F11" sqref="F11"/>
    </sheetView>
  </sheetViews>
  <sheetFormatPr baseColWidth="10" defaultRowHeight="16"/>
  <cols>
    <col min="1" max="1" width="5.83203125" customWidth="1"/>
    <col min="2" max="2" width="41.6640625" customWidth="1"/>
    <col min="3" max="4" width="5.33203125" customWidth="1"/>
    <col min="5" max="5" width="7.5" customWidth="1"/>
    <col min="6" max="6" width="15" customWidth="1"/>
    <col min="7" max="7" width="10" customWidth="1"/>
    <col min="11" max="11" width="7.5" customWidth="1"/>
    <col min="12" max="12" width="32" customWidth="1"/>
    <col min="13" max="13" width="19.6640625" customWidth="1"/>
    <col min="18" max="20" width="7.5" customWidth="1"/>
  </cols>
  <sheetData>
    <row r="1" spans="1:22" ht="32" customHeight="1">
      <c r="A1" s="39" t="s">
        <v>0</v>
      </c>
      <c r="B1" s="40" t="s">
        <v>86</v>
      </c>
      <c r="C1" s="40" t="s">
        <v>4</v>
      </c>
      <c r="D1" s="41" t="s">
        <v>5</v>
      </c>
      <c r="E1" s="43" t="s">
        <v>6</v>
      </c>
      <c r="F1" s="43" t="s">
        <v>83</v>
      </c>
      <c r="G1" s="43" t="s">
        <v>654</v>
      </c>
      <c r="H1" s="41" t="s">
        <v>655</v>
      </c>
      <c r="I1" s="37" t="s">
        <v>267</v>
      </c>
      <c r="J1" s="43" t="s">
        <v>266</v>
      </c>
      <c r="K1" s="43" t="s">
        <v>6</v>
      </c>
      <c r="L1" s="44" t="s">
        <v>702</v>
      </c>
      <c r="N1" s="96"/>
      <c r="O1" s="96"/>
      <c r="P1" s="96"/>
      <c r="Q1" s="96"/>
      <c r="R1" s="96"/>
      <c r="S1" s="96"/>
      <c r="T1" s="96"/>
      <c r="V1" s="96"/>
    </row>
    <row r="2" spans="1:22" ht="19">
      <c r="A2" s="12">
        <f>Tabella!A2</f>
        <v>1</v>
      </c>
      <c r="B2" s="13" t="str">
        <f>IFERROR(INDEX(Tabella!$B$2:$B$32,MATCH($A2,Tabella!$A$2:$A$32,0)),"")</f>
        <v>DEV-CHANGE-INTEGRITY_ISO</v>
      </c>
      <c r="C2" s="42">
        <f>IFERROR(INDEX(Tabella!$E$2:$E$32,MATCH($A2,Tabella!$A$2:$A$32,0)),"")</f>
        <v>3</v>
      </c>
      <c r="D2" s="42">
        <f>IFERROR(INDEX(Tabella!$F$2:$F$32,MATCH($A2,Tabella!$A$2:$A$32,0)),"")</f>
        <v>4</v>
      </c>
      <c r="E2" s="44">
        <f t="shared" ref="E2:E32" si="0">C2*D2</f>
        <v>12</v>
      </c>
      <c r="F2" s="45">
        <f>IFERROR(INDEX(Controlli!$J$2:$J$83,MATCH($A2,Controlli!$A$2:$A$83,0)),0)</f>
        <v>0.69924999999999993</v>
      </c>
      <c r="G2" s="150" t="s">
        <v>656</v>
      </c>
      <c r="H2" s="153"/>
      <c r="I2" s="38">
        <f>ROUNDUP(IF(G2="X", MAX(1, C2 * (1 - F2)), C2), 0)</f>
        <v>1</v>
      </c>
      <c r="J2" s="46">
        <f>ROUNDUP(IF(H2="X", MAX(1, D2*(1-F2)), D2), 0)</f>
        <v>4</v>
      </c>
      <c r="K2" s="44">
        <f>I2*J2</f>
        <v>4</v>
      </c>
      <c r="L2" s="246"/>
      <c r="M2" s="156"/>
      <c r="N2" s="143"/>
      <c r="O2" s="229"/>
      <c r="P2" s="142"/>
      <c r="Q2" s="97"/>
      <c r="R2" s="97"/>
      <c r="S2" s="97"/>
      <c r="T2" s="98"/>
      <c r="V2" s="97"/>
    </row>
    <row r="3" spans="1:22" ht="19">
      <c r="A3" s="12">
        <f>Tabella!A3</f>
        <v>2</v>
      </c>
      <c r="B3" s="13" t="str">
        <f>IFERROR(INDEX(Tabella!$B$2:$B$32,MATCH($A3,Tabella!$A$2:$A$32,0)),"")</f>
        <v>DEV-SCALABILITY-LATENCY</v>
      </c>
      <c r="C3" s="42">
        <f>IFERROR(INDEX(Tabella!$E$2:$E$32,MATCH($A3,Tabella!$A$2:$A$32,0)),"")</f>
        <v>2</v>
      </c>
      <c r="D3" s="42">
        <f>IFERROR(INDEX(Tabella!$F$2:$F$32,MATCH($A3,Tabella!$A$2:$A$32,0)),"")</f>
        <v>2</v>
      </c>
      <c r="E3" s="44">
        <f t="shared" si="0"/>
        <v>4</v>
      </c>
      <c r="F3" s="45">
        <f>IFERROR(INDEX(Controlli!$J$2:$J$83,MATCH($A3,Controlli!$A$2:$A$83,0)),0)</f>
        <v>0.72249999999999992</v>
      </c>
      <c r="G3" s="151" t="s">
        <v>656</v>
      </c>
      <c r="H3" s="154"/>
      <c r="I3" s="38">
        <f t="shared" ref="I3:I32" si="1">ROUNDUP(IF(G3="X", MAX(1, C3 * (1 - F3)), C3), 0)</f>
        <v>1</v>
      </c>
      <c r="J3" s="46">
        <f t="shared" ref="J3:J32" si="2">ROUNDUP(IF(H3="X", MAX(1, D3*(1-F3)), D3), 0)</f>
        <v>2</v>
      </c>
      <c r="K3" s="44">
        <f t="shared" ref="K3:K32" si="3">I3*J3</f>
        <v>2</v>
      </c>
      <c r="L3" s="246"/>
      <c r="M3" s="156"/>
      <c r="N3" s="143"/>
      <c r="O3" s="229"/>
      <c r="P3" s="142"/>
      <c r="Q3" s="97"/>
      <c r="R3" s="97"/>
      <c r="S3" s="97"/>
      <c r="T3" s="98"/>
      <c r="V3" s="97"/>
    </row>
    <row r="4" spans="1:22" ht="19">
      <c r="A4" s="12">
        <f>Tabella!A4</f>
        <v>3</v>
      </c>
      <c r="B4" s="13" t="str">
        <f>IFERROR(INDEX(Tabella!$B$2:$B$32,MATCH($A4,Tabella!$A$2:$A$32,0)),"")</f>
        <v>DATA-DATASET-POISONING</v>
      </c>
      <c r="C4" s="42">
        <f>IFERROR(INDEX(Tabella!$E$2:$E$32,MATCH($A4,Tabella!$A$2:$A$32,0)),"")</f>
        <v>2</v>
      </c>
      <c r="D4" s="42">
        <f>IFERROR(INDEX(Tabella!$F$2:$F$32,MATCH($A4,Tabella!$A$2:$A$32,0)),"")</f>
        <v>4</v>
      </c>
      <c r="E4" s="44">
        <f t="shared" si="0"/>
        <v>8</v>
      </c>
      <c r="F4" s="45">
        <f>IFERROR(INDEX(Controlli!$J$2:$J$83,MATCH($A4,Controlli!$A$2:$A$83,0)),0)</f>
        <v>0.56874999999999998</v>
      </c>
      <c r="G4" s="151" t="s">
        <v>656</v>
      </c>
      <c r="H4" s="154"/>
      <c r="I4" s="38">
        <f t="shared" si="1"/>
        <v>1</v>
      </c>
      <c r="J4" s="46">
        <f t="shared" si="2"/>
        <v>4</v>
      </c>
      <c r="K4" s="44">
        <f t="shared" si="3"/>
        <v>4</v>
      </c>
      <c r="L4" s="246"/>
      <c r="M4" s="156"/>
      <c r="N4" s="143"/>
      <c r="O4" s="229"/>
      <c r="P4" s="142"/>
      <c r="Q4" s="97"/>
      <c r="R4" s="97"/>
      <c r="S4" s="97"/>
      <c r="T4" s="98"/>
      <c r="V4" s="97"/>
    </row>
    <row r="5" spans="1:22" ht="19">
      <c r="A5" s="12">
        <f>Tabella!A5</f>
        <v>4</v>
      </c>
      <c r="B5" s="13" t="str">
        <f>IFERROR(INDEX(Tabella!$B$2:$B$32,MATCH($A5,Tabella!$A$2:$A$32,0)),"")</f>
        <v>DATA-QUALITY-VALIDATION</v>
      </c>
      <c r="C5" s="42">
        <f>IFERROR(INDEX(Tabella!$E$2:$E$32,MATCH($A5,Tabella!$A$2:$A$32,0)),"")</f>
        <v>4</v>
      </c>
      <c r="D5" s="42">
        <f>IFERROR(INDEX(Tabella!$F$2:$F$32,MATCH($A5,Tabella!$A$2:$A$32,0)),"")</f>
        <v>3</v>
      </c>
      <c r="E5" s="44">
        <f t="shared" si="0"/>
        <v>12</v>
      </c>
      <c r="F5" s="45">
        <f>IFERROR(INDEX(Controlli!$J$2:$J$83,MATCH($A5,Controlli!$A$2:$A$83,0)),0)</f>
        <v>0.62124999999999997</v>
      </c>
      <c r="G5" s="151" t="s">
        <v>656</v>
      </c>
      <c r="H5" s="154"/>
      <c r="I5" s="38">
        <f t="shared" si="1"/>
        <v>2</v>
      </c>
      <c r="J5" s="46">
        <f t="shared" si="2"/>
        <v>3</v>
      </c>
      <c r="K5" s="44">
        <f t="shared" si="3"/>
        <v>6</v>
      </c>
      <c r="L5" s="246"/>
      <c r="N5" s="143"/>
      <c r="O5" s="229"/>
      <c r="P5" s="142"/>
      <c r="Q5" s="97"/>
      <c r="R5" s="97"/>
      <c r="S5" s="97"/>
      <c r="T5" s="98"/>
      <c r="V5" s="97"/>
    </row>
    <row r="6" spans="1:22" ht="19">
      <c r="A6" s="12">
        <f>Tabella!A6</f>
        <v>5</v>
      </c>
      <c r="B6" s="13" t="str">
        <f>IFERROR(INDEX(Tabella!$B$2:$B$32,MATCH($A6,Tabella!$A$2:$A$32,0)),"")</f>
        <v>IMP-SYSTEM-INTEGRATION-CONFIGURATION</v>
      </c>
      <c r="C6" s="42">
        <f>IFERROR(INDEX(Tabella!$E$2:$E$32,MATCH($A6,Tabella!$A$2:$A$32,0)),"")</f>
        <v>3</v>
      </c>
      <c r="D6" s="42">
        <f>IFERROR(INDEX(Tabella!$F$2:$F$32,MATCH($A6,Tabella!$A$2:$A$32,0)),"")</f>
        <v>3</v>
      </c>
      <c r="E6" s="44">
        <f t="shared" si="0"/>
        <v>9</v>
      </c>
      <c r="F6" s="45">
        <f>IFERROR(INDEX(Controlli!$J$2:$J$83,MATCH($A6,Controlli!$A$2:$A$83,0)),0)</f>
        <v>0.51999999999999991</v>
      </c>
      <c r="G6" s="151" t="s">
        <v>656</v>
      </c>
      <c r="H6" s="154"/>
      <c r="I6" s="38">
        <f t="shared" si="1"/>
        <v>2</v>
      </c>
      <c r="J6" s="46">
        <f t="shared" si="2"/>
        <v>3</v>
      </c>
      <c r="K6" s="44">
        <f t="shared" si="3"/>
        <v>6</v>
      </c>
      <c r="L6" s="246"/>
      <c r="M6" s="156"/>
      <c r="N6" s="143"/>
      <c r="O6" s="229"/>
      <c r="P6" s="142"/>
      <c r="Q6" s="97"/>
      <c r="R6" s="97"/>
      <c r="S6" s="97"/>
      <c r="T6" s="98"/>
      <c r="V6" s="97"/>
    </row>
    <row r="7" spans="1:22" ht="19">
      <c r="A7" s="12">
        <f>Tabella!A7</f>
        <v>6</v>
      </c>
      <c r="B7" s="13" t="str">
        <f>IFERROR(INDEX(Tabella!$B$2:$B$32,MATCH($A7,Tabella!$A$2:$A$32,0)),"")</f>
        <v>DATA-LOSS</v>
      </c>
      <c r="C7" s="42">
        <f>IFERROR(INDEX(Tabella!$E$2:$E$32,MATCH($A7,Tabella!$A$2:$A$32,0)),"")</f>
        <v>2</v>
      </c>
      <c r="D7" s="42">
        <f>IFERROR(INDEX(Tabella!$F$2:$F$32,MATCH($A7,Tabella!$A$2:$A$32,0)),"")</f>
        <v>4</v>
      </c>
      <c r="E7" s="44">
        <f t="shared" si="0"/>
        <v>8</v>
      </c>
      <c r="F7" s="45">
        <f>IFERROR(INDEX(Controlli!$J$2:$J$83,MATCH($A7,Controlli!$A$2:$A$83,0)),0)</f>
        <v>0.7332142857142856</v>
      </c>
      <c r="G7" s="151"/>
      <c r="H7" s="154" t="s">
        <v>656</v>
      </c>
      <c r="I7" s="38">
        <f t="shared" si="1"/>
        <v>2</v>
      </c>
      <c r="J7" s="46">
        <f t="shared" si="2"/>
        <v>2</v>
      </c>
      <c r="K7" s="44">
        <f t="shared" si="3"/>
        <v>4</v>
      </c>
      <c r="L7" s="246"/>
      <c r="M7" s="156"/>
      <c r="N7" s="143"/>
      <c r="O7" s="229"/>
      <c r="P7" s="142"/>
      <c r="Q7" s="97"/>
      <c r="R7" s="97"/>
      <c r="S7" s="97"/>
      <c r="T7" s="98"/>
      <c r="V7" s="97"/>
    </row>
    <row r="8" spans="1:22" ht="19">
      <c r="A8" s="12">
        <f>Tabella!A8</f>
        <v>7</v>
      </c>
      <c r="B8" s="13" t="str">
        <f>IFERROR(INDEX(Tabella!$B$2:$B$32,MATCH($A8,Tabella!$A$2:$A$32,0)),"")</f>
        <v>OPS-PIPELINE-CAPACITY-FAILURE</v>
      </c>
      <c r="C8" s="42">
        <f>IFERROR(INDEX(Tabella!$E$2:$E$32,MATCH($A8,Tabella!$A$2:$A$32,0)),"")</f>
        <v>3</v>
      </c>
      <c r="D8" s="42">
        <f>IFERROR(INDEX(Tabella!$F$2:$F$32,MATCH($A8,Tabella!$A$2:$A$32,0)),"")</f>
        <v>3</v>
      </c>
      <c r="E8" s="44">
        <f t="shared" si="0"/>
        <v>9</v>
      </c>
      <c r="F8" s="45">
        <f>IFERROR(INDEX(Controlli!$J$2:$J$83,MATCH($A8,Controlli!$A$2:$A$83,0)),0)</f>
        <v>0.42555555555555558</v>
      </c>
      <c r="G8" s="151" t="s">
        <v>656</v>
      </c>
      <c r="H8" s="154"/>
      <c r="I8" s="38">
        <f t="shared" si="1"/>
        <v>2</v>
      </c>
      <c r="J8" s="46">
        <f t="shared" si="2"/>
        <v>3</v>
      </c>
      <c r="K8" s="44">
        <f t="shared" si="3"/>
        <v>6</v>
      </c>
      <c r="L8" s="246"/>
      <c r="M8" s="156"/>
      <c r="N8" s="143"/>
      <c r="O8" s="229"/>
      <c r="P8" s="142"/>
      <c r="Q8" s="97"/>
      <c r="R8" s="97"/>
      <c r="S8" s="97"/>
      <c r="T8" s="98"/>
      <c r="V8" s="97"/>
    </row>
    <row r="9" spans="1:22" ht="19">
      <c r="A9" s="12">
        <f>Tabella!A9</f>
        <v>8</v>
      </c>
      <c r="B9" s="13" t="str">
        <f>IFERROR(INDEX(Tabella!$B$2:$B$32,MATCH($A9,Tabella!$A$2:$A$32,0)),"")</f>
        <v>INF-OUT-OF-DISTRIBUTION_ISO</v>
      </c>
      <c r="C9" s="42">
        <f>IFERROR(INDEX(Tabella!$E$2:$E$32,MATCH($A9,Tabella!$A$2:$A$32,0)),"")</f>
        <v>3</v>
      </c>
      <c r="D9" s="42">
        <f>IFERROR(INDEX(Tabella!$F$2:$F$32,MATCH($A9,Tabella!$A$2:$A$32,0)),"")</f>
        <v>4</v>
      </c>
      <c r="E9" s="44">
        <f t="shared" si="0"/>
        <v>12</v>
      </c>
      <c r="F9" s="45">
        <f>IFERROR(INDEX(Controlli!$J$2:$J$83,MATCH($A9,Controlli!$A$2:$A$83,0)),0)</f>
        <v>0.51714285714285713</v>
      </c>
      <c r="G9" s="151" t="s">
        <v>656</v>
      </c>
      <c r="H9" s="154"/>
      <c r="I9" s="38">
        <f t="shared" si="1"/>
        <v>2</v>
      </c>
      <c r="J9" s="46">
        <f t="shared" si="2"/>
        <v>4</v>
      </c>
      <c r="K9" s="44">
        <f t="shared" si="3"/>
        <v>8</v>
      </c>
      <c r="L9" s="246"/>
      <c r="M9" s="156"/>
      <c r="N9" s="143"/>
      <c r="O9" s="229"/>
      <c r="P9" s="142"/>
      <c r="Q9" s="97"/>
      <c r="R9" s="97"/>
      <c r="S9" s="97"/>
      <c r="T9" s="98"/>
      <c r="V9" s="97"/>
    </row>
    <row r="10" spans="1:22" ht="19">
      <c r="A10" s="12">
        <f>Tabella!A10</f>
        <v>9</v>
      </c>
      <c r="B10" s="13" t="str">
        <f>IFERROR(INDEX(Tabella!$B$2:$B$32,MATCH($A10,Tabella!$A$2:$A$32,0)),"")</f>
        <v>INF-FALSE-NEGATIVE_ISO</v>
      </c>
      <c r="C10" s="42">
        <f>IFERROR(INDEX(Tabella!$E$2:$E$32,MATCH($A10,Tabella!$A$2:$A$32,0)),"")</f>
        <v>4</v>
      </c>
      <c r="D10" s="42">
        <f>IFERROR(INDEX(Tabella!$F$2:$F$32,MATCH($A10,Tabella!$A$2:$A$32,0)),"")</f>
        <v>4</v>
      </c>
      <c r="E10" s="44">
        <f t="shared" si="0"/>
        <v>16</v>
      </c>
      <c r="F10" s="45">
        <f>IFERROR(INDEX(Controlli!$J$2:$J$83,MATCH($A10,Controlli!$A$2:$A$83,0)),0)</f>
        <v>0.55160714285714274</v>
      </c>
      <c r="G10" s="151" t="s">
        <v>656</v>
      </c>
      <c r="H10" s="154"/>
      <c r="I10" s="38">
        <f t="shared" si="1"/>
        <v>2</v>
      </c>
      <c r="J10" s="46">
        <f t="shared" si="2"/>
        <v>4</v>
      </c>
      <c r="K10" s="44">
        <f t="shared" si="3"/>
        <v>8</v>
      </c>
      <c r="L10" s="246"/>
      <c r="M10" s="156"/>
      <c r="N10" s="143"/>
      <c r="O10" s="229"/>
      <c r="P10" s="142"/>
      <c r="Q10" s="97"/>
      <c r="R10" s="97"/>
      <c r="S10" s="97"/>
      <c r="T10" s="98"/>
      <c r="V10" s="97"/>
    </row>
    <row r="11" spans="1:22" ht="19">
      <c r="A11" s="12">
        <f>Tabella!A11</f>
        <v>10</v>
      </c>
      <c r="B11" s="13" t="str">
        <f>IFERROR(INDEX(Tabella!$B$2:$B$32,MATCH($A11,Tabella!$A$2:$A$32,0)),"")</f>
        <v>INF-FALSE-POSITIVE_ISO</v>
      </c>
      <c r="C11" s="42">
        <f>IFERROR(INDEX(Tabella!$E$2:$E$32,MATCH($A11,Tabella!$A$2:$A$32,0)),"")</f>
        <v>4</v>
      </c>
      <c r="D11" s="42">
        <f>IFERROR(INDEX(Tabella!$F$2:$F$32,MATCH($A11,Tabella!$A$2:$A$32,0)),"")</f>
        <v>4</v>
      </c>
      <c r="E11" s="44">
        <f t="shared" si="0"/>
        <v>16</v>
      </c>
      <c r="F11" s="45">
        <f>IFERROR(INDEX(Controlli!$J$2:$J$83,MATCH($A11,Controlli!$A$2:$A$83,0)),0)</f>
        <v>0.45472222222222214</v>
      </c>
      <c r="G11" s="151" t="s">
        <v>656</v>
      </c>
      <c r="H11" s="154"/>
      <c r="I11" s="38">
        <f t="shared" si="1"/>
        <v>3</v>
      </c>
      <c r="J11" s="46">
        <f t="shared" si="2"/>
        <v>4</v>
      </c>
      <c r="K11" s="44">
        <f t="shared" si="3"/>
        <v>12</v>
      </c>
      <c r="L11" s="246"/>
      <c r="M11" s="156"/>
      <c r="N11" s="143"/>
      <c r="O11" s="229"/>
      <c r="P11" s="142"/>
      <c r="Q11" s="97"/>
      <c r="R11" s="97"/>
      <c r="S11" s="97"/>
      <c r="T11" s="98"/>
      <c r="V11" s="97"/>
    </row>
    <row r="12" spans="1:22" ht="19">
      <c r="A12" s="12">
        <f>Tabella!A12</f>
        <v>11</v>
      </c>
      <c r="B12" s="13" t="str">
        <f>IFERROR(INDEX(Tabella!$B$2:$B$32,MATCH($A12,Tabella!$A$2:$A$32,0)),"")</f>
        <v>USE-AI-LITERACY-SUPERVISION_ISO</v>
      </c>
      <c r="C12" s="42">
        <f>IFERROR(INDEX(Tabella!$E$2:$E$32,MATCH($A12,Tabella!$A$2:$A$32,0)),"")</f>
        <v>3</v>
      </c>
      <c r="D12" s="42">
        <f>IFERROR(INDEX(Tabella!$F$2:$F$32,MATCH($A12,Tabella!$A$2:$A$32,0)),"")</f>
        <v>4</v>
      </c>
      <c r="E12" s="44">
        <f t="shared" si="0"/>
        <v>12</v>
      </c>
      <c r="F12" s="45">
        <f>IFERROR(INDEX(Controlli!$J$2:$J$83,MATCH($A12,Controlli!$A$2:$A$83,0)),0)</f>
        <v>0.36333333333333329</v>
      </c>
      <c r="G12" s="151" t="s">
        <v>656</v>
      </c>
      <c r="H12" s="154"/>
      <c r="I12" s="38">
        <f t="shared" si="1"/>
        <v>2</v>
      </c>
      <c r="J12" s="46">
        <f t="shared" si="2"/>
        <v>4</v>
      </c>
      <c r="K12" s="44">
        <f t="shared" si="3"/>
        <v>8</v>
      </c>
      <c r="L12" s="246"/>
      <c r="M12" s="156"/>
      <c r="N12" s="143"/>
      <c r="O12" s="229"/>
      <c r="P12" s="142"/>
      <c r="Q12" s="97"/>
      <c r="R12" s="97"/>
      <c r="S12" s="97"/>
      <c r="T12" s="98"/>
      <c r="V12" s="97"/>
    </row>
    <row r="13" spans="1:22" ht="19">
      <c r="A13" s="12">
        <f>Tabella!A13</f>
        <v>12</v>
      </c>
      <c r="B13" s="13" t="str">
        <f>IFERROR(INDEX(Tabella!$B$2:$B$32,MATCH($A13,Tabella!$A$2:$A$32,0)),"")</f>
        <v>USE-OVERSIGHT-VERIFICATION-FAILURE_ISO</v>
      </c>
      <c r="C13" s="42">
        <f>IFERROR(INDEX(Tabella!$E$2:$E$32,MATCH($A13,Tabella!$A$2:$A$32,0)),"")</f>
        <v>3</v>
      </c>
      <c r="D13" s="42">
        <f>IFERROR(INDEX(Tabella!$F$2:$F$32,MATCH($A13,Tabella!$A$2:$A$32,0)),"")</f>
        <v>4</v>
      </c>
      <c r="E13" s="44">
        <f t="shared" si="0"/>
        <v>12</v>
      </c>
      <c r="F13" s="45">
        <f>IFERROR(INDEX(Controlli!$J$2:$J$83,MATCH($A13,Controlli!$A$2:$A$83,0)),0)</f>
        <v>0.35624999999999996</v>
      </c>
      <c r="G13" s="151" t="s">
        <v>656</v>
      </c>
      <c r="H13" s="154"/>
      <c r="I13" s="38">
        <f t="shared" si="1"/>
        <v>2</v>
      </c>
      <c r="J13" s="46">
        <f t="shared" si="2"/>
        <v>4</v>
      </c>
      <c r="K13" s="44">
        <f t="shared" si="3"/>
        <v>8</v>
      </c>
      <c r="L13" s="246"/>
      <c r="M13" s="156"/>
      <c r="N13" s="143"/>
      <c r="O13" s="229"/>
      <c r="P13" s="142"/>
      <c r="Q13" s="97"/>
      <c r="R13" s="97"/>
      <c r="S13" s="97"/>
      <c r="T13" s="98"/>
      <c r="V13" s="97"/>
    </row>
    <row r="14" spans="1:22" ht="19">
      <c r="A14" s="12">
        <f>Tabella!A14</f>
        <v>13</v>
      </c>
      <c r="B14" s="13" t="str">
        <f>IFERROR(INDEX(Tabella!$B$2:$B$32,MATCH($A14,Tabella!$A$2:$A$32,0)),"")</f>
        <v>SEC-ACCESS-CREDENTIAL-MISUSE</v>
      </c>
      <c r="C14" s="42">
        <f>IFERROR(INDEX(Tabella!$E$2:$E$32,MATCH($A14,Tabella!$A$2:$A$32,0)),"")</f>
        <v>3</v>
      </c>
      <c r="D14" s="42">
        <f>IFERROR(INDEX(Tabella!$F$2:$F$32,MATCH($A14,Tabella!$A$2:$A$32,0)),"")</f>
        <v>4</v>
      </c>
      <c r="E14" s="44">
        <f t="shared" si="0"/>
        <v>12</v>
      </c>
      <c r="F14" s="45">
        <f>IFERROR(INDEX(Controlli!$J$2:$J$83,MATCH($A14,Controlli!$A$2:$A$83,0)),0)</f>
        <v>0.73624999999999996</v>
      </c>
      <c r="G14" s="151" t="s">
        <v>656</v>
      </c>
      <c r="H14" s="154"/>
      <c r="I14" s="38">
        <f t="shared" si="1"/>
        <v>1</v>
      </c>
      <c r="J14" s="46">
        <f t="shared" si="2"/>
        <v>4</v>
      </c>
      <c r="K14" s="44">
        <f t="shared" si="3"/>
        <v>4</v>
      </c>
      <c r="L14" s="246"/>
      <c r="M14" s="156"/>
      <c r="N14" s="143"/>
      <c r="O14" s="229"/>
      <c r="P14" s="142"/>
      <c r="Q14" s="97"/>
      <c r="R14" s="97"/>
      <c r="S14" s="97"/>
      <c r="T14" s="98"/>
      <c r="V14" s="97"/>
    </row>
    <row r="15" spans="1:22" ht="19">
      <c r="A15" s="12">
        <f>Tabella!A15</f>
        <v>14</v>
      </c>
      <c r="B15" s="13" t="str">
        <f>IFERROR(INDEX(Tabella!$B$2:$B$32,MATCH($A15,Tabella!$A$2:$A$32,0)),"")</f>
        <v>SEC-NETWORK-COMMUNICATION-COMPROMISE</v>
      </c>
      <c r="C15" s="42">
        <f>IFERROR(INDEX(Tabella!$E$2:$E$32,MATCH($A15,Tabella!$A$2:$A$32,0)),"")</f>
        <v>2</v>
      </c>
      <c r="D15" s="42">
        <f>IFERROR(INDEX(Tabella!$F$2:$F$32,MATCH($A15,Tabella!$A$2:$A$32,0)),"")</f>
        <v>4</v>
      </c>
      <c r="E15" s="44">
        <f t="shared" si="0"/>
        <v>8</v>
      </c>
      <c r="F15" s="45">
        <f>IFERROR(INDEX(Controlli!$J$2:$J$83,MATCH($A15,Controlli!$A$2:$A$83,0)),0)</f>
        <v>0.76833333333333331</v>
      </c>
      <c r="G15" s="151" t="s">
        <v>656</v>
      </c>
      <c r="H15" s="154"/>
      <c r="I15" s="38">
        <f t="shared" si="1"/>
        <v>1</v>
      </c>
      <c r="J15" s="46">
        <f t="shared" si="2"/>
        <v>4</v>
      </c>
      <c r="K15" s="44">
        <f t="shared" si="3"/>
        <v>4</v>
      </c>
      <c r="L15" s="246"/>
      <c r="M15" s="156"/>
      <c r="N15" s="143"/>
      <c r="O15" s="229"/>
      <c r="P15" s="142"/>
      <c r="Q15" s="97"/>
      <c r="R15" s="97"/>
      <c r="S15" s="97"/>
      <c r="T15" s="98"/>
      <c r="V15" s="97"/>
    </row>
    <row r="16" spans="1:22" ht="19">
      <c r="A16" s="12">
        <f>Tabella!A16</f>
        <v>15</v>
      </c>
      <c r="B16" s="13" t="str">
        <f>IFERROR(INDEX(Tabella!$B$2:$B$32,MATCH($A16,Tabella!$A$2:$A$32,0)),"")</f>
        <v>SEC-RECON-VULNERABILITY-EXPLOITATION</v>
      </c>
      <c r="C16" s="42">
        <f>IFERROR(INDEX(Tabella!$E$2:$E$32,MATCH($A16,Tabella!$A$2:$A$32,0)),"")</f>
        <v>2</v>
      </c>
      <c r="D16" s="42">
        <f>IFERROR(INDEX(Tabella!$F$2:$F$32,MATCH($A16,Tabella!$A$2:$A$32,0)),"")</f>
        <v>4</v>
      </c>
      <c r="E16" s="44">
        <f t="shared" si="0"/>
        <v>8</v>
      </c>
      <c r="F16" s="45">
        <f>IFERROR(INDEX(Controlli!$J$2:$J$83,MATCH($A16,Controlli!$A$2:$A$83,0)),0)</f>
        <v>0.52218750000000003</v>
      </c>
      <c r="G16" s="151" t="s">
        <v>656</v>
      </c>
      <c r="H16" s="154"/>
      <c r="I16" s="38">
        <f t="shared" si="1"/>
        <v>1</v>
      </c>
      <c r="J16" s="46">
        <f t="shared" si="2"/>
        <v>4</v>
      </c>
      <c r="K16" s="44">
        <f t="shared" si="3"/>
        <v>4</v>
      </c>
      <c r="L16" s="246"/>
      <c r="M16" s="156"/>
      <c r="N16" s="143"/>
      <c r="O16" s="229"/>
      <c r="P16" s="142"/>
      <c r="Q16" s="97"/>
      <c r="R16" s="97"/>
      <c r="S16" s="97"/>
      <c r="T16" s="98"/>
      <c r="V16" s="97"/>
    </row>
    <row r="17" spans="1:22" ht="19">
      <c r="A17" s="12">
        <f>Tabella!A17</f>
        <v>16</v>
      </c>
      <c r="B17" s="13" t="str">
        <f>IFERROR(INDEX(Tabella!$B$2:$B$32,MATCH($A17,Tabella!$A$2:$A$32,0)),"")</f>
        <v>SEC-INTENTIONAL-DATA-MODEL-CHANGE</v>
      </c>
      <c r="C17" s="42">
        <f>IFERROR(INDEX(Tabella!$E$2:$E$32,MATCH($A17,Tabella!$A$2:$A$32,0)),"")</f>
        <v>2</v>
      </c>
      <c r="D17" s="42">
        <f>IFERROR(INDEX(Tabella!$F$2:$F$32,MATCH($A17,Tabella!$A$2:$A$32,0)),"")</f>
        <v>5</v>
      </c>
      <c r="E17" s="44">
        <f t="shared" si="0"/>
        <v>10</v>
      </c>
      <c r="F17" s="45">
        <f>IFERROR(INDEX(Controlli!$J$2:$J$83,MATCH($A17,Controlli!$A$2:$A$83,0)),0)</f>
        <v>0.68285714285714272</v>
      </c>
      <c r="G17" s="151" t="s">
        <v>656</v>
      </c>
      <c r="H17" s="154"/>
      <c r="I17" s="38">
        <f t="shared" si="1"/>
        <v>1</v>
      </c>
      <c r="J17" s="46">
        <f t="shared" si="2"/>
        <v>5</v>
      </c>
      <c r="K17" s="44">
        <f t="shared" si="3"/>
        <v>5</v>
      </c>
      <c r="L17" s="246"/>
      <c r="M17" s="156"/>
      <c r="N17" s="143"/>
      <c r="O17" s="229"/>
      <c r="P17" s="142"/>
      <c r="Q17" s="97"/>
      <c r="R17" s="97"/>
      <c r="S17" s="97"/>
      <c r="T17" s="98"/>
      <c r="V17" s="97"/>
    </row>
    <row r="18" spans="1:22" ht="19">
      <c r="A18" s="12">
        <f>Tabella!A18</f>
        <v>17</v>
      </c>
      <c r="B18" s="13" t="str">
        <f>IFERROR(INDEX(Tabella!$B$2:$B$32,MATCH($A18,Tabella!$A$2:$A$32,0)),"")</f>
        <v>SEC-MALWARE</v>
      </c>
      <c r="C18" s="42">
        <f>IFERROR(INDEX(Tabella!$E$2:$E$32,MATCH($A18,Tabella!$A$2:$A$32,0)),"")</f>
        <v>3</v>
      </c>
      <c r="D18" s="42">
        <f>IFERROR(INDEX(Tabella!$F$2:$F$32,MATCH($A18,Tabella!$A$2:$A$32,0)),"")</f>
        <v>4</v>
      </c>
      <c r="E18" s="44">
        <f t="shared" si="0"/>
        <v>12</v>
      </c>
      <c r="F18" s="45">
        <f>IFERROR(INDEX(Controlli!$J$2:$J$83,MATCH($A18,Controlli!$A$2:$A$83,0)),0)</f>
        <v>0.63924999999999998</v>
      </c>
      <c r="G18" s="151" t="s">
        <v>656</v>
      </c>
      <c r="H18" s="154" t="s">
        <v>656</v>
      </c>
      <c r="I18" s="38">
        <f t="shared" si="1"/>
        <v>2</v>
      </c>
      <c r="J18" s="46">
        <f t="shared" si="2"/>
        <v>2</v>
      </c>
      <c r="K18" s="44">
        <f t="shared" si="3"/>
        <v>4</v>
      </c>
      <c r="L18" s="246"/>
      <c r="M18" s="156"/>
      <c r="N18" s="143"/>
      <c r="O18" s="229"/>
      <c r="P18" s="142"/>
      <c r="Q18" s="97"/>
      <c r="R18" s="97"/>
      <c r="S18" s="97"/>
      <c r="T18" s="98"/>
      <c r="V18" s="97"/>
    </row>
    <row r="19" spans="1:22" ht="19">
      <c r="A19" s="12">
        <f>Tabella!A19</f>
        <v>18</v>
      </c>
      <c r="B19" s="13" t="str">
        <f>IFERROR(INDEX(Tabella!$B$2:$B$32,MATCH($A19,Tabella!$A$2:$A$32,0)),"")</f>
        <v>SEC-DENIAL-OF-SERVICE</v>
      </c>
      <c r="C19" s="42">
        <f>IFERROR(INDEX(Tabella!$E$2:$E$32,MATCH($A19,Tabella!$A$2:$A$32,0)),"")</f>
        <v>2</v>
      </c>
      <c r="D19" s="42">
        <f>IFERROR(INDEX(Tabella!$F$2:$F$32,MATCH($A19,Tabella!$A$2:$A$32,0)),"")</f>
        <v>3</v>
      </c>
      <c r="E19" s="44">
        <f t="shared" si="0"/>
        <v>6</v>
      </c>
      <c r="F19" s="45">
        <f>IFERROR(INDEX(Controlli!$J$2:$J$83,MATCH($A19,Controlli!$A$2:$A$83,0)),0)</f>
        <v>0.77949999999999997</v>
      </c>
      <c r="G19" s="151" t="s">
        <v>656</v>
      </c>
      <c r="H19" s="154"/>
      <c r="I19" s="38">
        <f t="shared" si="1"/>
        <v>1</v>
      </c>
      <c r="J19" s="46">
        <f t="shared" si="2"/>
        <v>3</v>
      </c>
      <c r="K19" s="44">
        <f t="shared" si="3"/>
        <v>3</v>
      </c>
      <c r="L19" s="246"/>
      <c r="M19" s="156"/>
      <c r="N19" s="143"/>
      <c r="O19" s="229"/>
      <c r="P19" s="142"/>
      <c r="Q19" s="97"/>
      <c r="R19" s="97"/>
      <c r="S19" s="97"/>
      <c r="T19" s="98"/>
      <c r="V19" s="97"/>
    </row>
    <row r="20" spans="1:22" ht="19">
      <c r="A20" s="12">
        <f>Tabella!A20</f>
        <v>19</v>
      </c>
      <c r="B20" s="13" t="str">
        <f>IFERROR(INDEX(Tabella!$B$2:$B$32,MATCH($A20,Tabella!$A$2:$A$32,0)),"")</f>
        <v>CONT-ENVIRONMENTAL-EXPOSURE</v>
      </c>
      <c r="C20" s="42">
        <f>IFERROR(INDEX(Tabella!$E$2:$E$32,MATCH($A20,Tabella!$A$2:$A$32,0)),"")</f>
        <v>3</v>
      </c>
      <c r="D20" s="42">
        <f>IFERROR(INDEX(Tabella!$F$2:$F$32,MATCH($A20,Tabella!$A$2:$A$32,0)),"")</f>
        <v>3</v>
      </c>
      <c r="E20" s="44">
        <f t="shared" si="0"/>
        <v>9</v>
      </c>
      <c r="F20" s="45">
        <f>IFERROR(INDEX(Controlli!$J$2:$J$83,MATCH($A20,Controlli!$A$2:$A$83,0)),0)</f>
        <v>0</v>
      </c>
      <c r="G20" s="151"/>
      <c r="H20" s="154"/>
      <c r="I20" s="38">
        <f t="shared" si="1"/>
        <v>3</v>
      </c>
      <c r="J20" s="46">
        <f t="shared" si="2"/>
        <v>3</v>
      </c>
      <c r="K20" s="44">
        <f t="shared" si="3"/>
        <v>9</v>
      </c>
      <c r="L20" s="246"/>
      <c r="M20" s="156"/>
      <c r="N20" s="143"/>
      <c r="O20" s="229"/>
      <c r="P20" s="142"/>
      <c r="Q20" s="97"/>
      <c r="R20" s="97"/>
      <c r="S20" s="97"/>
      <c r="T20" s="98"/>
      <c r="V20" s="97"/>
    </row>
    <row r="21" spans="1:22" ht="19">
      <c r="A21" s="12">
        <f>Tabella!A21</f>
        <v>20</v>
      </c>
      <c r="B21" s="13" t="str">
        <f>IFERROR(INDEX(Tabella!$B$2:$B$32,MATCH($A21,Tabella!$A$2:$A$32,0)),"")</f>
        <v>CONT-INFRASTRUCTURE-EQUIPMENT-FAILURE</v>
      </c>
      <c r="C21" s="42">
        <f>IFERROR(INDEX(Tabella!$E$2:$E$32,MATCH($A21,Tabella!$A$2:$A$32,0)),"")</f>
        <v>3</v>
      </c>
      <c r="D21" s="42">
        <f>IFERROR(INDEX(Tabella!$F$2:$F$32,MATCH($A21,Tabella!$A$2:$A$32,0)),"")</f>
        <v>4</v>
      </c>
      <c r="E21" s="44">
        <f t="shared" si="0"/>
        <v>12</v>
      </c>
      <c r="F21" s="45">
        <f>IFERROR(INDEX(Controlli!$J$2:$J$83,MATCH($A21,Controlli!$A$2:$A$83,0)),0)</f>
        <v>0</v>
      </c>
      <c r="G21" s="151"/>
      <c r="H21" s="154"/>
      <c r="I21" s="38">
        <f t="shared" si="1"/>
        <v>3</v>
      </c>
      <c r="J21" s="46">
        <f t="shared" si="2"/>
        <v>4</v>
      </c>
      <c r="K21" s="44">
        <f t="shared" si="3"/>
        <v>12</v>
      </c>
      <c r="L21" s="246"/>
      <c r="M21" s="156"/>
      <c r="N21" s="143"/>
      <c r="O21" s="229"/>
      <c r="P21" s="142"/>
      <c r="Q21" s="97"/>
      <c r="R21" s="97"/>
      <c r="S21" s="97"/>
      <c r="T21" s="98"/>
      <c r="V21" s="97"/>
    </row>
    <row r="22" spans="1:22" ht="19">
      <c r="A22" s="12">
        <f>Tabella!A22</f>
        <v>21</v>
      </c>
      <c r="B22" s="13" t="str">
        <f>IFERROR(INDEX(Tabella!$B$2:$B$32,MATCH($A22,Tabella!$A$2:$A$32,0)),"")</f>
        <v>CONT-UNAUTHORIZED-PHYSICAL-ACCESS</v>
      </c>
      <c r="C22" s="42">
        <f>IFERROR(INDEX(Tabella!$E$2:$E$32,MATCH($A22,Tabella!$A$2:$A$32,0)),"")</f>
        <v>2</v>
      </c>
      <c r="D22" s="42">
        <f>IFERROR(INDEX(Tabella!$F$2:$F$32,MATCH($A22,Tabella!$A$2:$A$32,0)),"")</f>
        <v>4</v>
      </c>
      <c r="E22" s="44">
        <f t="shared" si="0"/>
        <v>8</v>
      </c>
      <c r="F22" s="45">
        <f>IFERROR(INDEX(Controlli!$J$2:$J$83,MATCH($A22,Controlli!$A$2:$A$83,0)),0)</f>
        <v>0</v>
      </c>
      <c r="G22" s="151"/>
      <c r="H22" s="154"/>
      <c r="I22" s="38">
        <f t="shared" si="1"/>
        <v>2</v>
      </c>
      <c r="J22" s="46">
        <f t="shared" si="2"/>
        <v>4</v>
      </c>
      <c r="K22" s="44">
        <f t="shared" si="3"/>
        <v>8</v>
      </c>
      <c r="L22" s="246"/>
      <c r="M22" s="156"/>
      <c r="N22" s="143"/>
      <c r="O22" s="229"/>
      <c r="P22" s="142"/>
      <c r="Q22" s="97"/>
      <c r="R22" s="97"/>
      <c r="S22" s="97"/>
      <c r="T22" s="98"/>
      <c r="V22" s="97"/>
    </row>
    <row r="23" spans="1:22" ht="19">
      <c r="A23" s="12">
        <f>Tabella!A23</f>
        <v>22</v>
      </c>
      <c r="B23" s="13" t="str">
        <f>IFERROR(INDEX(Tabella!$B$2:$B$32,MATCH($A23,Tabella!$A$2:$A$32,0)),"")</f>
        <v>CONT-STAFF-UNAVAILABILITY</v>
      </c>
      <c r="C23" s="42">
        <f>IFERROR(INDEX(Tabella!$E$2:$E$32,MATCH($A23,Tabella!$A$2:$A$32,0)),"")</f>
        <v>2</v>
      </c>
      <c r="D23" s="42">
        <f>IFERROR(INDEX(Tabella!$F$2:$F$32,MATCH($A23,Tabella!$A$2:$A$32,0)),"")</f>
        <v>3</v>
      </c>
      <c r="E23" s="44">
        <f t="shared" si="0"/>
        <v>6</v>
      </c>
      <c r="F23" s="45">
        <f>IFERROR(INDEX(Controlli!$J$2:$J$83,MATCH($A23,Controlli!$A$2:$A$83,0)),0)</f>
        <v>0</v>
      </c>
      <c r="G23" s="151"/>
      <c r="H23" s="154"/>
      <c r="I23" s="38">
        <f t="shared" si="1"/>
        <v>2</v>
      </c>
      <c r="J23" s="46">
        <f t="shared" si="2"/>
        <v>3</v>
      </c>
      <c r="K23" s="44">
        <f t="shared" si="3"/>
        <v>6</v>
      </c>
      <c r="L23" s="246"/>
      <c r="M23" s="156"/>
      <c r="N23" s="143"/>
      <c r="O23" s="229"/>
      <c r="P23" s="142"/>
      <c r="Q23" s="97"/>
      <c r="R23" s="97"/>
      <c r="S23" s="97"/>
      <c r="T23" s="98"/>
      <c r="V23" s="97"/>
    </row>
    <row r="24" spans="1:22" ht="19">
      <c r="A24" s="12">
        <f>Tabella!A24</f>
        <v>23</v>
      </c>
      <c r="B24" s="13" t="str">
        <f>IFERROR(INDEX(Tabella!$B$2:$B$32,MATCH($A24,Tabella!$A$2:$A$32,0)),"")</f>
        <v>PRIV-UNLAWFUL-DATA-PROCESSING_GDPR</v>
      </c>
      <c r="C24" s="42">
        <f>IFERROR(INDEX(Tabella!$E$2:$E$32,MATCH($A24,Tabella!$A$2:$A$32,0)),"")</f>
        <v>3</v>
      </c>
      <c r="D24" s="42">
        <f>IFERROR(INDEX(Tabella!$F$2:$F$32,MATCH($A24,Tabella!$A$2:$A$32,0)),"")</f>
        <v>4</v>
      </c>
      <c r="E24" s="44">
        <f t="shared" si="0"/>
        <v>12</v>
      </c>
      <c r="F24" s="45">
        <f>IFERROR(INDEX(Controlli!$J$2:$J$83,MATCH($A24,Controlli!$A$2:$A$83,0)),0)</f>
        <v>0.7022222222222223</v>
      </c>
      <c r="G24" s="151" t="s">
        <v>656</v>
      </c>
      <c r="H24" s="154"/>
      <c r="I24" s="38">
        <f t="shared" si="1"/>
        <v>1</v>
      </c>
      <c r="J24" s="46">
        <f t="shared" si="2"/>
        <v>4</v>
      </c>
      <c r="K24" s="44">
        <f t="shared" si="3"/>
        <v>4</v>
      </c>
      <c r="L24" s="246"/>
      <c r="M24" s="156"/>
      <c r="N24" s="143"/>
      <c r="O24" s="229"/>
      <c r="P24" s="142"/>
      <c r="Q24" s="97"/>
      <c r="R24" s="97"/>
      <c r="S24" s="97"/>
      <c r="T24" s="98"/>
      <c r="V24" s="97"/>
    </row>
    <row r="25" spans="1:22" ht="19">
      <c r="A25" s="12">
        <f>Tabella!A25</f>
        <v>24</v>
      </c>
      <c r="B25" s="13" t="str">
        <f>IFERROR(INDEX(Tabella!$B$2:$B$32,MATCH($A25,Tabella!$A$2:$A$32,0)),"")</f>
        <v>PRIV-RETENTION-SUBJECT-RIGHTS_GDPR</v>
      </c>
      <c r="C25" s="42">
        <f>IFERROR(INDEX(Tabella!$E$2:$E$32,MATCH($A25,Tabella!$A$2:$A$32,0)),"")</f>
        <v>3</v>
      </c>
      <c r="D25" s="42">
        <f>IFERROR(INDEX(Tabella!$F$2:$F$32,MATCH($A25,Tabella!$A$2:$A$32,0)),"")</f>
        <v>3</v>
      </c>
      <c r="E25" s="44">
        <f t="shared" si="0"/>
        <v>9</v>
      </c>
      <c r="F25" s="45">
        <f>IFERROR(INDEX(Controlli!$J$2:$J$83,MATCH($A25,Controlli!$A$2:$A$83,0)),0)</f>
        <v>0.67388888888888898</v>
      </c>
      <c r="G25" s="151" t="s">
        <v>656</v>
      </c>
      <c r="H25" s="154"/>
      <c r="I25" s="38">
        <f t="shared" si="1"/>
        <v>1</v>
      </c>
      <c r="J25" s="46">
        <f t="shared" si="2"/>
        <v>3</v>
      </c>
      <c r="K25" s="44">
        <f t="shared" si="3"/>
        <v>3</v>
      </c>
      <c r="L25" s="246"/>
      <c r="M25" s="156"/>
      <c r="N25" s="143"/>
      <c r="O25" s="229"/>
      <c r="P25" s="142"/>
      <c r="Q25" s="97"/>
      <c r="R25" s="97"/>
      <c r="S25" s="97"/>
      <c r="T25" s="98"/>
      <c r="V25" s="97"/>
    </row>
    <row r="26" spans="1:22" ht="19">
      <c r="A26" s="12">
        <f>Tabella!A26</f>
        <v>25</v>
      </c>
      <c r="B26" s="13" t="str">
        <f>IFERROR(INDEX(Tabella!$B$2:$B$32,MATCH($A26,Tabella!$A$2:$A$32,0)),"")</f>
        <v>SUP-SUPPLIER-DEPENDENCY_ISO</v>
      </c>
      <c r="C26" s="42">
        <f>IFERROR(INDEX(Tabella!$E$2:$E$32,MATCH($A26,Tabella!$A$2:$A$32,0)),"")</f>
        <v>2</v>
      </c>
      <c r="D26" s="42">
        <f>IFERROR(INDEX(Tabella!$F$2:$F$32,MATCH($A26,Tabella!$A$2:$A$32,0)),"")</f>
        <v>3</v>
      </c>
      <c r="E26" s="44">
        <f t="shared" si="0"/>
        <v>6</v>
      </c>
      <c r="F26" s="45">
        <f>IFERROR(INDEX(Controlli!$J$2:$J$83,MATCH($A26,Controlli!$A$2:$A$83,0)),0)</f>
        <v>0.42499999999999999</v>
      </c>
      <c r="G26" s="151" t="s">
        <v>656</v>
      </c>
      <c r="H26" s="154"/>
      <c r="I26" s="38">
        <f t="shared" si="1"/>
        <v>2</v>
      </c>
      <c r="J26" s="46">
        <f t="shared" si="2"/>
        <v>3</v>
      </c>
      <c r="K26" s="44">
        <f t="shared" si="3"/>
        <v>6</v>
      </c>
      <c r="L26" s="246"/>
      <c r="M26" s="156"/>
      <c r="N26" s="143"/>
      <c r="O26" s="229"/>
      <c r="P26" s="142"/>
      <c r="Q26" s="97"/>
      <c r="R26" s="97"/>
      <c r="S26" s="97"/>
      <c r="T26" s="98"/>
      <c r="V26" s="97"/>
    </row>
    <row r="27" spans="1:22" ht="19">
      <c r="A27" s="12">
        <f>Tabella!A27</f>
        <v>26</v>
      </c>
      <c r="B27" s="13" t="str">
        <f>IFERROR(INDEX(Tabella!$B$2:$B$32,MATCH($A27,Tabella!$A$2:$A$32,0)),"")</f>
        <v xml:space="preserve">GOV-DOCUMENTATION-TRANSPARENCY -GDPR </v>
      </c>
      <c r="C27" s="42">
        <f>IFERROR(INDEX(Tabella!$E$2:$E$32,MATCH($A27,Tabella!$A$2:$A$32,0)),"")</f>
        <v>3</v>
      </c>
      <c r="D27" s="42">
        <f>IFERROR(INDEX(Tabella!$F$2:$F$32,MATCH($A27,Tabella!$A$2:$A$32,0)),"")</f>
        <v>3</v>
      </c>
      <c r="E27" s="44">
        <f t="shared" si="0"/>
        <v>9</v>
      </c>
      <c r="F27" s="45">
        <f>IFERROR(INDEX(Controlli!$J$2:$J$83,MATCH($A27,Controlli!$A$2:$A$83,0)),0)</f>
        <v>0.54249999999999998</v>
      </c>
      <c r="G27" s="151" t="s">
        <v>656</v>
      </c>
      <c r="H27" s="154"/>
      <c r="I27" s="38">
        <f t="shared" si="1"/>
        <v>2</v>
      </c>
      <c r="J27" s="46">
        <f t="shared" si="2"/>
        <v>3</v>
      </c>
      <c r="K27" s="44">
        <f t="shared" si="3"/>
        <v>6</v>
      </c>
      <c r="L27" s="246"/>
      <c r="M27" s="156"/>
      <c r="N27" s="143"/>
      <c r="O27" s="229"/>
      <c r="P27" s="142"/>
      <c r="Q27" s="97"/>
      <c r="R27" s="97"/>
      <c r="S27" s="97"/>
      <c r="T27" s="98"/>
      <c r="V27" s="97"/>
    </row>
    <row r="28" spans="1:22" ht="19">
      <c r="A28" s="12">
        <f>Tabella!A28</f>
        <v>27</v>
      </c>
      <c r="B28" s="13" t="str">
        <f>IFERROR(INDEX(Tabella!$B$2:$B$32,MATCH($A28,Tabella!$A$2:$A$32,0)),"")</f>
        <v xml:space="preserve">GOV-ACCOUNTABILITY-AUDITABILITY -GDPR </v>
      </c>
      <c r="C28" s="42">
        <f>IFERROR(INDEX(Tabella!$E$2:$E$32,MATCH($A28,Tabella!$A$2:$A$32,0)),"")</f>
        <v>3</v>
      </c>
      <c r="D28" s="42">
        <f>IFERROR(INDEX(Tabella!$F$2:$F$32,MATCH($A28,Tabella!$A$2:$A$32,0)),"")</f>
        <v>4</v>
      </c>
      <c r="E28" s="44">
        <f t="shared" si="0"/>
        <v>12</v>
      </c>
      <c r="F28" s="45">
        <f>IFERROR(INDEX(Controlli!$J$2:$J$83,MATCH($A28,Controlli!$A$2:$A$83,0)),0)</f>
        <v>0.54249999999999998</v>
      </c>
      <c r="G28" s="151" t="s">
        <v>656</v>
      </c>
      <c r="H28" s="154"/>
      <c r="I28" s="38">
        <f t="shared" si="1"/>
        <v>2</v>
      </c>
      <c r="J28" s="46">
        <f t="shared" si="2"/>
        <v>4</v>
      </c>
      <c r="K28" s="44">
        <f t="shared" si="3"/>
        <v>8</v>
      </c>
      <c r="L28" s="246"/>
      <c r="M28" s="156"/>
      <c r="N28" s="143"/>
      <c r="O28" s="229"/>
      <c r="P28" s="142"/>
      <c r="Q28" s="97"/>
      <c r="R28" s="97"/>
      <c r="S28" s="97"/>
      <c r="T28" s="98"/>
      <c r="V28" s="97"/>
    </row>
    <row r="29" spans="1:22" ht="19">
      <c r="A29" s="12">
        <f>Tabella!A29</f>
        <v>28</v>
      </c>
      <c r="B29" s="13" t="str">
        <f>IFERROR(INDEX(Tabella!$B$2:$B$32,MATCH($A29,Tabella!$A$2:$A$32,0)),"")</f>
        <v>GOV-AI-CLASSIFICATION</v>
      </c>
      <c r="C29" s="42">
        <f>IFERROR(INDEX(Tabella!$E$2:$E$32,MATCH($A29,Tabella!$A$2:$A$32,0)),"")</f>
        <v>2</v>
      </c>
      <c r="D29" s="42">
        <f>IFERROR(INDEX(Tabella!$F$2:$F$32,MATCH($A29,Tabella!$A$2:$A$32,0)),"")</f>
        <v>4</v>
      </c>
      <c r="E29" s="44">
        <f t="shared" si="0"/>
        <v>8</v>
      </c>
      <c r="F29" s="45">
        <f>IFERROR(INDEX(Controlli!$J$2:$J$83,MATCH($A29,Controlli!$A$2:$A$83,0)),0)</f>
        <v>0.59499999999999997</v>
      </c>
      <c r="G29" s="151" t="s">
        <v>656</v>
      </c>
      <c r="H29" s="154"/>
      <c r="I29" s="38">
        <f t="shared" si="1"/>
        <v>1</v>
      </c>
      <c r="J29" s="46">
        <f t="shared" si="2"/>
        <v>4</v>
      </c>
      <c r="K29" s="44">
        <f t="shared" si="3"/>
        <v>4</v>
      </c>
      <c r="L29" s="246"/>
      <c r="M29" s="156"/>
      <c r="N29" s="143"/>
      <c r="O29" s="229"/>
      <c r="P29" s="142"/>
      <c r="Q29" s="97"/>
      <c r="R29" s="97"/>
      <c r="S29" s="97"/>
      <c r="T29" s="98"/>
      <c r="V29" s="97"/>
    </row>
    <row r="30" spans="1:22" ht="19">
      <c r="A30" s="12">
        <f>Tabella!A30</f>
        <v>29</v>
      </c>
      <c r="B30" s="13" t="str">
        <f>IFERROR(INDEX(Tabella!$B$2:$B$32,MATCH($A30,Tabella!$A$2:$A$32,0)),"")</f>
        <v>GOV-DEROGA-SCOPE</v>
      </c>
      <c r="C30" s="42">
        <f>IFERROR(INDEX(Tabella!$E$2:$E$32,MATCH($A30,Tabella!$A$2:$A$32,0)),"")</f>
        <v>3</v>
      </c>
      <c r="D30" s="42">
        <f>IFERROR(INDEX(Tabella!$F$2:$F$32,MATCH($A30,Tabella!$A$2:$A$32,0)),"")</f>
        <v>5</v>
      </c>
      <c r="E30" s="44">
        <f t="shared" si="0"/>
        <v>15</v>
      </c>
      <c r="F30" s="45">
        <f>IFERROR(INDEX(Controlli!$J$2:$J$83,MATCH($A30,Controlli!$A$2:$A$83,0)),0)</f>
        <v>0.59437499999999988</v>
      </c>
      <c r="G30" s="151" t="s">
        <v>656</v>
      </c>
      <c r="H30" s="154"/>
      <c r="I30" s="38">
        <f t="shared" si="1"/>
        <v>2</v>
      </c>
      <c r="J30" s="46">
        <f t="shared" si="2"/>
        <v>5</v>
      </c>
      <c r="K30" s="44">
        <f t="shared" si="3"/>
        <v>10</v>
      </c>
      <c r="L30" s="246"/>
      <c r="M30" s="156"/>
      <c r="N30" s="143"/>
      <c r="O30" s="229"/>
      <c r="P30" s="142"/>
      <c r="Q30" s="97"/>
      <c r="R30" s="97"/>
      <c r="S30" s="97"/>
      <c r="T30" s="98"/>
      <c r="V30" s="97"/>
    </row>
    <row r="31" spans="1:22" ht="19">
      <c r="A31" s="12">
        <f>Tabella!A31</f>
        <v>30</v>
      </c>
      <c r="B31" s="13" t="str">
        <f>IFERROR(INDEX(Tabella!$B$2:$B$32,MATCH($A31,Tabella!$A$2:$A$32,0)),"")</f>
        <v>GOV-DEROGA-DOC-MAINTENANCE</v>
      </c>
      <c r="C31" s="42">
        <f>IFERROR(INDEX(Tabella!$E$2:$E$32,MATCH($A31,Tabella!$A$2:$A$32,0)),"")</f>
        <v>3</v>
      </c>
      <c r="D31" s="42">
        <f>IFERROR(INDEX(Tabella!$F$2:$F$32,MATCH($A31,Tabella!$A$2:$A$32,0)),"")</f>
        <v>4</v>
      </c>
      <c r="E31" s="44">
        <f t="shared" si="0"/>
        <v>12</v>
      </c>
      <c r="F31" s="45">
        <f>IFERROR(INDEX(Controlli!$J$2:$J$83,MATCH($A31,Controlli!$A$2:$A$83,0)),0)</f>
        <v>0.49874999999999997</v>
      </c>
      <c r="G31" s="151" t="s">
        <v>656</v>
      </c>
      <c r="H31" s="154"/>
      <c r="I31" s="38">
        <f t="shared" si="1"/>
        <v>2</v>
      </c>
      <c r="J31" s="46">
        <f t="shared" si="2"/>
        <v>4</v>
      </c>
      <c r="K31" s="44">
        <f t="shared" si="3"/>
        <v>8</v>
      </c>
      <c r="L31" s="246"/>
      <c r="M31" s="156"/>
      <c r="N31" s="143"/>
      <c r="O31" s="229"/>
      <c r="P31" s="142"/>
      <c r="Q31" s="97"/>
      <c r="R31" s="97"/>
      <c r="S31" s="97"/>
      <c r="T31" s="98"/>
      <c r="V31" s="97"/>
    </row>
    <row r="32" spans="1:22" ht="19">
      <c r="A32" s="81">
        <f>Tabella!A32</f>
        <v>31</v>
      </c>
      <c r="B32" s="82" t="str">
        <f>IFERROR(INDEX(Tabella!$B$2:$B$32,MATCH($A32,Tabella!$A$2:$A$32,0)),"")</f>
        <v>GOV-DEROGA-PROFILING-EXCLUSION -GDPR</v>
      </c>
      <c r="C32" s="148">
        <f>IFERROR(INDEX(Tabella!$E$2:$E$32,MATCH($A32,Tabella!$A$2:$A$32,0)),"")</f>
        <v>2</v>
      </c>
      <c r="D32" s="148">
        <f>IFERROR(INDEX(Tabella!$F$2:$F$32,MATCH($A32,Tabella!$A$2:$A$32,0)),"")</f>
        <v>5</v>
      </c>
      <c r="E32" s="149">
        <f t="shared" si="0"/>
        <v>10</v>
      </c>
      <c r="F32" s="45">
        <f>IFERROR(INDEX(Controlli!$J$2:$J$83,MATCH($A32,Controlli!$A$2:$A$83,0)),0)</f>
        <v>0.90249999999999997</v>
      </c>
      <c r="G32" s="152" t="s">
        <v>656</v>
      </c>
      <c r="H32" s="155"/>
      <c r="I32" s="38">
        <f t="shared" si="1"/>
        <v>1</v>
      </c>
      <c r="J32" s="46">
        <f t="shared" si="2"/>
        <v>5</v>
      </c>
      <c r="K32" s="44">
        <f t="shared" si="3"/>
        <v>5</v>
      </c>
      <c r="L32" s="246"/>
      <c r="M32" s="156"/>
      <c r="N32" s="143"/>
      <c r="O32" s="229"/>
      <c r="P32" s="142"/>
      <c r="Q32" s="97"/>
      <c r="R32" s="97"/>
      <c r="S32" s="97"/>
      <c r="T32" s="98"/>
      <c r="V32" s="97"/>
    </row>
    <row r="33" spans="1:22">
      <c r="A33" s="147"/>
      <c r="B33" s="7"/>
      <c r="C33" s="145"/>
      <c r="D33" s="145"/>
      <c r="E33" s="146"/>
      <c r="F33" s="98"/>
      <c r="G33" s="8"/>
      <c r="H33" s="143"/>
      <c r="K33" s="44"/>
      <c r="M33" s="8"/>
      <c r="N33" s="143"/>
      <c r="O33" s="229"/>
      <c r="Q33" s="143"/>
      <c r="R33" s="97"/>
      <c r="S33" s="97"/>
      <c r="T33" s="97"/>
      <c r="V33" s="97"/>
    </row>
    <row r="34" spans="1:22" ht="19">
      <c r="A34" s="144"/>
      <c r="L34" s="53"/>
      <c r="O34" s="8"/>
      <c r="P34" s="142"/>
      <c r="V34" s="97"/>
    </row>
    <row r="35" spans="1:22">
      <c r="L35" s="1"/>
    </row>
    <row r="36" spans="1:22">
      <c r="A36" s="6"/>
      <c r="L36" s="1"/>
    </row>
    <row r="37" spans="1:22">
      <c r="L37" s="1"/>
    </row>
    <row r="38" spans="1:22">
      <c r="L38" s="1"/>
    </row>
    <row r="39" spans="1:22">
      <c r="L39" s="1"/>
    </row>
    <row r="40" spans="1:22">
      <c r="L40" s="1"/>
    </row>
    <row r="41" spans="1:22">
      <c r="B41" s="60"/>
      <c r="G41" s="61"/>
      <c r="L41" s="1"/>
      <c r="M41" s="61"/>
    </row>
    <row r="42" spans="1:22">
      <c r="L42" s="1"/>
    </row>
    <row r="43" spans="1:22">
      <c r="L43" s="1"/>
    </row>
    <row r="44" spans="1:22">
      <c r="L44" s="1"/>
    </row>
    <row r="45" spans="1:22">
      <c r="L45" s="1"/>
    </row>
    <row r="46" spans="1:22">
      <c r="L46" s="1"/>
    </row>
    <row r="47" spans="1:22">
      <c r="L47" s="1"/>
    </row>
    <row r="48" spans="1:22">
      <c r="L48" s="1"/>
    </row>
    <row r="49" spans="12:12">
      <c r="L49" s="1"/>
    </row>
    <row r="50" spans="12:12">
      <c r="L50" s="1"/>
    </row>
    <row r="51" spans="12:12">
      <c r="L51" s="1"/>
    </row>
  </sheetData>
  <conditionalFormatting sqref="K2:K33">
    <cfRule type="cellIs" dxfId="12" priority="3" stopIfTrue="1" operator="greaterThanOrEqual">
      <formula>5</formula>
    </cfRule>
  </conditionalFormatting>
  <conditionalFormatting sqref="L1">
    <cfRule type="cellIs" dxfId="11" priority="1" stopIfTrue="1" operator="greaterThanOrEqual">
      <formula>5</formula>
    </cfRule>
  </conditionalFormatting>
  <conditionalFormatting sqref="L1:L32 L34:L51">
    <cfRule type="containsText" dxfId="10" priority="6" operator="containsText" text="Medio">
      <formula>NOT(ISERROR(SEARCH("Medio",L1)))</formula>
    </cfRule>
    <cfRule type="containsText" dxfId="9" priority="7" operator="containsText" text="Alto">
      <formula>NOT(ISERROR(SEARCH("Alto",L1)))</formula>
    </cfRule>
  </conditionalFormatting>
  <conditionalFormatting sqref="L2:L32 L34">
    <cfRule type="cellIs" dxfId="8" priority="8" operator="equal">
      <formula>"Basso"</formula>
    </cfRule>
    <cfRule type="cellIs" dxfId="7" priority="9" operator="equal">
      <formula>"Medio"</formula>
    </cfRule>
    <cfRule type="cellIs" dxfId="6" priority="10" operator="equal">
      <formula>"Alto"</formula>
    </cfRule>
    <cfRule type="cellIs" dxfId="5" priority="11" operator="equal">
      <formula>"Critico"</formula>
    </cfRule>
  </conditionalFormatting>
  <conditionalFormatting sqref="T2:T32 F33">
    <cfRule type="cellIs" dxfId="4" priority="24" operator="equal">
      <formula>"Critico"</formula>
    </cfRule>
    <cfRule type="cellIs" dxfId="3" priority="25" operator="equal">
      <formula>"Alto"</formula>
    </cfRule>
    <cfRule type="cellIs" dxfId="2" priority="26" operator="equal">
      <formula>"Medio"</formula>
    </cfRule>
    <cfRule type="cellIs" dxfId="1" priority="27" operator="equal">
      <formula>"Basso"</formula>
    </cfRule>
  </conditionalFormatting>
  <dataValidations count="1">
    <dataValidation type="list" allowBlank="1" showInputMessage="1" showErrorMessage="1" promptTitle="Riduzione" prompt="Spunta X se i controlli agiscono su questa dimensione. Lascia vuoto se no." sqref="G2:H32" xr:uid="{D1CCA476-0FA5-DA41-B323-21B08785686A}">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D78C7-790F-6F42-99BC-2FC385A63FAA}">
  <dimension ref="A1:F27"/>
  <sheetViews>
    <sheetView topLeftCell="A2" zoomScale="75" workbookViewId="0">
      <selection activeCell="E22" sqref="E22"/>
    </sheetView>
  </sheetViews>
  <sheetFormatPr baseColWidth="10" defaultColWidth="10.6640625" defaultRowHeight="15"/>
  <cols>
    <col min="1" max="1" width="37.1640625" style="114" customWidth="1"/>
    <col min="2" max="2" width="28.5" style="115" customWidth="1"/>
    <col min="3" max="3" width="30.83203125" style="114" customWidth="1"/>
    <col min="4" max="4" width="31.33203125" style="114" customWidth="1"/>
    <col min="5" max="5" width="55.33203125" style="115" customWidth="1"/>
    <col min="6" max="6" width="55.33203125" style="114" customWidth="1"/>
    <col min="7" max="7" width="10.6640625" style="114" customWidth="1"/>
    <col min="8" max="16384" width="10.6640625" style="114"/>
  </cols>
  <sheetData>
    <row r="1" spans="1:6" ht="16">
      <c r="A1" s="119" t="s">
        <v>374</v>
      </c>
      <c r="B1" s="121" t="s">
        <v>373</v>
      </c>
      <c r="C1" s="119" t="s">
        <v>372</v>
      </c>
      <c r="D1" s="119" t="s">
        <v>371</v>
      </c>
      <c r="E1" s="121" t="s">
        <v>370</v>
      </c>
      <c r="F1" s="120"/>
    </row>
    <row r="2" spans="1:6" ht="31">
      <c r="A2" s="119" t="s">
        <v>369</v>
      </c>
      <c r="B2" s="117" t="s">
        <v>364</v>
      </c>
      <c r="C2" s="118" t="s">
        <v>368</v>
      </c>
      <c r="D2" s="118" t="s">
        <v>367</v>
      </c>
      <c r="E2" s="117" t="s">
        <v>366</v>
      </c>
      <c r="F2" s="116"/>
    </row>
    <row r="3" spans="1:6" ht="31">
      <c r="A3" s="119" t="s">
        <v>365</v>
      </c>
      <c r="B3" s="117" t="s">
        <v>364</v>
      </c>
      <c r="C3" s="118" t="s">
        <v>363</v>
      </c>
      <c r="D3" s="118" t="s">
        <v>362</v>
      </c>
      <c r="E3" s="117" t="s">
        <v>361</v>
      </c>
      <c r="F3" s="116"/>
    </row>
    <row r="4" spans="1:6" ht="31">
      <c r="A4" s="119" t="s">
        <v>360</v>
      </c>
      <c r="B4" s="117" t="s">
        <v>351</v>
      </c>
      <c r="C4" s="118" t="s">
        <v>359</v>
      </c>
      <c r="D4" s="118" t="s">
        <v>358</v>
      </c>
      <c r="E4" s="117" t="s">
        <v>357</v>
      </c>
      <c r="F4" s="116"/>
    </row>
    <row r="5" spans="1:6" ht="31">
      <c r="A5" s="119" t="s">
        <v>356</v>
      </c>
      <c r="B5" s="117" t="s">
        <v>351</v>
      </c>
      <c r="C5" s="118" t="s">
        <v>355</v>
      </c>
      <c r="D5" s="118" t="s">
        <v>354</v>
      </c>
      <c r="E5" s="117" t="s">
        <v>353</v>
      </c>
      <c r="F5" s="116"/>
    </row>
    <row r="6" spans="1:6" ht="31">
      <c r="A6" s="119" t="s">
        <v>352</v>
      </c>
      <c r="B6" s="117" t="s">
        <v>351</v>
      </c>
      <c r="C6" s="118" t="s">
        <v>350</v>
      </c>
      <c r="D6" s="118" t="s">
        <v>349</v>
      </c>
      <c r="E6" s="117" t="s">
        <v>348</v>
      </c>
      <c r="F6" s="116"/>
    </row>
    <row r="7" spans="1:6" ht="31">
      <c r="A7" s="119" t="s">
        <v>347</v>
      </c>
      <c r="B7" s="117" t="s">
        <v>331</v>
      </c>
      <c r="C7" s="118" t="s">
        <v>343</v>
      </c>
      <c r="D7" s="118" t="s">
        <v>346</v>
      </c>
      <c r="E7" s="117" t="s">
        <v>345</v>
      </c>
      <c r="F7" s="116"/>
    </row>
    <row r="8" spans="1:6" ht="31">
      <c r="A8" s="119" t="s">
        <v>344</v>
      </c>
      <c r="B8" s="117" t="s">
        <v>331</v>
      </c>
      <c r="C8" s="118" t="s">
        <v>343</v>
      </c>
      <c r="D8" s="118" t="s">
        <v>342</v>
      </c>
      <c r="E8" s="117" t="s">
        <v>341</v>
      </c>
      <c r="F8" s="116"/>
    </row>
    <row r="9" spans="1:6" ht="31">
      <c r="A9" s="119" t="s">
        <v>340</v>
      </c>
      <c r="B9" s="117" t="s">
        <v>331</v>
      </c>
      <c r="C9" s="118" t="s">
        <v>339</v>
      </c>
      <c r="D9" s="118" t="s">
        <v>338</v>
      </c>
      <c r="E9" s="117" t="s">
        <v>337</v>
      </c>
      <c r="F9" s="116"/>
    </row>
    <row r="10" spans="1:6" ht="31">
      <c r="A10" s="119" t="s">
        <v>336</v>
      </c>
      <c r="B10" s="117" t="s">
        <v>331</v>
      </c>
      <c r="C10" s="118" t="s">
        <v>335</v>
      </c>
      <c r="D10" s="118" t="s">
        <v>334</v>
      </c>
      <c r="E10" s="117" t="s">
        <v>333</v>
      </c>
      <c r="F10" s="116"/>
    </row>
    <row r="11" spans="1:6" ht="31">
      <c r="A11" s="119" t="s">
        <v>332</v>
      </c>
      <c r="B11" s="117" t="s">
        <v>331</v>
      </c>
      <c r="C11" s="118" t="s">
        <v>330</v>
      </c>
      <c r="D11" s="118" t="s">
        <v>329</v>
      </c>
      <c r="E11" s="117" t="s">
        <v>328</v>
      </c>
      <c r="F11" s="116"/>
    </row>
    <row r="12" spans="1:6" ht="31">
      <c r="A12" s="119" t="s">
        <v>327</v>
      </c>
      <c r="B12" s="117" t="s">
        <v>322</v>
      </c>
      <c r="C12" s="118" t="s">
        <v>326</v>
      </c>
      <c r="D12" s="118" t="s">
        <v>325</v>
      </c>
      <c r="E12" s="117" t="s">
        <v>324</v>
      </c>
      <c r="F12" s="116"/>
    </row>
    <row r="13" spans="1:6" ht="31">
      <c r="A13" s="119" t="s">
        <v>323</v>
      </c>
      <c r="B13" s="117" t="s">
        <v>322</v>
      </c>
      <c r="C13" s="118" t="s">
        <v>321</v>
      </c>
      <c r="D13" s="118" t="s">
        <v>320</v>
      </c>
      <c r="E13" s="117" t="s">
        <v>319</v>
      </c>
      <c r="F13" s="116"/>
    </row>
    <row r="14" spans="1:6" ht="31">
      <c r="A14" s="119" t="s">
        <v>318</v>
      </c>
      <c r="B14" s="117" t="s">
        <v>292</v>
      </c>
      <c r="C14" s="118" t="s">
        <v>291</v>
      </c>
      <c r="D14" s="118" t="s">
        <v>317</v>
      </c>
      <c r="E14" s="117" t="s">
        <v>316</v>
      </c>
      <c r="F14" s="116"/>
    </row>
    <row r="15" spans="1:6" ht="48">
      <c r="A15" s="119" t="s">
        <v>315</v>
      </c>
      <c r="B15" s="117" t="s">
        <v>292</v>
      </c>
      <c r="C15" s="118" t="s">
        <v>291</v>
      </c>
      <c r="D15" s="116" t="s">
        <v>314</v>
      </c>
      <c r="E15" s="115" t="s">
        <v>313</v>
      </c>
      <c r="F15" s="116"/>
    </row>
    <row r="16" spans="1:6" ht="31">
      <c r="A16" s="119" t="s">
        <v>312</v>
      </c>
      <c r="B16" s="117" t="s">
        <v>292</v>
      </c>
      <c r="C16" s="118" t="s">
        <v>291</v>
      </c>
      <c r="D16" s="118" t="s">
        <v>311</v>
      </c>
      <c r="E16" s="117" t="s">
        <v>310</v>
      </c>
      <c r="F16" s="116"/>
    </row>
    <row r="17" spans="1:6" ht="31">
      <c r="A17" s="119" t="s">
        <v>309</v>
      </c>
      <c r="B17" s="117" t="s">
        <v>292</v>
      </c>
      <c r="C17" s="118" t="s">
        <v>291</v>
      </c>
      <c r="D17" s="118" t="s">
        <v>308</v>
      </c>
      <c r="E17" s="117" t="s">
        <v>307</v>
      </c>
      <c r="F17" s="116"/>
    </row>
    <row r="18" spans="1:6" ht="31">
      <c r="A18" s="119" t="s">
        <v>306</v>
      </c>
      <c r="B18" s="117" t="s">
        <v>292</v>
      </c>
      <c r="C18" s="118" t="s">
        <v>296</v>
      </c>
      <c r="D18" s="118" t="s">
        <v>305</v>
      </c>
      <c r="E18" s="117" t="s">
        <v>304</v>
      </c>
      <c r="F18" s="116"/>
    </row>
    <row r="19" spans="1:6" ht="31">
      <c r="A19" s="119" t="s">
        <v>303</v>
      </c>
      <c r="B19" s="117" t="s">
        <v>292</v>
      </c>
      <c r="C19" s="118" t="s">
        <v>291</v>
      </c>
      <c r="D19" s="118" t="s">
        <v>302</v>
      </c>
      <c r="E19" s="117" t="s">
        <v>301</v>
      </c>
      <c r="F19" s="116"/>
    </row>
    <row r="20" spans="1:6" ht="31">
      <c r="A20" s="119" t="s">
        <v>300</v>
      </c>
      <c r="B20" s="117" t="s">
        <v>292</v>
      </c>
      <c r="C20" s="118" t="s">
        <v>296</v>
      </c>
      <c r="D20" s="118" t="s">
        <v>299</v>
      </c>
      <c r="E20" s="117" t="s">
        <v>298</v>
      </c>
      <c r="F20" s="116"/>
    </row>
    <row r="21" spans="1:6" ht="31">
      <c r="A21" s="119" t="s">
        <v>297</v>
      </c>
      <c r="B21" s="117" t="s">
        <v>292</v>
      </c>
      <c r="C21" s="118" t="s">
        <v>296</v>
      </c>
      <c r="D21" s="118" t="s">
        <v>295</v>
      </c>
      <c r="E21" s="117" t="s">
        <v>294</v>
      </c>
      <c r="F21" s="116"/>
    </row>
    <row r="22" spans="1:6" ht="31">
      <c r="A22" s="119" t="s">
        <v>293</v>
      </c>
      <c r="B22" s="117" t="s">
        <v>292</v>
      </c>
      <c r="C22" s="118" t="s">
        <v>291</v>
      </c>
      <c r="D22" s="118" t="s">
        <v>290</v>
      </c>
      <c r="E22" s="117" t="s">
        <v>289</v>
      </c>
      <c r="F22" s="116"/>
    </row>
    <row r="23" spans="1:6" ht="31">
      <c r="A23" s="119" t="s">
        <v>288</v>
      </c>
      <c r="B23" s="117" t="s">
        <v>279</v>
      </c>
      <c r="C23" s="118" t="s">
        <v>287</v>
      </c>
      <c r="D23" s="118" t="s">
        <v>286</v>
      </c>
      <c r="E23" s="117" t="s">
        <v>285</v>
      </c>
      <c r="F23" s="116"/>
    </row>
    <row r="24" spans="1:6" ht="31">
      <c r="A24" s="119" t="s">
        <v>284</v>
      </c>
      <c r="B24" s="117" t="s">
        <v>279</v>
      </c>
      <c r="C24" s="118" t="s">
        <v>283</v>
      </c>
      <c r="D24" s="118" t="s">
        <v>282</v>
      </c>
      <c r="E24" s="117" t="s">
        <v>281</v>
      </c>
      <c r="F24" s="116"/>
    </row>
    <row r="25" spans="1:6" ht="31">
      <c r="A25" s="119" t="s">
        <v>280</v>
      </c>
      <c r="B25" s="117" t="s">
        <v>279</v>
      </c>
      <c r="C25" s="118" t="s">
        <v>278</v>
      </c>
      <c r="D25" s="118" t="s">
        <v>277</v>
      </c>
      <c r="E25" s="117" t="s">
        <v>276</v>
      </c>
      <c r="F25" s="116"/>
    </row>
    <row r="26" spans="1:6">
      <c r="F26" s="116"/>
    </row>
    <row r="27" spans="1:6">
      <c r="F27" s="116"/>
    </row>
  </sheetData>
  <pageMargins left="0.70000000000000007" right="0.70000000000000007" top="0.75" bottom="0.75" header="0.30000000000000004" footer="0.3000000000000000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C7699-DCCC-6F42-B9A9-D802CCC1C097}">
  <dimension ref="A1:Q80"/>
  <sheetViews>
    <sheetView topLeftCell="A43" workbookViewId="0">
      <selection activeCell="A80" sqref="A79:A80"/>
    </sheetView>
  </sheetViews>
  <sheetFormatPr baseColWidth="10" defaultColWidth="10.6640625" defaultRowHeight="15"/>
  <cols>
    <col min="1" max="1" width="44.1640625" style="114" customWidth="1"/>
    <col min="2" max="2" width="56.5" style="114" customWidth="1"/>
    <col min="3" max="3" width="114.1640625" style="114" customWidth="1"/>
    <col min="4" max="4" width="93.1640625" style="114" customWidth="1"/>
    <col min="5" max="16" width="10.6640625" style="114" customWidth="1"/>
    <col min="17" max="17" width="65.33203125" style="114" customWidth="1"/>
    <col min="18" max="18" width="10.6640625" style="114" customWidth="1"/>
    <col min="19" max="16384" width="10.6640625" style="114"/>
  </cols>
  <sheetData>
    <row r="1" spans="1:3" ht="16">
      <c r="A1" s="130" t="s">
        <v>534</v>
      </c>
      <c r="B1" s="130" t="s">
        <v>533</v>
      </c>
      <c r="C1" s="129" t="s">
        <v>532</v>
      </c>
    </row>
    <row r="2" spans="1:3" ht="16">
      <c r="A2" s="252" t="s">
        <v>531</v>
      </c>
      <c r="B2" s="122" t="s">
        <v>530</v>
      </c>
      <c r="C2" s="122" t="s">
        <v>529</v>
      </c>
    </row>
    <row r="3" spans="1:3" ht="16">
      <c r="A3" s="252"/>
      <c r="B3" s="122" t="s">
        <v>528</v>
      </c>
      <c r="C3" s="122" t="s">
        <v>527</v>
      </c>
    </row>
    <row r="4" spans="1:3" ht="16">
      <c r="A4" s="252"/>
      <c r="B4" s="122" t="s">
        <v>526</v>
      </c>
      <c r="C4" s="122" t="s">
        <v>525</v>
      </c>
    </row>
    <row r="5" spans="1:3" ht="16">
      <c r="A5" s="252"/>
      <c r="B5" s="122" t="s">
        <v>524</v>
      </c>
      <c r="C5" s="122" t="s">
        <v>523</v>
      </c>
    </row>
    <row r="6" spans="1:3" ht="16">
      <c r="A6" s="252"/>
      <c r="B6" s="122" t="s">
        <v>522</v>
      </c>
      <c r="C6" s="122" t="s">
        <v>521</v>
      </c>
    </row>
    <row r="7" spans="1:3" ht="16">
      <c r="A7" s="252"/>
      <c r="B7" s="122" t="s">
        <v>520</v>
      </c>
      <c r="C7" s="122" t="s">
        <v>519</v>
      </c>
    </row>
    <row r="8" spans="1:3" ht="16">
      <c r="A8" s="252"/>
      <c r="B8" s="122" t="s">
        <v>518</v>
      </c>
      <c r="C8" s="122" t="s">
        <v>517</v>
      </c>
    </row>
    <row r="9" spans="1:3" ht="16">
      <c r="A9" s="252"/>
      <c r="B9" s="122" t="s">
        <v>516</v>
      </c>
      <c r="C9" s="122" t="s">
        <v>515</v>
      </c>
    </row>
    <row r="10" spans="1:3" ht="16">
      <c r="A10" s="252"/>
      <c r="B10" s="122" t="s">
        <v>514</v>
      </c>
      <c r="C10" s="122" t="s">
        <v>513</v>
      </c>
    </row>
    <row r="11" spans="1:3" ht="16">
      <c r="A11" s="252"/>
      <c r="B11" s="125" t="s">
        <v>512</v>
      </c>
      <c r="C11" s="125" t="s">
        <v>511</v>
      </c>
    </row>
    <row r="12" spans="1:3" ht="16">
      <c r="A12" s="253" t="s">
        <v>510</v>
      </c>
      <c r="B12" s="122" t="s">
        <v>509</v>
      </c>
      <c r="C12" s="114" t="s">
        <v>508</v>
      </c>
    </row>
    <row r="13" spans="1:3" ht="16">
      <c r="A13" s="253"/>
      <c r="B13" s="122" t="s">
        <v>507</v>
      </c>
      <c r="C13" s="114" t="s">
        <v>506</v>
      </c>
    </row>
    <row r="14" spans="1:3" ht="16">
      <c r="A14" s="253"/>
      <c r="B14" s="122" t="s">
        <v>505</v>
      </c>
      <c r="C14" s="114" t="s">
        <v>504</v>
      </c>
    </row>
    <row r="15" spans="1:3" ht="16">
      <c r="A15" s="253"/>
      <c r="B15" s="122" t="s">
        <v>503</v>
      </c>
      <c r="C15" s="114" t="s">
        <v>502</v>
      </c>
    </row>
    <row r="16" spans="1:3" ht="16">
      <c r="A16" s="253"/>
      <c r="B16" s="122" t="s">
        <v>501</v>
      </c>
      <c r="C16" s="114" t="s">
        <v>500</v>
      </c>
    </row>
    <row r="17" spans="1:17" ht="16">
      <c r="A17" s="253"/>
      <c r="B17" s="122" t="s">
        <v>499</v>
      </c>
      <c r="C17" s="114" t="s">
        <v>498</v>
      </c>
    </row>
    <row r="18" spans="1:17" ht="16">
      <c r="A18" s="253"/>
      <c r="B18" s="122" t="s">
        <v>497</v>
      </c>
      <c r="C18" s="114" t="s">
        <v>496</v>
      </c>
    </row>
    <row r="19" spans="1:17" ht="16">
      <c r="A19" s="253"/>
      <c r="B19" s="164" t="s">
        <v>495</v>
      </c>
      <c r="C19" s="165" t="s">
        <v>494</v>
      </c>
    </row>
    <row r="20" spans="1:17" ht="16">
      <c r="A20" s="253"/>
      <c r="B20" s="164" t="s">
        <v>493</v>
      </c>
      <c r="C20" s="166" t="s">
        <v>492</v>
      </c>
    </row>
    <row r="21" spans="1:17" ht="16">
      <c r="A21" s="253"/>
      <c r="B21" s="164" t="s">
        <v>491</v>
      </c>
      <c r="C21" s="166" t="s">
        <v>490</v>
      </c>
    </row>
    <row r="22" spans="1:17" ht="16">
      <c r="A22" s="253"/>
      <c r="B22" s="164" t="s">
        <v>489</v>
      </c>
      <c r="C22" s="166" t="s">
        <v>488</v>
      </c>
    </row>
    <row r="23" spans="1:17" ht="16">
      <c r="A23" s="253"/>
      <c r="B23" s="164" t="s">
        <v>487</v>
      </c>
      <c r="C23" s="165" t="s">
        <v>486</v>
      </c>
    </row>
    <row r="24" spans="1:17" ht="16">
      <c r="A24" s="253"/>
      <c r="B24" s="164" t="s">
        <v>485</v>
      </c>
      <c r="C24" s="165" t="s">
        <v>484</v>
      </c>
    </row>
    <row r="25" spans="1:17" ht="16">
      <c r="A25" s="253"/>
      <c r="B25" s="164" t="s">
        <v>483</v>
      </c>
      <c r="C25" s="165" t="s">
        <v>482</v>
      </c>
    </row>
    <row r="26" spans="1:17" ht="16">
      <c r="A26" s="253"/>
      <c r="B26" s="122" t="s">
        <v>481</v>
      </c>
      <c r="C26" s="114" t="s">
        <v>480</v>
      </c>
    </row>
    <row r="27" spans="1:17" ht="16">
      <c r="A27" s="253"/>
      <c r="B27" s="122" t="s">
        <v>479</v>
      </c>
      <c r="C27" s="114" t="s">
        <v>478</v>
      </c>
    </row>
    <row r="28" spans="1:17" ht="16">
      <c r="A28" s="253"/>
      <c r="B28" s="122" t="s">
        <v>477</v>
      </c>
      <c r="C28" s="114" t="s">
        <v>476</v>
      </c>
    </row>
    <row r="29" spans="1:17" ht="16">
      <c r="A29" s="253"/>
      <c r="B29" s="122" t="s">
        <v>475</v>
      </c>
      <c r="C29" s="114" t="s">
        <v>474</v>
      </c>
    </row>
    <row r="30" spans="1:17" ht="16">
      <c r="A30" s="253"/>
      <c r="B30" s="122" t="s">
        <v>473</v>
      </c>
      <c r="C30" s="114" t="s">
        <v>472</v>
      </c>
      <c r="P30" s="127"/>
      <c r="Q30" s="127"/>
    </row>
    <row r="31" spans="1:17" ht="16">
      <c r="A31" s="253"/>
      <c r="B31" s="122" t="s">
        <v>471</v>
      </c>
      <c r="C31" s="114" t="s">
        <v>470</v>
      </c>
    </row>
    <row r="32" spans="1:17" ht="16">
      <c r="A32" s="253"/>
      <c r="B32" s="122" t="s">
        <v>469</v>
      </c>
      <c r="C32" s="114" t="s">
        <v>468</v>
      </c>
    </row>
    <row r="33" spans="1:3" ht="16">
      <c r="A33" s="253"/>
      <c r="B33" s="122" t="s">
        <v>467</v>
      </c>
      <c r="C33" s="114" t="s">
        <v>466</v>
      </c>
    </row>
    <row r="34" spans="1:3" ht="16">
      <c r="A34" s="253"/>
      <c r="B34" s="122" t="s">
        <v>465</v>
      </c>
      <c r="C34" s="114" t="s">
        <v>464</v>
      </c>
    </row>
    <row r="35" spans="1:3" ht="16">
      <c r="A35" s="253"/>
      <c r="B35" s="125" t="s">
        <v>463</v>
      </c>
      <c r="C35" s="126" t="s">
        <v>462</v>
      </c>
    </row>
    <row r="36" spans="1:3" ht="16">
      <c r="A36" s="253" t="s">
        <v>461</v>
      </c>
      <c r="B36" s="122" t="s">
        <v>460</v>
      </c>
      <c r="C36" s="122" t="s">
        <v>459</v>
      </c>
    </row>
    <row r="37" spans="1:3" ht="16">
      <c r="A37" s="253"/>
      <c r="B37" s="122" t="s">
        <v>458</v>
      </c>
      <c r="C37" s="122" t="s">
        <v>457</v>
      </c>
    </row>
    <row r="38" spans="1:3" ht="16">
      <c r="A38" s="253"/>
      <c r="B38" s="122" t="s">
        <v>456</v>
      </c>
      <c r="C38" s="122" t="s">
        <v>455</v>
      </c>
    </row>
    <row r="39" spans="1:3" ht="16">
      <c r="A39" s="253"/>
      <c r="B39" s="122" t="s">
        <v>454</v>
      </c>
      <c r="C39" s="122" t="s">
        <v>453</v>
      </c>
    </row>
    <row r="40" spans="1:3" ht="16">
      <c r="A40" s="253"/>
      <c r="B40" s="122" t="s">
        <v>452</v>
      </c>
      <c r="C40" s="122" t="s">
        <v>451</v>
      </c>
    </row>
    <row r="41" spans="1:3" ht="16">
      <c r="A41" s="253"/>
      <c r="B41" s="122" t="s">
        <v>450</v>
      </c>
      <c r="C41" s="122" t="s">
        <v>449</v>
      </c>
    </row>
    <row r="42" spans="1:3" ht="16">
      <c r="A42" s="253"/>
      <c r="B42" s="122" t="s">
        <v>448</v>
      </c>
      <c r="C42" s="122" t="s">
        <v>447</v>
      </c>
    </row>
    <row r="43" spans="1:3" ht="16">
      <c r="A43" s="253"/>
      <c r="B43" s="122" t="s">
        <v>446</v>
      </c>
      <c r="C43" s="122" t="s">
        <v>445</v>
      </c>
    </row>
    <row r="44" spans="1:3" ht="16">
      <c r="A44" s="253"/>
      <c r="B44" s="122" t="s">
        <v>444</v>
      </c>
      <c r="C44" s="122" t="s">
        <v>443</v>
      </c>
    </row>
    <row r="45" spans="1:3" ht="16">
      <c r="A45" s="253"/>
      <c r="B45" s="125" t="s">
        <v>442</v>
      </c>
      <c r="C45" s="125" t="s">
        <v>441</v>
      </c>
    </row>
    <row r="46" spans="1:3" ht="16">
      <c r="A46" s="253" t="s">
        <v>440</v>
      </c>
      <c r="B46" s="122" t="s">
        <v>439</v>
      </c>
      <c r="C46" s="122" t="s">
        <v>438</v>
      </c>
    </row>
    <row r="47" spans="1:3" ht="16">
      <c r="A47" s="253"/>
      <c r="B47" s="122" t="s">
        <v>437</v>
      </c>
      <c r="C47" s="122" t="s">
        <v>816</v>
      </c>
    </row>
    <row r="48" spans="1:3" ht="16">
      <c r="A48" s="253"/>
      <c r="B48" s="122" t="s">
        <v>436</v>
      </c>
      <c r="C48" s="122" t="s">
        <v>435</v>
      </c>
    </row>
    <row r="49" spans="1:3" ht="16">
      <c r="A49" s="253"/>
      <c r="B49" s="122" t="s">
        <v>434</v>
      </c>
      <c r="C49" s="122" t="s">
        <v>433</v>
      </c>
    </row>
    <row r="50" spans="1:3" ht="16">
      <c r="A50" s="253"/>
      <c r="B50" s="122" t="s">
        <v>432</v>
      </c>
      <c r="C50" s="122" t="s">
        <v>431</v>
      </c>
    </row>
    <row r="51" spans="1:3" ht="16">
      <c r="A51" s="253"/>
      <c r="B51" s="122" t="s">
        <v>430</v>
      </c>
      <c r="C51" s="122" t="s">
        <v>429</v>
      </c>
    </row>
    <row r="52" spans="1:3" ht="16">
      <c r="A52" s="253"/>
      <c r="B52" s="122" t="s">
        <v>428</v>
      </c>
      <c r="C52" s="122" t="s">
        <v>427</v>
      </c>
    </row>
    <row r="53" spans="1:3" ht="16">
      <c r="A53" s="253"/>
      <c r="B53" s="125" t="s">
        <v>426</v>
      </c>
      <c r="C53" s="125" t="s">
        <v>425</v>
      </c>
    </row>
    <row r="54" spans="1:3" ht="16">
      <c r="A54" s="253" t="s">
        <v>424</v>
      </c>
      <c r="B54" s="122" t="s">
        <v>423</v>
      </c>
      <c r="C54" s="122" t="s">
        <v>422</v>
      </c>
    </row>
    <row r="55" spans="1:3" ht="16">
      <c r="A55" s="253"/>
      <c r="B55" s="122" t="s">
        <v>421</v>
      </c>
      <c r="C55" s="122" t="s">
        <v>420</v>
      </c>
    </row>
    <row r="56" spans="1:3" ht="16">
      <c r="A56" s="253"/>
      <c r="B56" s="122" t="s">
        <v>419</v>
      </c>
      <c r="C56" s="122" t="s">
        <v>418</v>
      </c>
    </row>
    <row r="57" spans="1:3" ht="16">
      <c r="A57" s="253"/>
      <c r="B57" s="122" t="s">
        <v>417</v>
      </c>
      <c r="C57" s="122" t="s">
        <v>416</v>
      </c>
    </row>
    <row r="58" spans="1:3" ht="16">
      <c r="A58" s="253"/>
      <c r="B58" s="122" t="s">
        <v>415</v>
      </c>
      <c r="C58" s="122" t="s">
        <v>414</v>
      </c>
    </row>
    <row r="59" spans="1:3" ht="16">
      <c r="A59" s="253"/>
      <c r="B59" s="122" t="s">
        <v>413</v>
      </c>
      <c r="C59" s="122" t="s">
        <v>412</v>
      </c>
    </row>
    <row r="60" spans="1:3" ht="16">
      <c r="A60" s="253"/>
      <c r="B60" s="125" t="s">
        <v>411</v>
      </c>
      <c r="C60" s="125" t="s">
        <v>410</v>
      </c>
    </row>
    <row r="61" spans="1:3" ht="15.75" customHeight="1">
      <c r="A61" s="251" t="s">
        <v>409</v>
      </c>
      <c r="B61" s="122" t="s">
        <v>408</v>
      </c>
      <c r="C61" s="122" t="s">
        <v>407</v>
      </c>
    </row>
    <row r="62" spans="1:3" ht="15.75" customHeight="1">
      <c r="A62" s="251"/>
      <c r="B62" s="122" t="s">
        <v>406</v>
      </c>
      <c r="C62" s="122" t="s">
        <v>405</v>
      </c>
    </row>
    <row r="63" spans="1:3" ht="16">
      <c r="A63" s="251"/>
      <c r="B63" s="122" t="s">
        <v>404</v>
      </c>
      <c r="C63" s="122" t="s">
        <v>403</v>
      </c>
    </row>
    <row r="64" spans="1:3" ht="16">
      <c r="A64" s="251"/>
      <c r="B64" s="122" t="s">
        <v>402</v>
      </c>
      <c r="C64" s="122" t="s">
        <v>401</v>
      </c>
    </row>
    <row r="65" spans="1:3" ht="16">
      <c r="A65" s="251"/>
      <c r="B65" s="122" t="s">
        <v>400</v>
      </c>
      <c r="C65" s="122" t="s">
        <v>399</v>
      </c>
    </row>
    <row r="66" spans="1:3" ht="16">
      <c r="A66" s="251"/>
      <c r="B66" s="122" t="s">
        <v>398</v>
      </c>
      <c r="C66" s="122" t="s">
        <v>817</v>
      </c>
    </row>
    <row r="67" spans="1:3" ht="16">
      <c r="A67" s="251"/>
      <c r="B67" s="122" t="s">
        <v>397</v>
      </c>
      <c r="C67" s="122" t="s">
        <v>396</v>
      </c>
    </row>
    <row r="68" spans="1:3" ht="16">
      <c r="A68" s="251"/>
      <c r="B68" s="122" t="s">
        <v>395</v>
      </c>
      <c r="C68" s="122" t="s">
        <v>394</v>
      </c>
    </row>
    <row r="69" spans="1:3" ht="16">
      <c r="A69" s="251"/>
      <c r="B69" s="122" t="s">
        <v>393</v>
      </c>
      <c r="C69" s="122" t="s">
        <v>392</v>
      </c>
    </row>
    <row r="70" spans="1:3" ht="16">
      <c r="A70" s="251"/>
      <c r="B70" s="122" t="s">
        <v>391</v>
      </c>
      <c r="C70" s="122" t="s">
        <v>390</v>
      </c>
    </row>
    <row r="71" spans="1:3" ht="16">
      <c r="A71" s="251"/>
      <c r="B71" s="122" t="s">
        <v>389</v>
      </c>
      <c r="C71" s="122" t="s">
        <v>818</v>
      </c>
    </row>
    <row r="72" spans="1:3" ht="16">
      <c r="A72" s="251"/>
      <c r="B72" s="122" t="s">
        <v>388</v>
      </c>
      <c r="C72" s="122" t="s">
        <v>387</v>
      </c>
    </row>
    <row r="73" spans="1:3" ht="16">
      <c r="A73" s="251"/>
      <c r="B73" s="122" t="s">
        <v>386</v>
      </c>
      <c r="C73" s="122" t="s">
        <v>385</v>
      </c>
    </row>
    <row r="74" spans="1:3" ht="16">
      <c r="A74" s="251"/>
      <c r="B74" s="122" t="s">
        <v>384</v>
      </c>
      <c r="C74" s="122" t="s">
        <v>383</v>
      </c>
    </row>
    <row r="75" spans="1:3" ht="16">
      <c r="A75" s="251"/>
      <c r="B75" s="122" t="s">
        <v>382</v>
      </c>
      <c r="C75" s="122" t="s">
        <v>381</v>
      </c>
    </row>
    <row r="76" spans="1:3" ht="16">
      <c r="A76" s="251"/>
      <c r="B76" s="122" t="s">
        <v>380</v>
      </c>
      <c r="C76" s="122" t="s">
        <v>379</v>
      </c>
    </row>
    <row r="77" spans="1:3" ht="16">
      <c r="A77" s="251"/>
      <c r="B77" s="122" t="s">
        <v>378</v>
      </c>
      <c r="C77" s="122" t="s">
        <v>377</v>
      </c>
    </row>
    <row r="78" spans="1:3" ht="16">
      <c r="A78" s="251"/>
      <c r="B78" s="122" t="s">
        <v>376</v>
      </c>
      <c r="C78" s="122" t="s">
        <v>375</v>
      </c>
    </row>
    <row r="79" spans="1:3" ht="16">
      <c r="A79" s="124"/>
      <c r="B79" s="122"/>
      <c r="C79" s="122"/>
    </row>
    <row r="80" spans="1:3" ht="16">
      <c r="A80" s="123"/>
      <c r="B80" s="122"/>
      <c r="C80" s="122"/>
    </row>
  </sheetData>
  <mergeCells count="6">
    <mergeCell ref="A61:A78"/>
    <mergeCell ref="A2:A11"/>
    <mergeCell ref="A12:A35"/>
    <mergeCell ref="A36:A45"/>
    <mergeCell ref="A46:A53"/>
    <mergeCell ref="A54:A60"/>
  </mergeCells>
  <dataValidations count="2">
    <dataValidation type="list" allowBlank="1" showInputMessage="1" showErrorMessage="1" sqref="B1" xr:uid="{22B3486C-6ED5-E74A-8D98-47D3FC084A43}">
      <formula1>$B$1</formula1>
    </dataValidation>
    <dataValidation type="list" allowBlank="1" showInputMessage="1" showErrorMessage="1" sqref="A1" xr:uid="{C69972D9-600D-E34A-A50A-BAC78506C1F6}">
      <formula1>$A$1:$C$1</formula1>
    </dataValidation>
  </dataValidations>
  <pageMargins left="0.70000000000000007" right="0.70000000000000007" top="0.75" bottom="0.75" header="0.30000000000000004" footer="0.3000000000000000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E2FFF-EF3B-6C47-ABFA-E5512941D219}">
  <dimension ref="A1:T83"/>
  <sheetViews>
    <sheetView topLeftCell="B1" zoomScale="60" workbookViewId="0">
      <selection activeCell="H5" sqref="H5"/>
    </sheetView>
  </sheetViews>
  <sheetFormatPr baseColWidth="10" defaultColWidth="10.6640625" defaultRowHeight="15"/>
  <cols>
    <col min="1" max="1" width="84.1640625" style="114" customWidth="1"/>
    <col min="2" max="2" width="104.33203125" style="114" customWidth="1"/>
    <col min="3" max="4" width="10.6640625" style="114" customWidth="1"/>
    <col min="5" max="5" width="15.1640625" style="114" customWidth="1"/>
    <col min="6" max="6" width="10.6640625" style="114" customWidth="1"/>
    <col min="7" max="7" width="16.83203125" style="114" customWidth="1"/>
    <col min="8" max="8" width="16.33203125" style="114" customWidth="1"/>
    <col min="9" max="9" width="93.83203125" style="114" customWidth="1"/>
    <col min="10" max="10" width="15.83203125" style="114" customWidth="1"/>
    <col min="11" max="11" width="10.6640625" style="114" customWidth="1"/>
    <col min="12" max="16384" width="10.6640625" style="114"/>
  </cols>
  <sheetData>
    <row r="1" spans="1:20" s="133" customFormat="1">
      <c r="A1" s="133" t="s">
        <v>534</v>
      </c>
      <c r="B1" s="133" t="s">
        <v>624</v>
      </c>
      <c r="C1" s="114"/>
      <c r="D1" s="114"/>
      <c r="E1" s="114"/>
      <c r="F1" s="114"/>
      <c r="G1" s="114"/>
      <c r="H1" s="114"/>
      <c r="I1" s="114"/>
      <c r="J1" s="114"/>
    </row>
    <row r="2" spans="1:20">
      <c r="A2" s="256" t="s">
        <v>623</v>
      </c>
      <c r="B2" s="157" t="s">
        <v>622</v>
      </c>
      <c r="C2" s="158"/>
      <c r="D2" s="158"/>
      <c r="E2" s="158"/>
      <c r="F2" s="115"/>
    </row>
    <row r="3" spans="1:20" ht="17">
      <c r="A3" s="256"/>
      <c r="B3" s="157" t="s">
        <v>621</v>
      </c>
      <c r="C3" s="158"/>
      <c r="D3" s="158"/>
      <c r="E3" s="158"/>
      <c r="T3" s="132"/>
    </row>
    <row r="4" spans="1:20">
      <c r="A4" s="256"/>
      <c r="B4" s="157" t="s">
        <v>620</v>
      </c>
      <c r="C4" s="158"/>
      <c r="D4" s="158"/>
      <c r="E4" s="158"/>
      <c r="G4" s="127"/>
      <c r="I4" s="115"/>
    </row>
    <row r="5" spans="1:20" ht="30.75" customHeight="1">
      <c r="A5" s="256"/>
      <c r="B5" s="157" t="s">
        <v>619</v>
      </c>
      <c r="C5" s="158"/>
      <c r="D5" s="158"/>
      <c r="E5" s="158"/>
      <c r="G5" s="127"/>
      <c r="I5" s="115"/>
    </row>
    <row r="6" spans="1:20">
      <c r="A6" s="256"/>
      <c r="B6" s="157" t="s">
        <v>618</v>
      </c>
      <c r="C6" s="158"/>
      <c r="D6" s="158"/>
      <c r="E6" s="158"/>
      <c r="G6" s="127"/>
      <c r="I6" s="115"/>
    </row>
    <row r="7" spans="1:20">
      <c r="A7" s="256"/>
      <c r="B7" s="157" t="s">
        <v>617</v>
      </c>
      <c r="C7" s="158"/>
      <c r="D7" s="158"/>
      <c r="E7" s="158"/>
      <c r="G7" s="127"/>
      <c r="I7" s="115"/>
    </row>
    <row r="8" spans="1:20">
      <c r="A8" s="256"/>
      <c r="B8" s="157" t="s">
        <v>616</v>
      </c>
      <c r="C8" s="158"/>
      <c r="D8" s="158"/>
      <c r="E8" s="158"/>
      <c r="G8" s="127"/>
      <c r="I8" s="115"/>
    </row>
    <row r="9" spans="1:20">
      <c r="A9" s="256"/>
      <c r="B9" s="157" t="s">
        <v>615</v>
      </c>
      <c r="C9" s="158"/>
      <c r="D9" s="158"/>
      <c r="E9" s="158"/>
      <c r="G9" s="115"/>
      <c r="I9" s="115"/>
    </row>
    <row r="10" spans="1:20">
      <c r="A10" s="256"/>
      <c r="B10" s="157" t="s">
        <v>614</v>
      </c>
      <c r="C10" s="158"/>
      <c r="D10" s="158"/>
      <c r="E10" s="158"/>
      <c r="I10" s="115"/>
    </row>
    <row r="11" spans="1:20">
      <c r="A11" s="256"/>
      <c r="B11" s="157" t="s">
        <v>613</v>
      </c>
      <c r="C11" s="158"/>
      <c r="D11" s="158"/>
      <c r="E11" s="158"/>
      <c r="I11" s="115"/>
    </row>
    <row r="12" spans="1:20">
      <c r="A12" s="256" t="s">
        <v>612</v>
      </c>
      <c r="B12" s="157" t="s">
        <v>611</v>
      </c>
      <c r="C12" s="158"/>
      <c r="D12" s="158"/>
      <c r="E12" s="158"/>
      <c r="I12" s="115"/>
      <c r="M12" s="159"/>
    </row>
    <row r="13" spans="1:20">
      <c r="A13" s="256"/>
      <c r="B13" s="157" t="s">
        <v>610</v>
      </c>
      <c r="C13" s="158"/>
      <c r="D13" s="158"/>
      <c r="E13" s="158"/>
      <c r="I13" s="115"/>
      <c r="M13" s="159"/>
    </row>
    <row r="14" spans="1:20">
      <c r="A14" s="256"/>
      <c r="B14" s="157" t="s">
        <v>609</v>
      </c>
      <c r="C14" s="158"/>
      <c r="D14" s="158"/>
      <c r="E14" s="158"/>
      <c r="M14" s="159"/>
    </row>
    <row r="15" spans="1:20">
      <c r="A15" s="256"/>
      <c r="B15" s="157" t="s">
        <v>608</v>
      </c>
      <c r="C15" s="158"/>
      <c r="D15" s="158"/>
      <c r="E15" s="158"/>
      <c r="M15" s="159"/>
    </row>
    <row r="16" spans="1:20" ht="17">
      <c r="A16" s="256"/>
      <c r="B16" s="157" t="s">
        <v>607</v>
      </c>
      <c r="C16" s="158"/>
      <c r="D16" s="158"/>
      <c r="E16" s="158"/>
      <c r="G16" s="132"/>
      <c r="M16" s="159"/>
    </row>
    <row r="17" spans="1:13">
      <c r="A17" s="256"/>
      <c r="B17" s="157" t="s">
        <v>606</v>
      </c>
      <c r="C17" s="158"/>
      <c r="D17" s="158"/>
      <c r="E17" s="158"/>
      <c r="M17" s="159"/>
    </row>
    <row r="18" spans="1:13">
      <c r="A18" s="256" t="s">
        <v>605</v>
      </c>
      <c r="B18" s="157" t="s">
        <v>604</v>
      </c>
      <c r="C18" s="158"/>
      <c r="D18" s="158"/>
      <c r="E18" s="158"/>
      <c r="G18" s="160"/>
      <c r="H18" s="160"/>
      <c r="I18" s="160"/>
      <c r="J18" s="160"/>
    </row>
    <row r="19" spans="1:13">
      <c r="A19" s="256"/>
      <c r="B19" s="157" t="s">
        <v>603</v>
      </c>
      <c r="C19" s="158"/>
      <c r="D19" s="158"/>
      <c r="E19" s="158"/>
      <c r="G19" s="161"/>
      <c r="H19" s="161"/>
      <c r="I19" s="162"/>
      <c r="J19" s="160"/>
    </row>
    <row r="20" spans="1:13">
      <c r="A20" s="256"/>
      <c r="B20" s="157" t="s">
        <v>602</v>
      </c>
      <c r="C20" s="158"/>
      <c r="D20" s="158"/>
      <c r="E20" s="158"/>
      <c r="G20" s="161"/>
      <c r="H20" s="161"/>
      <c r="I20" s="162"/>
      <c r="J20" s="160"/>
    </row>
    <row r="21" spans="1:13">
      <c r="A21" s="256"/>
      <c r="B21" s="157" t="s">
        <v>601</v>
      </c>
      <c r="C21" s="158"/>
      <c r="D21" s="158"/>
      <c r="E21" s="158"/>
      <c r="G21" s="161"/>
      <c r="H21" s="161"/>
      <c r="I21" s="162"/>
      <c r="J21" s="160"/>
    </row>
    <row r="22" spans="1:13">
      <c r="A22" s="256"/>
      <c r="B22" s="157" t="s">
        <v>600</v>
      </c>
      <c r="C22" s="158"/>
      <c r="D22" s="158"/>
      <c r="E22" s="158"/>
      <c r="G22" s="161"/>
      <c r="H22" s="161"/>
      <c r="I22" s="162"/>
      <c r="J22" s="160"/>
    </row>
    <row r="23" spans="1:13">
      <c r="A23" s="256"/>
      <c r="B23" s="157" t="s">
        <v>599</v>
      </c>
      <c r="C23" s="158"/>
      <c r="D23" s="158"/>
      <c r="E23" s="158"/>
    </row>
    <row r="24" spans="1:13">
      <c r="A24" s="256"/>
      <c r="B24" s="157" t="s">
        <v>598</v>
      </c>
      <c r="C24" s="158"/>
      <c r="D24" s="158"/>
      <c r="E24" s="158"/>
    </row>
    <row r="25" spans="1:13">
      <c r="A25" s="256"/>
      <c r="B25" s="157" t="s">
        <v>597</v>
      </c>
      <c r="C25" s="158"/>
      <c r="D25" s="158"/>
      <c r="E25" s="158"/>
    </row>
    <row r="26" spans="1:13" ht="21" customHeight="1">
      <c r="A26" s="256"/>
      <c r="B26" s="157" t="s">
        <v>596</v>
      </c>
      <c r="C26" s="158"/>
      <c r="D26" s="158"/>
      <c r="E26" s="158"/>
    </row>
    <row r="27" spans="1:13">
      <c r="A27" s="256"/>
      <c r="B27" s="157" t="s">
        <v>595</v>
      </c>
      <c r="C27" s="158"/>
      <c r="D27" s="158"/>
      <c r="E27" s="158"/>
    </row>
    <row r="28" spans="1:13">
      <c r="A28" s="256" t="s">
        <v>594</v>
      </c>
      <c r="B28" s="157" t="s">
        <v>593</v>
      </c>
      <c r="C28" s="158"/>
      <c r="D28" s="158"/>
      <c r="E28" s="158"/>
    </row>
    <row r="29" spans="1:13">
      <c r="A29" s="256"/>
      <c r="B29" s="157" t="s">
        <v>592</v>
      </c>
      <c r="C29" s="158"/>
      <c r="D29" s="158"/>
      <c r="E29" s="158"/>
    </row>
    <row r="30" spans="1:13">
      <c r="A30" s="256"/>
      <c r="B30" s="157" t="s">
        <v>591</v>
      </c>
      <c r="C30" s="158"/>
      <c r="D30" s="158"/>
      <c r="E30" s="158"/>
    </row>
    <row r="31" spans="1:13">
      <c r="A31" s="256"/>
      <c r="B31" s="157" t="s">
        <v>590</v>
      </c>
      <c r="C31" s="158"/>
      <c r="D31" s="158"/>
      <c r="E31" s="158"/>
    </row>
    <row r="32" spans="1:13">
      <c r="A32" s="256"/>
      <c r="B32" s="157" t="s">
        <v>589</v>
      </c>
      <c r="C32" s="158"/>
      <c r="D32" s="158"/>
      <c r="E32" s="158"/>
      <c r="F32" s="159"/>
    </row>
    <row r="33" spans="1:5">
      <c r="A33" s="256"/>
      <c r="B33" s="157" t="s">
        <v>588</v>
      </c>
      <c r="C33" s="158"/>
      <c r="D33" s="158"/>
      <c r="E33" s="158"/>
    </row>
    <row r="34" spans="1:5">
      <c r="A34" s="256"/>
      <c r="B34" s="157" t="s">
        <v>587</v>
      </c>
      <c r="C34" s="158"/>
      <c r="D34" s="158"/>
      <c r="E34" s="158"/>
    </row>
    <row r="35" spans="1:5">
      <c r="A35" s="256"/>
      <c r="B35" s="157" t="s">
        <v>586</v>
      </c>
      <c r="C35" s="158"/>
      <c r="D35" s="158"/>
      <c r="E35" s="158"/>
    </row>
    <row r="36" spans="1:5">
      <c r="A36" s="256"/>
      <c r="B36" s="157" t="s">
        <v>585</v>
      </c>
      <c r="C36" s="158"/>
      <c r="D36" s="158"/>
      <c r="E36" s="158"/>
    </row>
    <row r="37" spans="1:5">
      <c r="A37" s="256"/>
      <c r="B37" s="157" t="s">
        <v>584</v>
      </c>
      <c r="C37" s="158"/>
      <c r="D37" s="158"/>
      <c r="E37" s="158"/>
    </row>
    <row r="38" spans="1:5">
      <c r="A38" s="256" t="s">
        <v>583</v>
      </c>
      <c r="B38" s="157" t="s">
        <v>582</v>
      </c>
      <c r="C38" s="158"/>
      <c r="D38" s="158"/>
      <c r="E38" s="158"/>
    </row>
    <row r="39" spans="1:5">
      <c r="A39" s="256"/>
      <c r="B39" s="157" t="s">
        <v>581</v>
      </c>
      <c r="C39" s="158"/>
      <c r="D39" s="158"/>
      <c r="E39" s="158"/>
    </row>
    <row r="40" spans="1:5">
      <c r="A40" s="256"/>
      <c r="B40" s="157" t="s">
        <v>580</v>
      </c>
      <c r="C40" s="158"/>
      <c r="D40" s="158"/>
      <c r="E40" s="158"/>
    </row>
    <row r="41" spans="1:5">
      <c r="A41" s="256"/>
      <c r="B41" s="157" t="s">
        <v>579</v>
      </c>
      <c r="C41" s="158"/>
      <c r="D41" s="158"/>
      <c r="E41" s="158"/>
    </row>
    <row r="42" spans="1:5">
      <c r="A42" s="256"/>
      <c r="B42" s="157" t="s">
        <v>578</v>
      </c>
      <c r="C42" s="158"/>
      <c r="D42" s="158"/>
      <c r="E42" s="158"/>
    </row>
    <row r="43" spans="1:5">
      <c r="A43" s="256"/>
      <c r="B43" s="157" t="s">
        <v>577</v>
      </c>
      <c r="C43" s="158"/>
      <c r="D43" s="158"/>
      <c r="E43" s="158"/>
    </row>
    <row r="44" spans="1:5">
      <c r="A44" s="256"/>
      <c r="B44" s="157" t="s">
        <v>576</v>
      </c>
      <c r="C44" s="158"/>
      <c r="D44" s="158"/>
      <c r="E44" s="158"/>
    </row>
    <row r="45" spans="1:5">
      <c r="A45" s="256"/>
      <c r="B45" s="157" t="s">
        <v>575</v>
      </c>
      <c r="C45" s="158"/>
      <c r="D45" s="158"/>
      <c r="E45" s="158"/>
    </row>
    <row r="46" spans="1:5">
      <c r="A46" s="256"/>
      <c r="B46" s="157" t="s">
        <v>574</v>
      </c>
      <c r="C46" s="158"/>
      <c r="D46" s="158"/>
      <c r="E46" s="158"/>
    </row>
    <row r="47" spans="1:5">
      <c r="A47" s="256"/>
      <c r="B47" s="157" t="s">
        <v>573</v>
      </c>
      <c r="C47" s="158"/>
      <c r="D47" s="158"/>
      <c r="E47" s="158"/>
    </row>
    <row r="48" spans="1:5">
      <c r="A48" s="254" t="s">
        <v>572</v>
      </c>
      <c r="B48" s="157" t="s">
        <v>571</v>
      </c>
      <c r="C48" s="158"/>
      <c r="D48" s="158"/>
      <c r="E48" s="158"/>
    </row>
    <row r="49" spans="1:5">
      <c r="A49" s="254"/>
      <c r="B49" s="157" t="s">
        <v>570</v>
      </c>
      <c r="C49" s="158"/>
      <c r="D49" s="158"/>
      <c r="E49" s="158"/>
    </row>
    <row r="50" spans="1:5">
      <c r="A50" s="254"/>
      <c r="B50" s="157" t="s">
        <v>569</v>
      </c>
      <c r="C50" s="158"/>
      <c r="D50" s="158"/>
      <c r="E50" s="158"/>
    </row>
    <row r="51" spans="1:5">
      <c r="A51" s="254"/>
      <c r="B51" s="157" t="s">
        <v>568</v>
      </c>
      <c r="C51" s="158"/>
      <c r="D51" s="158"/>
      <c r="E51" s="158"/>
    </row>
    <row r="52" spans="1:5">
      <c r="A52" s="254"/>
      <c r="B52" s="157" t="s">
        <v>567</v>
      </c>
      <c r="C52" s="158"/>
      <c r="D52" s="158"/>
      <c r="E52" s="158"/>
    </row>
    <row r="53" spans="1:5">
      <c r="A53" s="254"/>
      <c r="B53" s="157" t="s">
        <v>566</v>
      </c>
      <c r="C53" s="158"/>
      <c r="D53" s="158"/>
      <c r="E53" s="158"/>
    </row>
    <row r="54" spans="1:5">
      <c r="A54" s="254"/>
      <c r="B54" s="157" t="s">
        <v>565</v>
      </c>
      <c r="C54" s="158"/>
      <c r="D54" s="158"/>
      <c r="E54" s="158"/>
    </row>
    <row r="55" spans="1:5">
      <c r="A55" s="254"/>
      <c r="B55" s="157" t="s">
        <v>564</v>
      </c>
      <c r="C55" s="158"/>
      <c r="D55" s="158"/>
      <c r="E55" s="158"/>
    </row>
    <row r="56" spans="1:5">
      <c r="A56" s="254"/>
      <c r="B56" s="157" t="s">
        <v>563</v>
      </c>
      <c r="C56" s="158"/>
      <c r="D56" s="158"/>
      <c r="E56" s="158"/>
    </row>
    <row r="57" spans="1:5">
      <c r="A57" s="254"/>
      <c r="B57" s="157" t="s">
        <v>562</v>
      </c>
      <c r="C57" s="158"/>
      <c r="D57" s="158"/>
      <c r="E57" s="158"/>
    </row>
    <row r="58" spans="1:5">
      <c r="A58" s="254"/>
      <c r="B58" s="157" t="s">
        <v>561</v>
      </c>
      <c r="C58" s="158"/>
      <c r="D58" s="163"/>
      <c r="E58" s="158"/>
    </row>
    <row r="59" spans="1:5">
      <c r="A59" s="254"/>
      <c r="B59" s="157" t="s">
        <v>560</v>
      </c>
      <c r="C59" s="158"/>
      <c r="D59" s="158"/>
      <c r="E59" s="158"/>
    </row>
    <row r="60" spans="1:5">
      <c r="A60" s="254"/>
      <c r="B60" s="157" t="s">
        <v>559</v>
      </c>
      <c r="C60" s="158"/>
      <c r="D60" s="158"/>
      <c r="E60" s="158"/>
    </row>
    <row r="61" spans="1:5">
      <c r="A61" s="254" t="s">
        <v>558</v>
      </c>
      <c r="B61" s="157" t="s">
        <v>557</v>
      </c>
      <c r="C61" s="158"/>
      <c r="D61" s="158"/>
      <c r="E61" s="158"/>
    </row>
    <row r="62" spans="1:5">
      <c r="A62" s="254"/>
      <c r="B62" s="157" t="s">
        <v>556</v>
      </c>
      <c r="C62" s="158"/>
      <c r="D62" s="158"/>
      <c r="E62" s="158"/>
    </row>
    <row r="63" spans="1:5">
      <c r="A63" s="254"/>
      <c r="B63" s="157" t="s">
        <v>555</v>
      </c>
      <c r="C63" s="158"/>
      <c r="D63" s="158"/>
      <c r="E63" s="158"/>
    </row>
    <row r="64" spans="1:5">
      <c r="A64" s="254"/>
      <c r="B64" s="157" t="s">
        <v>554</v>
      </c>
      <c r="C64" s="158"/>
      <c r="D64" s="158"/>
      <c r="E64" s="158"/>
    </row>
    <row r="65" spans="1:5">
      <c r="A65" s="254"/>
      <c r="B65" s="157" t="s">
        <v>553</v>
      </c>
      <c r="C65" s="158"/>
      <c r="D65" s="158"/>
      <c r="E65" s="158"/>
    </row>
    <row r="66" spans="1:5">
      <c r="A66" s="254"/>
      <c r="B66" s="157" t="s">
        <v>552</v>
      </c>
      <c r="C66" s="158"/>
      <c r="D66" s="158"/>
      <c r="E66" s="158"/>
    </row>
    <row r="67" spans="1:5">
      <c r="A67" s="254"/>
      <c r="B67" s="157" t="s">
        <v>551</v>
      </c>
      <c r="C67" s="158"/>
      <c r="D67" s="158"/>
      <c r="E67" s="158"/>
    </row>
    <row r="68" spans="1:5">
      <c r="A68" s="254"/>
      <c r="B68" s="157" t="s">
        <v>550</v>
      </c>
      <c r="C68" s="158"/>
      <c r="D68" s="158"/>
      <c r="E68" s="158"/>
    </row>
    <row r="69" spans="1:5">
      <c r="A69" s="254"/>
      <c r="B69" s="157" t="s">
        <v>549</v>
      </c>
      <c r="C69" s="158"/>
      <c r="D69" s="158"/>
      <c r="E69" s="158"/>
    </row>
    <row r="70" spans="1:5">
      <c r="A70" s="254"/>
      <c r="B70" s="157" t="s">
        <v>548</v>
      </c>
      <c r="C70" s="158"/>
      <c r="D70" s="163"/>
      <c r="E70" s="158"/>
    </row>
    <row r="71" spans="1:5">
      <c r="A71" s="254"/>
      <c r="B71" s="157" t="s">
        <v>547</v>
      </c>
      <c r="C71" s="158"/>
      <c r="D71" s="158"/>
      <c r="E71" s="158"/>
    </row>
    <row r="72" spans="1:5">
      <c r="A72" s="254"/>
      <c r="B72" s="157" t="s">
        <v>546</v>
      </c>
      <c r="C72" s="158"/>
      <c r="D72" s="158"/>
      <c r="E72" s="158"/>
    </row>
    <row r="73" spans="1:5">
      <c r="A73" s="254"/>
      <c r="B73" s="157" t="s">
        <v>545</v>
      </c>
      <c r="C73" s="158"/>
      <c r="D73" s="158"/>
      <c r="E73" s="158"/>
    </row>
    <row r="74" spans="1:5">
      <c r="A74" s="255" t="s">
        <v>544</v>
      </c>
      <c r="B74" s="157" t="s">
        <v>819</v>
      </c>
      <c r="C74" s="158"/>
      <c r="D74" s="158"/>
      <c r="E74" s="158"/>
    </row>
    <row r="75" spans="1:5">
      <c r="A75" s="255"/>
      <c r="B75" s="157" t="s">
        <v>543</v>
      </c>
      <c r="C75" s="158"/>
      <c r="D75" s="158"/>
      <c r="E75" s="158"/>
    </row>
    <row r="76" spans="1:5">
      <c r="A76" s="255"/>
      <c r="B76" s="157" t="s">
        <v>542</v>
      </c>
      <c r="C76" s="158"/>
      <c r="D76" s="158"/>
      <c r="E76" s="158"/>
    </row>
    <row r="77" spans="1:5">
      <c r="A77" s="255"/>
      <c r="B77" s="157" t="s">
        <v>541</v>
      </c>
      <c r="C77" s="158"/>
      <c r="D77" s="158"/>
      <c r="E77" s="158"/>
    </row>
    <row r="78" spans="1:5">
      <c r="A78" s="255"/>
      <c r="B78" s="157" t="s">
        <v>540</v>
      </c>
      <c r="C78" s="158"/>
      <c r="D78" s="158"/>
      <c r="E78" s="158"/>
    </row>
    <row r="79" spans="1:5">
      <c r="A79" s="255"/>
      <c r="B79" s="157" t="s">
        <v>539</v>
      </c>
      <c r="C79" s="158"/>
      <c r="D79" s="158"/>
      <c r="E79" s="158"/>
    </row>
    <row r="80" spans="1:5">
      <c r="A80" s="255"/>
      <c r="B80" s="157" t="s">
        <v>538</v>
      </c>
      <c r="C80" s="158"/>
      <c r="D80" s="158"/>
      <c r="E80" s="158"/>
    </row>
    <row r="81" spans="1:5">
      <c r="A81" s="255"/>
      <c r="B81" s="157" t="s">
        <v>537</v>
      </c>
      <c r="C81" s="158"/>
      <c r="D81" s="158"/>
      <c r="E81" s="158"/>
    </row>
    <row r="82" spans="1:5">
      <c r="A82" s="255"/>
      <c r="B82" s="157" t="s">
        <v>536</v>
      </c>
      <c r="C82" s="158"/>
      <c r="D82" s="158"/>
      <c r="E82" s="158"/>
    </row>
    <row r="83" spans="1:5">
      <c r="A83" s="255"/>
      <c r="B83" s="157" t="s">
        <v>535</v>
      </c>
      <c r="C83" s="158"/>
      <c r="D83" s="158"/>
      <c r="E83" s="158"/>
    </row>
  </sheetData>
  <autoFilter ref="A1:E1" xr:uid="{89F6EF23-A54A-AB4F-8693-056E9EB5353A}"/>
  <mergeCells count="8">
    <mergeCell ref="A61:A73"/>
    <mergeCell ref="A74:A83"/>
    <mergeCell ref="A2:A11"/>
    <mergeCell ref="A12:A17"/>
    <mergeCell ref="A18:A27"/>
    <mergeCell ref="A28:A37"/>
    <mergeCell ref="A38:A47"/>
    <mergeCell ref="A48:A60"/>
  </mergeCells>
  <conditionalFormatting sqref="C2:E83">
    <cfRule type="cellIs" dxfId="0" priority="1" stopIfTrue="1" operator="equal">
      <formula>1</formula>
    </cfRule>
  </conditionalFormatting>
  <pageMargins left="0.70000000000000007" right="0.70000000000000007" top="0.75" bottom="0.75" header="0.30000000000000004" footer="0.3000000000000000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B6124-D861-E54B-8B60-CE7511E1EF6E}">
  <dimension ref="A1:E366"/>
  <sheetViews>
    <sheetView zoomScale="66" workbookViewId="0"/>
  </sheetViews>
  <sheetFormatPr baseColWidth="10" defaultColWidth="10.6640625" defaultRowHeight="15"/>
  <cols>
    <col min="1" max="1" width="33.5" style="114" customWidth="1"/>
    <col min="2" max="2" width="132.83203125" style="114" customWidth="1"/>
    <col min="3" max="3" width="42" style="114" customWidth="1"/>
    <col min="4" max="4" width="17.6640625" style="114" customWidth="1"/>
    <col min="5" max="5" width="123.1640625" style="114" customWidth="1"/>
    <col min="6" max="6" width="10.6640625" style="114" customWidth="1"/>
    <col min="7" max="16384" width="10.6640625" style="114"/>
  </cols>
  <sheetData>
    <row r="1" spans="1:5">
      <c r="A1" s="134" t="s">
        <v>630</v>
      </c>
      <c r="B1" s="134" t="s">
        <v>624</v>
      </c>
      <c r="C1" s="134" t="s">
        <v>629</v>
      </c>
      <c r="D1" s="134" t="s">
        <v>628</v>
      </c>
      <c r="E1" s="134" t="s">
        <v>532</v>
      </c>
    </row>
    <row r="2" spans="1:5">
      <c r="A2" s="131" t="s">
        <v>627</v>
      </c>
      <c r="B2" s="131" t="s">
        <v>622</v>
      </c>
      <c r="C2" s="114" t="str">
        <f t="array" ref="C2">IF(D2="","",_xlfn.IFS(LEFT(D2,3)="VSI","Siti",LEFT(D2,2)="VH","Hardware",LEFT(D2,2)="VS","Software",LEFT(D2,2)="VN","Rete",LEFT(D2,2)="VP","Personale",LEFT(D2,2)="VO","Organizzazione"))</f>
        <v>Software</v>
      </c>
      <c r="D2" s="131" t="s">
        <v>489</v>
      </c>
      <c r="E2" s="114" t="str">
        <f>_xlfn.XLOOKUP(D2,vulnerabilità!$B:$B,vulnerabilità!$C:$C,"NON TROVATO")</f>
        <v>Copie di backup di configurazioni, modelli o dati assenti, incomplete o non testate</v>
      </c>
    </row>
    <row r="3" spans="1:5">
      <c r="A3" s="131" t="s">
        <v>627</v>
      </c>
      <c r="B3" s="131" t="s">
        <v>622</v>
      </c>
      <c r="C3" s="114" t="str">
        <f t="array" ref="C3">IF(D3="","",_xlfn.IFS(LEFT(D3,3)="VSI","Siti",LEFT(D3,2)="VH","Hardware",LEFT(D3,2)="VS","Software",LEFT(D3,2)="VN","Rete",LEFT(D3,2)="VP","Personale",LEFT(D3,2)="VO","Organizzazione"))</f>
        <v>Organizzazione</v>
      </c>
      <c r="D3" s="131" t="s">
        <v>393</v>
      </c>
      <c r="E3" s="114" t="str">
        <f>_xlfn.XLOOKUP(D3,vulnerabilità!$B:$B,vulnerabilità!$C:$C,"NON TROVATO")</f>
        <v>Piani di continuità operativa e ripristino non definiti, incompleti o non testati</v>
      </c>
    </row>
    <row r="4" spans="1:5">
      <c r="A4" s="131" t="s">
        <v>627</v>
      </c>
      <c r="B4" s="131" t="s">
        <v>622</v>
      </c>
      <c r="C4" s="114" t="str">
        <f t="array" ref="C4">IF(D4="","",_xlfn.IFS(LEFT(D4,3)="VSI","Siti",LEFT(D4,2)="VH","Hardware",LEFT(D4,2)="VS","Software",LEFT(D4,2)="VN","Rete",LEFT(D4,2)="VP","Personale",LEFT(D4,2)="VO","Organizzazione"))</f>
        <v>Organizzazione</v>
      </c>
      <c r="D4" s="131" t="s">
        <v>386</v>
      </c>
      <c r="E4" s="114" t="str">
        <f>_xlfn.XLOOKUP(D4,vulnerabilità!$B:$B,vulnerabilità!$C:$C,"NON TROVATO")</f>
        <v>Tempi e modalità di conservazione o cancellazione di immagini e log non definiti</v>
      </c>
    </row>
    <row r="5" spans="1:5">
      <c r="A5" s="131" t="s">
        <v>627</v>
      </c>
      <c r="B5" s="131" t="s">
        <v>621</v>
      </c>
      <c r="C5" s="114" t="str">
        <f t="array" ref="C5">IF(D5="","",_xlfn.IFS(LEFT(D5,3)="VSI","Siti",LEFT(D5,2)="VH","Hardware",LEFT(D5,2)="VS","Software",LEFT(D5,2)="VN","Rete",LEFT(D5,2)="VP","Personale",LEFT(D5,2)="VO","Organizzazione"))</f>
        <v>Personale</v>
      </c>
      <c r="D5" s="131" t="s">
        <v>436</v>
      </c>
      <c r="E5" s="114" t="str">
        <f>_xlfn.XLOOKUP(D5,vulnerabilità!$B:$B,vulnerabilità!$C:$C,"NON TROVATO")</f>
        <v>Errori nell’installazione, configurazione, manutenzione o utilizzo del sistema</v>
      </c>
    </row>
    <row r="6" spans="1:5">
      <c r="A6" s="131" t="s">
        <v>627</v>
      </c>
      <c r="B6" s="131" t="s">
        <v>621</v>
      </c>
      <c r="C6" s="114" t="str">
        <f t="array" ref="C6">IF(D6="","",_xlfn.IFS(LEFT(D6,3)="VSI","Siti",LEFT(D6,2)="VH","Hardware",LEFT(D6,2)="VS","Software",LEFT(D6,2)="VN","Rete",LEFT(D6,2)="VP","Personale",LEFT(D6,2)="VO","Organizzazione"))</f>
        <v>Software</v>
      </c>
      <c r="D6" s="131" t="s">
        <v>471</v>
      </c>
      <c r="E6" s="114" t="str">
        <f>_xlfn.XLOOKUP(D6,vulnerabilità!$B:$B,vulnerabilità!$C:$C,"NON TROVATO")</f>
        <v>Soglie di confidenza o parametri di inferenza non adeguatamente calibrati</v>
      </c>
    </row>
    <row r="7" spans="1:5">
      <c r="A7" s="131" t="s">
        <v>627</v>
      </c>
      <c r="B7" s="131" t="s">
        <v>621</v>
      </c>
      <c r="C7" s="114" t="str">
        <f t="array" ref="C7">IF(D7="","",_xlfn.IFS(LEFT(D7,3)="VSI","Siti",LEFT(D7,2)="VH","Hardware",LEFT(D7,2)="VS","Software",LEFT(D7,2)="VN","Rete",LEFT(D7,2)="VP","Personale",LEFT(D7,2)="VO","Organizzazione"))</f>
        <v>Organizzazione</v>
      </c>
      <c r="D7" s="131" t="s">
        <v>395</v>
      </c>
      <c r="E7" s="114" t="str">
        <f>_xlfn.XLOOKUP(D7,vulnerabilità!$B:$B,vulnerabilità!$C:$C,"NON TROVATO")</f>
        <v>Change management non formalizzato per software, modelli, dataset, soglie e configurazioni</v>
      </c>
    </row>
    <row r="8" spans="1:5">
      <c r="A8" s="131" t="s">
        <v>627</v>
      </c>
      <c r="B8" s="131" t="s">
        <v>621</v>
      </c>
      <c r="C8" s="114" t="str">
        <f t="array" ref="C8">IF(D8="","",_xlfn.IFS(LEFT(D8,3)="VSI","Siti",LEFT(D8,2)="VH","Hardware",LEFT(D8,2)="VS","Software",LEFT(D8,2)="VN","Rete",LEFT(D8,2)="VP","Personale",LEFT(D8,2)="VO","Organizzazione"))</f>
        <v>Software</v>
      </c>
      <c r="D8" s="131" t="s">
        <v>487</v>
      </c>
      <c r="E8" s="114" t="str">
        <f>_xlfn.XLOOKUP(D8,vulnerabilità!$B:$B,vulnerabilità!$C:$C,"NON TROVATO")</f>
        <v>Documentazione tecnica o funzionale incompleta o non aggiornata</v>
      </c>
    </row>
    <row r="9" spans="1:5">
      <c r="A9" s="131" t="s">
        <v>627</v>
      </c>
      <c r="B9" s="131" t="s">
        <v>621</v>
      </c>
      <c r="C9" s="114" t="str">
        <f t="array" ref="C9">IF(D9="","",_xlfn.IFS(LEFT(D9,3)="VSI","Siti",LEFT(D9,2)="VH","Hardware",LEFT(D9,2)="VS","Software",LEFT(D9,2)="VN","Rete",LEFT(D9,2)="VP","Personale",LEFT(D9,2)="VO","Organizzazione"))</f>
        <v>Hardware</v>
      </c>
      <c r="D9" s="131" t="s">
        <v>530</v>
      </c>
      <c r="E9" s="114" t="str">
        <f>_xlfn.XLOOKUP(D9,vulnerabilità!$B:$B,vulnerabilità!$C:$C,"NON TROVATO")</f>
        <v>Manutenzione o sostituzione inadeguata di telecamere, dispositivi Edge e apparati di supporto</v>
      </c>
    </row>
    <row r="10" spans="1:5">
      <c r="A10" s="131" t="s">
        <v>627</v>
      </c>
      <c r="B10" s="131" t="s">
        <v>620</v>
      </c>
      <c r="C10" s="114" t="str">
        <f t="array" ref="C10">IF(D10="","",_xlfn.IFS(LEFT(D10,3)="VSI","Siti",LEFT(D10,2)="VH","Hardware",LEFT(D10,2)="VS","Software",LEFT(D10,2)="VN","Rete",LEFT(D10,2)="VP","Personale",LEFT(D10,2)="VO","Organizzazione"))</f>
        <v>Personale</v>
      </c>
      <c r="D10" s="131" t="s">
        <v>436</v>
      </c>
      <c r="E10" s="114" t="str">
        <f>_xlfn.XLOOKUP(D10,vulnerabilità!$B:$B,vulnerabilità!$C:$C,"NON TROVATO")</f>
        <v>Errori nell’installazione, configurazione, manutenzione o utilizzo del sistema</v>
      </c>
    </row>
    <row r="11" spans="1:5">
      <c r="A11" s="131" t="s">
        <v>627</v>
      </c>
      <c r="B11" s="131" t="s">
        <v>620</v>
      </c>
      <c r="C11" s="114" t="str">
        <f t="array" ref="C11">IF(D11="","",_xlfn.IFS(LEFT(D11,3)="VSI","Siti",LEFT(D11,2)="VH","Hardware",LEFT(D11,2)="VS","Software",LEFT(D11,2)="VN","Rete",LEFT(D11,2)="VP","Personale",LEFT(D11,2)="VO","Organizzazione"))</f>
        <v>Software</v>
      </c>
      <c r="D11" s="131" t="s">
        <v>471</v>
      </c>
      <c r="E11" s="114" t="str">
        <f>_xlfn.XLOOKUP(D11,vulnerabilità!$B:$B,vulnerabilità!$C:$C,"NON TROVATO")</f>
        <v>Soglie di confidenza o parametri di inferenza non adeguatamente calibrati</v>
      </c>
    </row>
    <row r="12" spans="1:5">
      <c r="A12" s="131" t="s">
        <v>627</v>
      </c>
      <c r="B12" s="131" t="s">
        <v>620</v>
      </c>
      <c r="C12" s="114" t="str">
        <f t="array" ref="C12">IF(D12="","",_xlfn.IFS(LEFT(D12,3)="VSI","Siti",LEFT(D12,2)="VH","Hardware",LEFT(D12,2)="VS","Software",LEFT(D12,2)="VN","Rete",LEFT(D12,2)="VP","Personale",LEFT(D12,2)="VO","Organizzazione"))</f>
        <v>Organizzazione</v>
      </c>
      <c r="D12" s="131" t="s">
        <v>395</v>
      </c>
      <c r="E12" s="114" t="str">
        <f>_xlfn.XLOOKUP(D12,vulnerabilità!$B:$B,vulnerabilità!$C:$C,"NON TROVATO")</f>
        <v>Change management non formalizzato per software, modelli, dataset, soglie e configurazioni</v>
      </c>
    </row>
    <row r="13" spans="1:5">
      <c r="A13" s="131" t="s">
        <v>627</v>
      </c>
      <c r="B13" s="131" t="s">
        <v>620</v>
      </c>
      <c r="C13" s="114" t="str">
        <f t="array" ref="C13">IF(D13="","",_xlfn.IFS(LEFT(D13,3)="VSI","Siti",LEFT(D13,2)="VH","Hardware",LEFT(D13,2)="VS","Software",LEFT(D13,2)="VN","Rete",LEFT(D13,2)="VP","Personale",LEFT(D13,2)="VO","Organizzazione"))</f>
        <v>Software</v>
      </c>
      <c r="D13" s="131" t="s">
        <v>487</v>
      </c>
      <c r="E13" s="114" t="str">
        <f>_xlfn.XLOOKUP(D13,vulnerabilità!$B:$B,vulnerabilità!$C:$C,"NON TROVATO")</f>
        <v>Documentazione tecnica o funzionale incompleta o non aggiornata</v>
      </c>
    </row>
    <row r="14" spans="1:5">
      <c r="A14" s="131" t="s">
        <v>627</v>
      </c>
      <c r="B14" s="131" t="s">
        <v>620</v>
      </c>
      <c r="C14" s="114" t="str">
        <f t="array" ref="C14">IF(D14="","",_xlfn.IFS(LEFT(D14,3)="VSI","Siti",LEFT(D14,2)="VH","Hardware",LEFT(D14,2)="VS","Software",LEFT(D14,2)="VN","Rete",LEFT(D14,2)="VP","Personale",LEFT(D14,2)="VO","Organizzazione"))</f>
        <v>Software</v>
      </c>
      <c r="D14" s="131" t="s">
        <v>491</v>
      </c>
      <c r="E14" s="114" t="str">
        <f>_xlfn.XLOOKUP(D14,vulnerabilità!$B:$B,vulnerabilità!$C:$C,"NON TROVATO")</f>
        <v>Distribuzione, rilascio o aggiornamento del software non controllato</v>
      </c>
    </row>
    <row r="15" spans="1:5">
      <c r="A15" s="131" t="s">
        <v>627</v>
      </c>
      <c r="B15" s="131" t="s">
        <v>619</v>
      </c>
      <c r="C15" s="114" t="str">
        <f t="array" ref="C15">IF(D15="","",_xlfn.IFS(LEFT(D15,3)="VSI","Siti",LEFT(D15,2)="VH","Hardware",LEFT(D15,2)="VS","Software",LEFT(D15,2)="VN","Rete",LEFT(D15,2)="VP","Personale",LEFT(D15,2)="VO","Organizzazione"))</f>
        <v>Software</v>
      </c>
      <c r="D15" s="131" t="s">
        <v>501</v>
      </c>
      <c r="E15" s="114" t="str">
        <f>_xlfn.XLOOKUP(D15,vulnerabilità!$B:$B,vulnerabilità!$C:$C,"NON TROVATO")</f>
        <v>Meccanismi di autenticazione o identificazione utente insufficienti</v>
      </c>
    </row>
    <row r="16" spans="1:5">
      <c r="A16" s="131" t="s">
        <v>627</v>
      </c>
      <c r="B16" s="131" t="s">
        <v>619</v>
      </c>
      <c r="C16" s="114" t="str">
        <f t="array" ref="C16">IF(D16="","",_xlfn.IFS(LEFT(D16,3)="VSI","Siti",LEFT(D16,2)="VH","Hardware",LEFT(D16,2)="VS","Software",LEFT(D16,2)="VN","Rete",LEFT(D16,2)="VP","Personale",LEFT(D16,2)="VO","Organizzazione"))</f>
        <v>Software</v>
      </c>
      <c r="D16" s="131" t="s">
        <v>499</v>
      </c>
      <c r="E16" s="114" t="str">
        <f>_xlfn.XLOOKUP(D16,vulnerabilità!$B:$B,vulnerabilità!$C:$C,"NON TROVATO")</f>
        <v>Assegnazione errata dei privilegi e dei diritti di accesso</v>
      </c>
    </row>
    <row r="17" spans="1:5">
      <c r="A17" s="131" t="s">
        <v>627</v>
      </c>
      <c r="B17" s="131" t="s">
        <v>619</v>
      </c>
      <c r="C17" s="114" t="str">
        <f t="array" ref="C17">IF(D17="","",_xlfn.IFS(LEFT(D17,3)="VSI","Siti",LEFT(D17,2)="VH","Hardware",LEFT(D17,2)="VS","Software",LEFT(D17,2)="VN","Rete",LEFT(D17,2)="VP","Personale",LEFT(D17,2)="VO","Organizzazione"))</f>
        <v>Software</v>
      </c>
      <c r="D17" s="131" t="s">
        <v>497</v>
      </c>
      <c r="E17" s="114" t="str">
        <f>_xlfn.XLOOKUP(D17,vulnerabilità!$B:$B,vulnerabilità!$C:$C,"NON TROVATO")</f>
        <v>Credenziali, token o chiavi crittografiche archiviati in modo non sicuro</v>
      </c>
    </row>
    <row r="18" spans="1:5">
      <c r="A18" s="131" t="s">
        <v>627</v>
      </c>
      <c r="B18" s="131" t="s">
        <v>619</v>
      </c>
      <c r="C18" s="114" t="str">
        <f t="array" ref="C18">IF(D18="","",_xlfn.IFS(LEFT(D18,3)="VSI","Siti",LEFT(D18,2)="VH","Hardware",LEFT(D18,2)="VS","Software",LEFT(D18,2)="VN","Rete",LEFT(D18,2)="VP","Personale",LEFT(D18,2)="VO","Organizzazione"))</f>
        <v>Organizzazione</v>
      </c>
      <c r="D18" s="131" t="s">
        <v>406</v>
      </c>
      <c r="E18" s="114" t="str">
        <f>_xlfn.XLOOKUP(D18,vulnerabilità!$B:$B,vulnerabilità!$C:$C,"NON TROVATO")</f>
        <v>Procedure di abilitazione, modifica e revoca degli accessi non formalizzate o inefficaci</v>
      </c>
    </row>
    <row r="19" spans="1:5">
      <c r="A19" s="131" t="s">
        <v>627</v>
      </c>
      <c r="B19" s="131" t="s">
        <v>619</v>
      </c>
      <c r="C19" s="114" t="str">
        <f t="array" ref="C19">IF(D19="","",_xlfn.IFS(LEFT(D19,3)="VSI","Siti",LEFT(D19,2)="VH","Hardware",LEFT(D19,2)="VS","Software",LEFT(D19,2)="VN","Rete",LEFT(D19,2)="VP","Personale",LEFT(D19,2)="VO","Organizzazione"))</f>
        <v>Organizzazione</v>
      </c>
      <c r="D19" s="131" t="s">
        <v>404</v>
      </c>
      <c r="E19" s="114" t="str">
        <f>_xlfn.XLOOKUP(D19,vulnerabilità!$B:$B,vulnerabilità!$C:$C,"NON TROVATO")</f>
        <v>Revisione periodica dei privilegi e degli account tecnici assente o insufficiente</v>
      </c>
    </row>
    <row r="20" spans="1:5">
      <c r="A20" s="131" t="s">
        <v>627</v>
      </c>
      <c r="B20" s="131" t="s">
        <v>618</v>
      </c>
      <c r="C20" s="114" t="str">
        <f t="array" ref="C20">IF(D20="","",_xlfn.IFS(LEFT(D20,3)="VSI","Siti",LEFT(D20,2)="VH","Hardware",LEFT(D20,2)="VS","Software",LEFT(D20,2)="VN","Rete",LEFT(D20,2)="VP","Personale",LEFT(D20,2)="VO","Organizzazione"))</f>
        <v>Personale</v>
      </c>
      <c r="D20" s="131" t="s">
        <v>436</v>
      </c>
      <c r="E20" s="114" t="str">
        <f>_xlfn.XLOOKUP(D20,vulnerabilità!$B:$B,vulnerabilità!$C:$C,"NON TROVATO")</f>
        <v>Errori nell’installazione, configurazione, manutenzione o utilizzo del sistema</v>
      </c>
    </row>
    <row r="21" spans="1:5">
      <c r="A21" s="131" t="s">
        <v>627</v>
      </c>
      <c r="B21" s="131" t="s">
        <v>618</v>
      </c>
      <c r="C21" s="114" t="str">
        <f t="array" ref="C21">IF(D21="","",_xlfn.IFS(LEFT(D21,3)="VSI","Siti",LEFT(D21,2)="VH","Hardware",LEFT(D21,2)="VS","Software",LEFT(D21,2)="VN","Rete",LEFT(D21,2)="VP","Personale",LEFT(D21,2)="VO","Organizzazione"))</f>
        <v>Software</v>
      </c>
      <c r="D21" s="131" t="s">
        <v>471</v>
      </c>
      <c r="E21" s="114" t="str">
        <f>_xlfn.XLOOKUP(D21,vulnerabilità!$B:$B,vulnerabilità!$C:$C,"NON TROVATO")</f>
        <v>Soglie di confidenza o parametri di inferenza non adeguatamente calibrati</v>
      </c>
    </row>
    <row r="22" spans="1:5">
      <c r="A22" s="131" t="s">
        <v>627</v>
      </c>
      <c r="B22" s="131" t="s">
        <v>618</v>
      </c>
      <c r="C22" s="114" t="str">
        <f t="array" ref="C22">IF(D22="","",_xlfn.IFS(LEFT(D22,3)="VSI","Siti",LEFT(D22,2)="VH","Hardware",LEFT(D22,2)="VS","Software",LEFT(D22,2)="VN","Rete",LEFT(D22,2)="VP","Personale",LEFT(D22,2)="VO","Organizzazione"))</f>
        <v>Organizzazione</v>
      </c>
      <c r="D22" s="131" t="s">
        <v>395</v>
      </c>
      <c r="E22" s="114" t="str">
        <f>_xlfn.XLOOKUP(D22,vulnerabilità!$B:$B,vulnerabilità!$C:$C,"NON TROVATO")</f>
        <v>Change management non formalizzato per software, modelli, dataset, soglie e configurazioni</v>
      </c>
    </row>
    <row r="23" spans="1:5">
      <c r="A23" s="131" t="s">
        <v>627</v>
      </c>
      <c r="B23" s="131" t="s">
        <v>618</v>
      </c>
      <c r="C23" s="114" t="str">
        <f t="array" ref="C23">IF(D23="","",_xlfn.IFS(LEFT(D23,3)="VSI","Siti",LEFT(D23,2)="VH","Hardware",LEFT(D23,2)="VS","Software",LEFT(D23,2)="VN","Rete",LEFT(D23,2)="VP","Personale",LEFT(D23,2)="VO","Organizzazione"))</f>
        <v>Software</v>
      </c>
      <c r="D23" s="131" t="s">
        <v>487</v>
      </c>
      <c r="E23" s="114" t="str">
        <f>_xlfn.XLOOKUP(D23,vulnerabilità!$B:$B,vulnerabilità!$C:$C,"NON TROVATO")</f>
        <v>Documentazione tecnica o funzionale incompleta o non aggiornata</v>
      </c>
    </row>
    <row r="24" spans="1:5">
      <c r="A24" s="131" t="s">
        <v>627</v>
      </c>
      <c r="B24" s="131" t="s">
        <v>618</v>
      </c>
      <c r="C24" s="114" t="str">
        <f t="array" ref="C24">IF(D24="","",_xlfn.IFS(LEFT(D24,3)="VSI","Siti",LEFT(D24,2)="VH","Hardware",LEFT(D24,2)="VS","Software",LEFT(D24,2)="VN","Rete",LEFT(D24,2)="VP","Personale",LEFT(D24,2)="VO","Organizzazione"))</f>
        <v>Software</v>
      </c>
      <c r="D24" s="131" t="s">
        <v>491</v>
      </c>
      <c r="E24" s="114" t="str">
        <f>_xlfn.XLOOKUP(D24,vulnerabilità!$B:$B,vulnerabilità!$C:$C,"NON TROVATO")</f>
        <v>Distribuzione, rilascio o aggiornamento del software non controllato</v>
      </c>
    </row>
    <row r="25" spans="1:5">
      <c r="A25" s="131" t="s">
        <v>627</v>
      </c>
      <c r="B25" s="131" t="s">
        <v>617</v>
      </c>
      <c r="C25" s="114" t="str">
        <f t="array" ref="C25">IF(D25="","",_xlfn.IFS(LEFT(D25,3)="VSI","Siti",LEFT(D25,2)="VH","Hardware",LEFT(D25,2)="VS","Software",LEFT(D25,2)="VN","Rete",LEFT(D25,2)="VP","Personale",LEFT(D25,2)="VO","Organizzazione"))</f>
        <v>Personale</v>
      </c>
      <c r="D25" s="131" t="s">
        <v>437</v>
      </c>
      <c r="E25" s="114" t="str">
        <f>_xlfn.XLOOKUP(D25,vulnerabilità!$B:$B,vulnerabilità!$C:$C,"NON TROVATO")</f>
        <v>Formazione insufficiente sull’uso corretto di ISaAC e sulla gestione delle segnalazioni</v>
      </c>
    </row>
    <row r="26" spans="1:5">
      <c r="A26" s="131" t="s">
        <v>627</v>
      </c>
      <c r="B26" s="131" t="s">
        <v>617</v>
      </c>
      <c r="C26" s="114" t="str">
        <f t="array" ref="C26">IF(D26="","",_xlfn.IFS(LEFT(D26,3)="VSI","Siti",LEFT(D26,2)="VH","Hardware",LEFT(D26,2)="VS","Software",LEFT(D26,2)="VN","Rete",LEFT(D26,2)="VP","Personale",LEFT(D26,2)="VO","Organizzazione"))</f>
        <v>Personale</v>
      </c>
      <c r="D26" s="131" t="s">
        <v>430</v>
      </c>
      <c r="E26" s="114" t="str">
        <f>_xlfn.XLOOKUP(D26,vulnerabilità!$B:$B,vulnerabilità!$C:$C,"NON TROVATO")</f>
        <v>Consapevolezza insufficiente in materia di sicurezza e protezione dei dati</v>
      </c>
    </row>
    <row r="27" spans="1:5">
      <c r="A27" s="131" t="s">
        <v>627</v>
      </c>
      <c r="B27" s="131" t="s">
        <v>617</v>
      </c>
      <c r="C27" s="114" t="str">
        <f t="array" ref="C27">IF(D27="","",_xlfn.IFS(LEFT(D27,3)="VSI","Siti",LEFT(D27,2)="VH","Hardware",LEFT(D27,2)="VS","Software",LEFT(D27,2)="VN","Rete",LEFT(D27,2)="VP","Personale",LEFT(D27,2)="VO","Organizzazione"))</f>
        <v>Organizzazione</v>
      </c>
      <c r="D27" s="131" t="s">
        <v>384</v>
      </c>
      <c r="E27" s="114" t="str">
        <f>_xlfn.XLOOKUP(D27,vulnerabilità!$B:$B,vulnerabilità!$C:$C,"NON TROVATO")</f>
        <v>Finalità di utilizzo e regole di accesso alle immagini e alle segnalazioni non adeguatamente definite</v>
      </c>
    </row>
    <row r="28" spans="1:5">
      <c r="A28" s="131" t="s">
        <v>627</v>
      </c>
      <c r="B28" s="131" t="s">
        <v>617</v>
      </c>
      <c r="C28" s="114" t="str">
        <f t="array" ref="C28">IF(D28="","",_xlfn.IFS(LEFT(D28,3)="VSI","Siti",LEFT(D28,2)="VH","Hardware",LEFT(D28,2)="VS","Software",LEFT(D28,2)="VN","Rete",LEFT(D28,2)="VP","Personale",LEFT(D28,2)="VO","Organizzazione"))</f>
        <v>Organizzazione</v>
      </c>
      <c r="D28" s="131" t="s">
        <v>382</v>
      </c>
      <c r="E28" s="114" t="str">
        <f>_xlfn.XLOOKUP(D28,vulnerabilità!$B:$B,vulnerabilità!$C:$C,"NON TROVATO")</f>
        <v>Procedura di verifica umana e gestione delle segnalazioni non definita o non applicata</v>
      </c>
    </row>
    <row r="29" spans="1:5">
      <c r="A29" s="131" t="s">
        <v>627</v>
      </c>
      <c r="B29" s="131" t="s">
        <v>616</v>
      </c>
      <c r="C29" s="114" t="str">
        <f t="array" ref="C29">IF(D29="","",_xlfn.IFS(LEFT(D29,3)="VSI","Siti",LEFT(D29,2)="VH","Hardware",LEFT(D29,2)="VS","Software",LEFT(D29,2)="VN","Rete",LEFT(D29,2)="VP","Personale",LEFT(D29,2)="VO","Organizzazione"))</f>
        <v>Personale</v>
      </c>
      <c r="D29" s="131" t="s">
        <v>432</v>
      </c>
      <c r="E29" s="114" t="str">
        <f>_xlfn.XLOOKUP(D29,vulnerabilità!$B:$B,vulnerabilità!$C:$C,"NON TROVATO")</f>
        <v>Ruolo della supervisione umana non compreso o applicato in modo non uniforme</v>
      </c>
    </row>
    <row r="30" spans="1:5">
      <c r="A30" s="131" t="s">
        <v>627</v>
      </c>
      <c r="B30" s="131" t="s">
        <v>616</v>
      </c>
      <c r="C30" s="114" t="str">
        <f t="array" ref="C30">IF(D30="","",_xlfn.IFS(LEFT(D30,3)="VSI","Siti",LEFT(D30,2)="VH","Hardware",LEFT(D30,2)="VS","Software",LEFT(D30,2)="VN","Rete",LEFT(D30,2)="VP","Personale",LEFT(D30,2)="VO","Organizzazione"))</f>
        <v>Organizzazione</v>
      </c>
      <c r="D30" s="131" t="s">
        <v>382</v>
      </c>
      <c r="E30" s="114" t="str">
        <f>_xlfn.XLOOKUP(D30,vulnerabilità!$B:$B,vulnerabilità!$C:$C,"NON TROVATO")</f>
        <v>Procedura di verifica umana e gestione delle segnalazioni non definita o non applicata</v>
      </c>
    </row>
    <row r="31" spans="1:5">
      <c r="A31" s="131" t="s">
        <v>627</v>
      </c>
      <c r="B31" s="131" t="s">
        <v>616</v>
      </c>
      <c r="C31" s="114" t="str">
        <f t="array" ref="C31">IF(D31="","",_xlfn.IFS(LEFT(D31,3)="VSI","Siti",LEFT(D31,2)="VH","Hardware",LEFT(D31,2)="VS","Software",LEFT(D31,2)="VN","Rete",LEFT(D31,2)="VP","Personale",LEFT(D31,2)="VO","Organizzazione"))</f>
        <v>Personale</v>
      </c>
      <c r="D31" s="131" t="s">
        <v>437</v>
      </c>
      <c r="E31" s="114" t="str">
        <f>_xlfn.XLOOKUP(D31,vulnerabilità!$B:$B,vulnerabilità!$C:$C,"NON TROVATO")</f>
        <v>Formazione insufficiente sull’uso corretto di ISaAC e sulla gestione delle segnalazioni</v>
      </c>
    </row>
    <row r="32" spans="1:5">
      <c r="A32" s="131" t="s">
        <v>627</v>
      </c>
      <c r="B32" s="131" t="s">
        <v>616</v>
      </c>
      <c r="C32" s="114" t="str">
        <f t="array" ref="C32">IF(D32="","",_xlfn.IFS(LEFT(D32,3)="VSI","Siti",LEFT(D32,2)="VH","Hardware",LEFT(D32,2)="VS","Software",LEFT(D32,2)="VN","Rete",LEFT(D32,2)="VP","Personale",LEFT(D32,2)="VO","Organizzazione"))</f>
        <v>Personale</v>
      </c>
      <c r="D32" s="131" t="s">
        <v>426</v>
      </c>
      <c r="E32" s="114" t="str">
        <f>_xlfn.XLOOKUP(D32,vulnerabilità!$B:$B,vulnerabilità!$C:$C,"NON TROVATO")</f>
        <v>Segnalazione tardiva o assente di anomalie, errori del modello e incidenti</v>
      </c>
    </row>
    <row r="33" spans="1:5">
      <c r="A33" s="131" t="s">
        <v>627</v>
      </c>
      <c r="B33" s="131" t="s">
        <v>615</v>
      </c>
      <c r="C33" s="114" t="str">
        <f t="array" ref="C33">IF(D33="","",_xlfn.IFS(LEFT(D33,3)="VSI","Siti",LEFT(D33,2)="VH","Hardware",LEFT(D33,2)="VS","Software",LEFT(D33,2)="VN","Rete",LEFT(D33,2)="VP","Personale",LEFT(D33,2)="VO","Organizzazione"))</f>
        <v>Personale</v>
      </c>
      <c r="D33" s="131" t="s">
        <v>439</v>
      </c>
      <c r="E33" s="114" t="str">
        <f>_xlfn.XLOOKUP(D33,vulnerabilità!$B:$B,vulnerabilità!$C:$C,"NON TROVATO")</f>
        <v>Carenza di personale con competenze adeguate sul sistema, sulla sicurezza o sui modelli di IA</v>
      </c>
    </row>
    <row r="34" spans="1:5">
      <c r="A34" s="131" t="s">
        <v>627</v>
      </c>
      <c r="B34" s="131" t="s">
        <v>615</v>
      </c>
      <c r="C34" s="114" t="str">
        <f t="array" ref="C34">IF(D34="","",_xlfn.IFS(LEFT(D34,3)="VSI","Siti",LEFT(D34,2)="VH","Hardware",LEFT(D34,2)="VS","Software",LEFT(D34,2)="VN","Rete",LEFT(D34,2)="VP","Personale",LEFT(D34,2)="VO","Organizzazione"))</f>
        <v>Personale</v>
      </c>
      <c r="D34" s="131" t="s">
        <v>437</v>
      </c>
      <c r="E34" s="114" t="str">
        <f>_xlfn.XLOOKUP(D34,vulnerabilità!$B:$B,vulnerabilità!$C:$C,"NON TROVATO")</f>
        <v>Formazione insufficiente sull’uso corretto di ISaAC e sulla gestione delle segnalazioni</v>
      </c>
    </row>
    <row r="35" spans="1:5">
      <c r="A35" s="131" t="s">
        <v>627</v>
      </c>
      <c r="B35" s="131" t="s">
        <v>615</v>
      </c>
      <c r="C35" s="114" t="str">
        <f t="array" ref="C35">IF(D35="","",_xlfn.IFS(LEFT(D35,3)="VSI","Siti",LEFT(D35,2)="VH","Hardware",LEFT(D35,2)="VS","Software",LEFT(D35,2)="VN","Rete",LEFT(D35,2)="VP","Personale",LEFT(D35,2)="VO","Organizzazione"))</f>
        <v>Personale</v>
      </c>
      <c r="D35" s="131" t="s">
        <v>430</v>
      </c>
      <c r="E35" s="114" t="str">
        <f>_xlfn.XLOOKUP(D35,vulnerabilità!$B:$B,vulnerabilità!$C:$C,"NON TROVATO")</f>
        <v>Consapevolezza insufficiente in materia di sicurezza e protezione dei dati</v>
      </c>
    </row>
    <row r="36" spans="1:5">
      <c r="A36" s="131" t="s">
        <v>627</v>
      </c>
      <c r="B36" s="131" t="s">
        <v>614</v>
      </c>
      <c r="C36" s="114" t="str">
        <f t="array" ref="C36">IF(D36="","",_xlfn.IFS(LEFT(D36,3)="VSI","Siti",LEFT(D36,2)="VH","Hardware",LEFT(D36,2)="VS","Software",LEFT(D36,2)="VN","Rete",LEFT(D36,2)="VP","Personale",LEFT(D36,2)="VO","Organizzazione"))</f>
        <v>Organizzazione</v>
      </c>
      <c r="D36" s="131" t="s">
        <v>395</v>
      </c>
      <c r="E36" s="114" t="str">
        <f>_xlfn.XLOOKUP(D36,vulnerabilità!$B:$B,vulnerabilità!$C:$C,"NON TROVATO")</f>
        <v>Change management non formalizzato per software, modelli, dataset, soglie e configurazioni</v>
      </c>
    </row>
    <row r="37" spans="1:5">
      <c r="A37" s="131" t="s">
        <v>627</v>
      </c>
      <c r="B37" s="131" t="s">
        <v>614</v>
      </c>
      <c r="C37" s="114" t="str">
        <f t="array" ref="C37">IF(D37="","",_xlfn.IFS(LEFT(D37,3)="VSI","Siti",LEFT(D37,2)="VH","Hardware",LEFT(D37,2)="VS","Software",LEFT(D37,2)="VN","Rete",LEFT(D37,2)="VP","Personale",LEFT(D37,2)="VO","Organizzazione"))</f>
        <v>Software</v>
      </c>
      <c r="D37" s="131" t="s">
        <v>491</v>
      </c>
      <c r="E37" s="114" t="str">
        <f>_xlfn.XLOOKUP(D37,vulnerabilità!$B:$B,vulnerabilità!$C:$C,"NON TROVATO")</f>
        <v>Distribuzione, rilascio o aggiornamento del software non controllato</v>
      </c>
    </row>
    <row r="38" spans="1:5">
      <c r="A38" s="131" t="s">
        <v>627</v>
      </c>
      <c r="B38" s="131" t="s">
        <v>614</v>
      </c>
      <c r="C38" s="114" t="str">
        <f t="array" ref="C38">IF(D38="","",_xlfn.IFS(LEFT(D38,3)="VSI","Siti",LEFT(D38,2)="VH","Hardware",LEFT(D38,2)="VS","Software",LEFT(D38,2)="VN","Rete",LEFT(D38,2)="VP","Personale",LEFT(D38,2)="VO","Organizzazione"))</f>
        <v>Hardware</v>
      </c>
      <c r="D38" s="131" t="s">
        <v>518</v>
      </c>
      <c r="E38" s="114" t="str">
        <f>_xlfn.XLOOKUP(D38,vulnerabilità!$B:$B,vulnerabilità!$C:$C,"NON TROVATO")</f>
        <v xml:space="preserve">Controllo inefficace delle modifiche hardware </v>
      </c>
    </row>
    <row r="39" spans="1:5">
      <c r="A39" s="131" t="s">
        <v>627</v>
      </c>
      <c r="B39" s="131" t="s">
        <v>614</v>
      </c>
      <c r="C39" s="114" t="str">
        <f t="array" ref="C39">IF(D39="","",_xlfn.IFS(LEFT(D39,3)="VSI","Siti",LEFT(D39,2)="VH","Hardware",LEFT(D39,2)="VS","Software",LEFT(D39,2)="VN","Rete",LEFT(D39,2)="VP","Personale",LEFT(D39,2)="VO","Organizzazione"))</f>
        <v>Rete</v>
      </c>
      <c r="D39" s="131" t="s">
        <v>444</v>
      </c>
      <c r="E39" s="114" t="str">
        <f>_xlfn.XLOOKUP(D39,vulnerabilità!$B:$B,vulnerabilità!$C:$C,"NON TROVATO")</f>
        <v>Configurazioni o modifiche della rete non documentate e non controllate</v>
      </c>
    </row>
    <row r="40" spans="1:5">
      <c r="A40" s="131" t="s">
        <v>627</v>
      </c>
      <c r="B40" s="131" t="s">
        <v>614</v>
      </c>
      <c r="C40" s="114" t="str">
        <f t="array" ref="C40">IF(D40="","",_xlfn.IFS(LEFT(D40,3)="VSI","Siti",LEFT(D40,2)="VH","Hardware",LEFT(D40,2)="VS","Software",LEFT(D40,2)="VN","Rete",LEFT(D40,2)="VP","Personale",LEFT(D40,2)="VO","Organizzazione"))</f>
        <v>Organizzazione</v>
      </c>
      <c r="D40" s="131" t="s">
        <v>376</v>
      </c>
      <c r="E40" s="114" t="str">
        <f>_xlfn.XLOOKUP(D40,vulnerabilità!$B:$B,vulnerabilità!$C:$C,"NON TROVATO")</f>
        <v>Modifiche del fornitore e dipendenze esterne non monitorate o valutate prima dell’adozione</v>
      </c>
    </row>
    <row r="41" spans="1:5">
      <c r="A41" s="131" t="s">
        <v>627</v>
      </c>
      <c r="B41" s="131" t="s">
        <v>613</v>
      </c>
      <c r="C41" s="114" t="str">
        <f t="array" ref="C41">IF(D41="","",_xlfn.IFS(LEFT(D41,3)="VSI","Siti",LEFT(D41,2)="VH","Hardware",LEFT(D41,2)="VS","Software",LEFT(D41,2)="VN","Rete",LEFT(D41,2)="VP","Personale",LEFT(D41,2)="VO","Organizzazione"))</f>
        <v>Organizzazione</v>
      </c>
      <c r="D41" s="131" t="s">
        <v>386</v>
      </c>
      <c r="E41" s="114" t="str">
        <f>_xlfn.XLOOKUP(D41,vulnerabilità!$B:$B,vulnerabilità!$C:$C,"NON TROVATO")</f>
        <v>Tempi e modalità di conservazione o cancellazione di immagini e log non definiti</v>
      </c>
    </row>
    <row r="42" spans="1:5">
      <c r="A42" s="131" t="s">
        <v>627</v>
      </c>
      <c r="B42" s="131" t="s">
        <v>613</v>
      </c>
      <c r="C42" s="114" t="str">
        <f t="array" ref="C42">IF(D42="","",_xlfn.IFS(LEFT(D42,3)="VSI","Siti",LEFT(D42,2)="VH","Hardware",LEFT(D42,2)="VS","Software",LEFT(D42,2)="VN","Rete",LEFT(D42,2)="VP","Personale",LEFT(D42,2)="VO","Organizzazione"))</f>
        <v>Organizzazione</v>
      </c>
      <c r="D42" s="131" t="s">
        <v>384</v>
      </c>
      <c r="E42" s="114" t="str">
        <f>_xlfn.XLOOKUP(D42,vulnerabilità!$B:$B,vulnerabilità!$C:$C,"NON TROVATO")</f>
        <v>Finalità di utilizzo e regole di accesso alle immagini e alle segnalazioni non adeguatamente definite</v>
      </c>
    </row>
    <row r="43" spans="1:5">
      <c r="A43" s="131" t="s">
        <v>627</v>
      </c>
      <c r="B43" s="131" t="s">
        <v>613</v>
      </c>
      <c r="C43" s="114" t="str">
        <f t="array" ref="C43">IF(D43="","",_xlfn.IFS(LEFT(D43,3)="VSI","Siti",LEFT(D43,2)="VH","Hardware",LEFT(D43,2)="VS","Software",LEFT(D43,2)="VN","Rete",LEFT(D43,2)="VP","Personale",LEFT(D43,2)="VO","Organizzazione"))</f>
        <v>Hardware</v>
      </c>
      <c r="D43" s="131" t="s">
        <v>516</v>
      </c>
      <c r="E43" s="114" t="str">
        <f>_xlfn.XLOOKUP(D43,vulnerabilità!$B:$B,vulnerabilità!$C:$C,"NON TROVATO")</f>
        <v>Memorizzazione locale non cifrata o non adeguatamente protetta</v>
      </c>
    </row>
    <row r="44" spans="1:5">
      <c r="A44" s="131" t="s">
        <v>627</v>
      </c>
      <c r="B44" s="131" t="s">
        <v>613</v>
      </c>
      <c r="C44" s="114" t="str">
        <f t="array" ref="C44">IF(D44="","",_xlfn.IFS(LEFT(D44,3)="VSI","Siti",LEFT(D44,2)="VH","Hardware",LEFT(D44,2)="VS","Software",LEFT(D44,2)="VN","Rete",LEFT(D44,2)="VP","Personale",LEFT(D44,2)="VO","Organizzazione"))</f>
        <v>Hardware</v>
      </c>
      <c r="D44" s="131" t="s">
        <v>512</v>
      </c>
      <c r="E44" s="114" t="str">
        <f>_xlfn.XLOOKUP(D44,vulnerabilità!$B:$B,vulnerabilità!$C:$C,"NON TROVATO")</f>
        <v>Smaltimento o riutilizzo non sicuro di dispositivi e supporti</v>
      </c>
    </row>
    <row r="45" spans="1:5">
      <c r="A45" s="131" t="s">
        <v>627</v>
      </c>
      <c r="B45" s="131" t="s">
        <v>613</v>
      </c>
      <c r="C45" s="114" t="str">
        <f t="array" ref="C45">IF(D45="","",_xlfn.IFS(LEFT(D45,3)="VSI","Siti",LEFT(D45,2)="VH","Hardware",LEFT(D45,2)="VS","Software",LEFT(D45,2)="VN","Rete",LEFT(D45,2)="VP","Personale",LEFT(D45,2)="VO","Organizzazione"))</f>
        <v>Software</v>
      </c>
      <c r="D45" s="131" t="s">
        <v>493</v>
      </c>
      <c r="E45" s="114" t="str">
        <f>_xlfn.XLOOKUP(D45,vulnerabilità!$B:$B,vulnerabilità!$C:$C,"NON TROVATO")</f>
        <v>Configurazione insufficiente dei log o audit trail incompleti</v>
      </c>
    </row>
    <row r="46" spans="1:5">
      <c r="A46" s="131" t="s">
        <v>626</v>
      </c>
      <c r="B46" s="131" t="s">
        <v>611</v>
      </c>
      <c r="C46" s="114" t="str">
        <f t="array" ref="C46">IF(D46="","",_xlfn.IFS(LEFT(D46,3)="VSI","Siti",LEFT(D46,2)="VH","Hardware",LEFT(D46,2)="VS","Software",LEFT(D46,2)="VN","Rete",LEFT(D46,2)="VP","Personale",LEFT(D46,2)="VO","Organizzazione"))</f>
        <v>Siti</v>
      </c>
      <c r="D46" s="131" t="s">
        <v>415</v>
      </c>
      <c r="E46" s="114" t="str">
        <f>_xlfn.XLOOKUP(D46,vulnerabilità!$B:$B,vulnerabilità!$C:$C,"NON TROVATO")</f>
        <v>Sistemi antincendio o di rilevazione ambientale assenti o insufficienti</v>
      </c>
    </row>
    <row r="47" spans="1:5">
      <c r="A47" s="131" t="s">
        <v>626</v>
      </c>
      <c r="B47" s="131" t="s">
        <v>611</v>
      </c>
      <c r="C47" s="114" t="str">
        <f t="array" ref="C47">IF(D47="","",_xlfn.IFS(LEFT(D47,3)="VSI","Siti",LEFT(D47,2)="VH","Hardware",LEFT(D47,2)="VS","Software",LEFT(D47,2)="VN","Rete",LEFT(D47,2)="VP","Personale",LEFT(D47,2)="VO","Organizzazione"))</f>
        <v>Siti</v>
      </c>
      <c r="D47" s="131" t="s">
        <v>411</v>
      </c>
      <c r="E47" s="114" t="str">
        <f>_xlfn.XLOOKUP(D47,vulnerabilità!$B:$B,vulnerabilità!$C:$C,"NON TROVATO")</f>
        <v>Piani di emergenza, ripristino o evacuazione non definiti o non testati</v>
      </c>
    </row>
    <row r="48" spans="1:5">
      <c r="A48" s="131" t="s">
        <v>626</v>
      </c>
      <c r="B48" s="131" t="s">
        <v>611</v>
      </c>
      <c r="C48" s="114" t="str">
        <f t="array" ref="C48">IF(D48="","",_xlfn.IFS(LEFT(D48,3)="VSI","Siti",LEFT(D48,2)="VH","Hardware",LEFT(D48,2)="VS","Software",LEFT(D48,2)="VN","Rete",LEFT(D48,2)="VP","Personale",LEFT(D48,2)="VO","Organizzazione"))</f>
        <v>Organizzazione</v>
      </c>
      <c r="D48" s="131" t="s">
        <v>393</v>
      </c>
      <c r="E48" s="114" t="str">
        <f>_xlfn.XLOOKUP(D48,vulnerabilità!$B:$B,vulnerabilità!$C:$C,"NON TROVATO")</f>
        <v>Piani di continuità operativa e ripristino non definiti, incompleti o non testati</v>
      </c>
    </row>
    <row r="49" spans="1:5">
      <c r="A49" s="131" t="s">
        <v>626</v>
      </c>
      <c r="B49" s="131" t="s">
        <v>611</v>
      </c>
      <c r="C49" s="114" t="str">
        <f t="array" ref="C49">IF(D49="","",_xlfn.IFS(LEFT(D49,3)="VSI","Siti",LEFT(D49,2)="VH","Hardware",LEFT(D49,2)="VS","Software",LEFT(D49,2)="VN","Rete",LEFT(D49,2)="VP","Personale",LEFT(D49,2)="VO","Organizzazione"))</f>
        <v>Hardware</v>
      </c>
      <c r="D49" s="131" t="s">
        <v>526</v>
      </c>
      <c r="E49" s="114" t="str">
        <f>_xlfn.XLOOKUP(D49,vulnerabilità!$B:$B,vulnerabilità!$C:$C,"NON TROVATO")</f>
        <v>Protezione insufficiente delle apparecchiature da polvere, umidità, temperatura o altri agenti ambientali</v>
      </c>
    </row>
    <row r="50" spans="1:5">
      <c r="A50" s="131" t="s">
        <v>626</v>
      </c>
      <c r="B50" s="131" t="s">
        <v>610</v>
      </c>
      <c r="C50" s="114" t="str">
        <f t="array" ref="C50">IF(D50="","",_xlfn.IFS(LEFT(D50,3)="VSI","Siti",LEFT(D50,2)="VH","Hardware",LEFT(D50,2)="VS","Software",LEFT(D50,2)="VN","Rete",LEFT(D50,2)="VP","Personale",LEFT(D50,2)="VO","Organizzazione"))</f>
        <v>Siti</v>
      </c>
      <c r="D50" s="131" t="s">
        <v>421</v>
      </c>
      <c r="E50" s="114" t="str">
        <f>_xlfn.XLOOKUP(D50,vulnerabilità!$B:$B,vulnerabilità!$C:$C,"NON TROVATO")</f>
        <v>Installazione delle apparecchiature in aree esposte a rischi ambientali non adeguatamente valutati</v>
      </c>
    </row>
    <row r="51" spans="1:5">
      <c r="A51" s="131" t="s">
        <v>626</v>
      </c>
      <c r="B51" s="131" t="s">
        <v>610</v>
      </c>
      <c r="C51" s="114" t="str">
        <f t="array" ref="C51">IF(D51="","",_xlfn.IFS(LEFT(D51,3)="VSI","Siti",LEFT(D51,2)="VH","Hardware",LEFT(D51,2)="VS","Software",LEFT(D51,2)="VN","Rete",LEFT(D51,2)="VP","Personale",LEFT(D51,2)="VO","Organizzazione"))</f>
        <v>Siti</v>
      </c>
      <c r="D51" s="131" t="s">
        <v>411</v>
      </c>
      <c r="E51" s="114" t="str">
        <f>_xlfn.XLOOKUP(D51,vulnerabilità!$B:$B,vulnerabilità!$C:$C,"NON TROVATO")</f>
        <v>Piani di emergenza, ripristino o evacuazione non definiti o non testati</v>
      </c>
    </row>
    <row r="52" spans="1:5">
      <c r="A52" s="131" t="s">
        <v>626</v>
      </c>
      <c r="B52" s="131" t="s">
        <v>610</v>
      </c>
      <c r="C52" s="114" t="str">
        <f t="array" ref="C52">IF(D52="","",_xlfn.IFS(LEFT(D52,3)="VSI","Siti",LEFT(D52,2)="VH","Hardware",LEFT(D52,2)="VS","Software",LEFT(D52,2)="VN","Rete",LEFT(D52,2)="VP","Personale",LEFT(D52,2)="VO","Organizzazione"))</f>
        <v>Organizzazione</v>
      </c>
      <c r="D52" s="131" t="s">
        <v>393</v>
      </c>
      <c r="E52" s="114" t="str">
        <f>_xlfn.XLOOKUP(D52,vulnerabilità!$B:$B,vulnerabilità!$C:$C,"NON TROVATO")</f>
        <v>Piani di continuità operativa e ripristino non definiti, incompleti o non testati</v>
      </c>
    </row>
    <row r="53" spans="1:5">
      <c r="A53" s="131" t="s">
        <v>626</v>
      </c>
      <c r="B53" s="131" t="s">
        <v>610</v>
      </c>
      <c r="C53" s="114" t="str">
        <f t="array" ref="C53">IF(D53="","",_xlfn.IFS(LEFT(D53,3)="VSI","Siti",LEFT(D53,2)="VH","Hardware",LEFT(D53,2)="VS","Software",LEFT(D53,2)="VN","Rete",LEFT(D53,2)="VP","Personale",LEFT(D53,2)="VO","Organizzazione"))</f>
        <v>Hardware</v>
      </c>
      <c r="D53" s="131" t="s">
        <v>526</v>
      </c>
      <c r="E53" s="114" t="str">
        <f>_xlfn.XLOOKUP(D53,vulnerabilità!$B:$B,vulnerabilità!$C:$C,"NON TROVATO")</f>
        <v>Protezione insufficiente delle apparecchiature da polvere, umidità, temperatura o altri agenti ambientali</v>
      </c>
    </row>
    <row r="54" spans="1:5">
      <c r="A54" s="131" t="s">
        <v>626</v>
      </c>
      <c r="B54" s="131" t="s">
        <v>609</v>
      </c>
      <c r="C54" s="114" t="str">
        <f t="array" ref="C54">IF(D54="","",_xlfn.IFS(LEFT(D54,3)="VSI","Siti",LEFT(D54,2)="VH","Hardware",LEFT(D54,2)="VS","Software",LEFT(D54,2)="VN","Rete",LEFT(D54,2)="VP","Personale",LEFT(D54,2)="VO","Organizzazione"))</f>
        <v>Siti</v>
      </c>
      <c r="D54" s="131" t="s">
        <v>421</v>
      </c>
      <c r="E54" s="114" t="str">
        <f>_xlfn.XLOOKUP(D54,vulnerabilità!$B:$B,vulnerabilità!$C:$C,"NON TROVATO")</f>
        <v>Installazione delle apparecchiature in aree esposte a rischi ambientali non adeguatamente valutati</v>
      </c>
    </row>
    <row r="55" spans="1:5">
      <c r="A55" s="131" t="s">
        <v>626</v>
      </c>
      <c r="B55" s="131" t="s">
        <v>609</v>
      </c>
      <c r="C55" s="114" t="str">
        <f t="array" ref="C55">IF(D55="","",_xlfn.IFS(LEFT(D55,3)="VSI","Siti",LEFT(D55,2)="VH","Hardware",LEFT(D55,2)="VS","Software",LEFT(D55,2)="VN","Rete",LEFT(D55,2)="VP","Personale",LEFT(D55,2)="VO","Organizzazione"))</f>
        <v>Siti</v>
      </c>
      <c r="D55" s="131" t="s">
        <v>411</v>
      </c>
      <c r="E55" s="114" t="str">
        <f>_xlfn.XLOOKUP(D55,vulnerabilità!$B:$B,vulnerabilità!$C:$C,"NON TROVATO")</f>
        <v>Piani di emergenza, ripristino o evacuazione non definiti o non testati</v>
      </c>
    </row>
    <row r="56" spans="1:5">
      <c r="A56" s="131" t="s">
        <v>626</v>
      </c>
      <c r="B56" s="131" t="s">
        <v>609</v>
      </c>
      <c r="C56" s="114" t="str">
        <f t="array" ref="C56">IF(D56="","",_xlfn.IFS(LEFT(D56,3)="VSI","Siti",LEFT(D56,2)="VH","Hardware",LEFT(D56,2)="VS","Software",LEFT(D56,2)="VN","Rete",LEFT(D56,2)="VP","Personale",LEFT(D56,2)="VO","Organizzazione"))</f>
        <v>Organizzazione</v>
      </c>
      <c r="D56" s="131" t="s">
        <v>393</v>
      </c>
      <c r="E56" s="114" t="str">
        <f>_xlfn.XLOOKUP(D56,vulnerabilità!$B:$B,vulnerabilità!$C:$C,"NON TROVATO")</f>
        <v>Piani di continuità operativa e ripristino non definiti, incompleti o non testati</v>
      </c>
    </row>
    <row r="57" spans="1:5">
      <c r="A57" s="131" t="s">
        <v>626</v>
      </c>
      <c r="B57" s="131" t="s">
        <v>609</v>
      </c>
      <c r="C57" s="114" t="str">
        <f t="array" ref="C57">IF(D57="","",_xlfn.IFS(LEFT(D57,3)="VSI","Siti",LEFT(D57,2)="VH","Hardware",LEFT(D57,2)="VS","Software",LEFT(D57,2)="VN","Rete",LEFT(D57,2)="VP","Personale",LEFT(D57,2)="VO","Organizzazione"))</f>
        <v>Hardware</v>
      </c>
      <c r="D57" s="131" t="s">
        <v>526</v>
      </c>
      <c r="E57" s="114" t="str">
        <f>_xlfn.XLOOKUP(D57,vulnerabilità!$B:$B,vulnerabilità!$C:$C,"NON TROVATO")</f>
        <v>Protezione insufficiente delle apparecchiature da polvere, umidità, temperatura o altri agenti ambientali</v>
      </c>
    </row>
    <row r="58" spans="1:5">
      <c r="A58" s="131" t="s">
        <v>626</v>
      </c>
      <c r="B58" s="131" t="s">
        <v>608</v>
      </c>
      <c r="C58" s="114" t="str">
        <f t="array" ref="C58">IF(D58="","",_xlfn.IFS(LEFT(D58,3)="VSI","Siti",LEFT(D58,2)="VH","Hardware",LEFT(D58,2)="VS","Software",LEFT(D58,2)="VN","Rete",LEFT(D58,2)="VP","Personale",LEFT(D58,2)="VO","Organizzazione"))</f>
        <v>Siti</v>
      </c>
      <c r="D58" s="131" t="s">
        <v>421</v>
      </c>
      <c r="E58" s="114" t="str">
        <f>_xlfn.XLOOKUP(D58,vulnerabilità!$B:$B,vulnerabilità!$C:$C,"NON TROVATO")</f>
        <v>Installazione delle apparecchiature in aree esposte a rischi ambientali non adeguatamente valutati</v>
      </c>
    </row>
    <row r="59" spans="1:5">
      <c r="A59" s="131" t="s">
        <v>626</v>
      </c>
      <c r="B59" s="131" t="s">
        <v>608</v>
      </c>
      <c r="C59" s="114" t="str">
        <f t="array" ref="C59">IF(D59="","",_xlfn.IFS(LEFT(D59,3)="VSI","Siti",LEFT(D59,2)="VH","Hardware",LEFT(D59,2)="VS","Software",LEFT(D59,2)="VN","Rete",LEFT(D59,2)="VP","Personale",LEFT(D59,2)="VO","Organizzazione"))</f>
        <v>Siti</v>
      </c>
      <c r="D59" s="131" t="s">
        <v>411</v>
      </c>
      <c r="E59" s="114" t="str">
        <f>_xlfn.XLOOKUP(D59,vulnerabilità!$B:$B,vulnerabilità!$C:$C,"NON TROVATO")</f>
        <v>Piani di emergenza, ripristino o evacuazione non definiti o non testati</v>
      </c>
    </row>
    <row r="60" spans="1:5">
      <c r="A60" s="131" t="s">
        <v>626</v>
      </c>
      <c r="B60" s="131" t="s">
        <v>608</v>
      </c>
      <c r="C60" s="114" t="str">
        <f t="array" ref="C60">IF(D60="","",_xlfn.IFS(LEFT(D60,3)="VSI","Siti",LEFT(D60,2)="VH","Hardware",LEFT(D60,2)="VS","Software",LEFT(D60,2)="VN","Rete",LEFT(D60,2)="VP","Personale",LEFT(D60,2)="VO","Organizzazione"))</f>
        <v>Organizzazione</v>
      </c>
      <c r="D60" s="131" t="s">
        <v>393</v>
      </c>
      <c r="E60" s="114" t="str">
        <f>_xlfn.XLOOKUP(D60,vulnerabilità!$B:$B,vulnerabilità!$C:$C,"NON TROVATO")</f>
        <v>Piani di continuità operativa e ripristino non definiti, incompleti o non testati</v>
      </c>
    </row>
    <row r="61" spans="1:5">
      <c r="A61" s="131" t="s">
        <v>626</v>
      </c>
      <c r="B61" s="131" t="s">
        <v>608</v>
      </c>
      <c r="C61" s="114" t="str">
        <f t="array" ref="C61">IF(D61="","",_xlfn.IFS(LEFT(D61,3)="VSI","Siti",LEFT(D61,2)="VH","Hardware",LEFT(D61,2)="VS","Software",LEFT(D61,2)="VN","Rete",LEFT(D61,2)="VP","Personale",LEFT(D61,2)="VO","Organizzazione"))</f>
        <v>Hardware</v>
      </c>
      <c r="D61" s="131" t="s">
        <v>526</v>
      </c>
      <c r="E61" s="114" t="str">
        <f>_xlfn.XLOOKUP(D61,vulnerabilità!$B:$B,vulnerabilità!$C:$C,"NON TROVATO")</f>
        <v>Protezione insufficiente delle apparecchiature da polvere, umidità, temperatura o altri agenti ambientali</v>
      </c>
    </row>
    <row r="62" spans="1:5">
      <c r="A62" s="131" t="s">
        <v>626</v>
      </c>
      <c r="B62" s="131" t="s">
        <v>607</v>
      </c>
      <c r="C62" s="114" t="str">
        <f t="array" ref="C62">IF(D62="","",_xlfn.IFS(LEFT(D62,3)="VSI","Siti",LEFT(D62,2)="VH","Hardware",LEFT(D62,2)="VS","Software",LEFT(D62,2)="VN","Rete",LEFT(D62,2)="VP","Personale",LEFT(D62,2)="VO","Organizzazione"))</f>
        <v>Hardware</v>
      </c>
      <c r="D62" s="131" t="s">
        <v>526</v>
      </c>
      <c r="E62" s="114" t="str">
        <f>_xlfn.XLOOKUP(D62,vulnerabilità!$B:$B,vulnerabilità!$C:$C,"NON TROVATO")</f>
        <v>Protezione insufficiente delle apparecchiature da polvere, umidità, temperatura o altri agenti ambientali</v>
      </c>
    </row>
    <row r="63" spans="1:5">
      <c r="A63" s="131" t="s">
        <v>626</v>
      </c>
      <c r="B63" s="131" t="s">
        <v>607</v>
      </c>
      <c r="C63" s="114" t="str">
        <f t="array" ref="C63">IF(D63="","",_xlfn.IFS(LEFT(D63,3)="VSI","Siti",LEFT(D63,2)="VH","Hardware",LEFT(D63,2)="VS","Software",LEFT(D63,2)="VN","Rete",LEFT(D63,2)="VP","Personale",LEFT(D63,2)="VO","Organizzazione"))</f>
        <v>Siti</v>
      </c>
      <c r="D63" s="131" t="s">
        <v>421</v>
      </c>
      <c r="E63" s="114" t="str">
        <f>_xlfn.XLOOKUP(D63,vulnerabilità!$B:$B,vulnerabilità!$C:$C,"NON TROVATO")</f>
        <v>Installazione delle apparecchiature in aree esposte a rischi ambientali non adeguatamente valutati</v>
      </c>
    </row>
    <row r="64" spans="1:5">
      <c r="A64" s="131" t="s">
        <v>626</v>
      </c>
      <c r="B64" s="131" t="s">
        <v>607</v>
      </c>
      <c r="C64" s="114" t="str">
        <f t="array" ref="C64">IF(D64="","",_xlfn.IFS(LEFT(D64,3)="VSI","Siti",LEFT(D64,2)="VH","Hardware",LEFT(D64,2)="VS","Software",LEFT(D64,2)="VN","Rete",LEFT(D64,2)="VP","Personale",LEFT(D64,2)="VO","Organizzazione"))</f>
        <v>Hardware</v>
      </c>
      <c r="D64" s="131" t="s">
        <v>530</v>
      </c>
      <c r="E64" s="114" t="str">
        <f>_xlfn.XLOOKUP(D64,vulnerabilità!$B:$B,vulnerabilità!$C:$C,"NON TROVATO")</f>
        <v>Manutenzione o sostituzione inadeguata di telecamere, dispositivi Edge e apparati di supporto</v>
      </c>
    </row>
    <row r="65" spans="1:5">
      <c r="A65" s="131" t="s">
        <v>626</v>
      </c>
      <c r="B65" s="131" t="s">
        <v>606</v>
      </c>
      <c r="C65" s="114" t="str">
        <f t="array" ref="C65">IF(D65="","",_xlfn.IFS(LEFT(D65,3)="VSI","Siti",LEFT(D65,2)="VH","Hardware",LEFT(D65,2)="VS","Software",LEFT(D65,2)="VN","Rete",LEFT(D65,2)="VP","Personale",LEFT(D65,2)="VO","Organizzazione"))</f>
        <v>Personale</v>
      </c>
      <c r="D65" s="131" t="s">
        <v>439</v>
      </c>
      <c r="E65" s="114" t="str">
        <f>_xlfn.XLOOKUP(D65,vulnerabilità!$B:$B,vulnerabilità!$C:$C,"NON TROVATO")</f>
        <v>Carenza di personale con competenze adeguate sul sistema, sulla sicurezza o sui modelli di IA</v>
      </c>
    </row>
    <row r="66" spans="1:5">
      <c r="A66" s="131" t="s">
        <v>626</v>
      </c>
      <c r="B66" s="131" t="s">
        <v>606</v>
      </c>
      <c r="C66" s="114" t="str">
        <f t="array" ref="C66">IF(D66="","",_xlfn.IFS(LEFT(D66,3)="VSI","Siti",LEFT(D66,2)="VH","Hardware",LEFT(D66,2)="VS","Software",LEFT(D66,2)="VN","Rete",LEFT(D66,2)="VP","Personale",LEFT(D66,2)="VO","Organizzazione"))</f>
        <v>Organizzazione</v>
      </c>
      <c r="D66" s="131" t="s">
        <v>393</v>
      </c>
      <c r="E66" s="114" t="str">
        <f>_xlfn.XLOOKUP(D66,vulnerabilità!$B:$B,vulnerabilità!$C:$C,"NON TROVATO")</f>
        <v>Piani di continuità operativa e ripristino non definiti, incompleti o non testati</v>
      </c>
    </row>
    <row r="67" spans="1:5">
      <c r="A67" s="131" t="s">
        <v>626</v>
      </c>
      <c r="B67" s="131" t="s">
        <v>606</v>
      </c>
      <c r="C67" s="114" t="str">
        <f t="array" ref="C67">IF(D67="","",_xlfn.IFS(LEFT(D67,3)="VSI","Siti",LEFT(D67,2)="VH","Hardware",LEFT(D67,2)="VS","Software",LEFT(D67,2)="VN","Rete",LEFT(D67,2)="VP","Personale",LEFT(D67,2)="VO","Organizzazione"))</f>
        <v>Siti</v>
      </c>
      <c r="D67" s="131" t="s">
        <v>411</v>
      </c>
      <c r="E67" s="114" t="str">
        <f>_xlfn.XLOOKUP(D67,vulnerabilità!$B:$B,vulnerabilità!$C:$C,"NON TROVATO")</f>
        <v>Piani di emergenza, ripristino o evacuazione non definiti o non testati</v>
      </c>
    </row>
    <row r="68" spans="1:5">
      <c r="A68" s="131" t="s">
        <v>605</v>
      </c>
      <c r="B68" s="131" t="s">
        <v>604</v>
      </c>
      <c r="C68" s="114" t="str">
        <f t="array" ref="C68">IF(D68="","",_xlfn.IFS(LEFT(D68,3)="VSI","Siti",LEFT(D68,2)="VH","Hardware",LEFT(D68,2)="VS","Software",LEFT(D68,2)="VN","Rete",LEFT(D68,2)="VP","Personale",LEFT(D68,2)="VO","Organizzazione"))</f>
        <v>Hardware</v>
      </c>
      <c r="D68" s="131" t="s">
        <v>524</v>
      </c>
      <c r="E68" s="114" t="str">
        <f>_xlfn.XLOOKUP(D68,vulnerabilità!$B:$B,vulnerabilità!$C:$C,"NON TROVATO")</f>
        <v>Sensibilità delle apparecchiature a variazioni di tensione, picchi di corrente o interruzioni dell’alimentazione</v>
      </c>
    </row>
    <row r="69" spans="1:5">
      <c r="A69" s="131" t="s">
        <v>605</v>
      </c>
      <c r="B69" s="131" t="s">
        <v>604</v>
      </c>
      <c r="C69" s="114" t="str">
        <f t="array" ref="C69">IF(D69="","",_xlfn.IFS(LEFT(D69,3)="VSI","Siti",LEFT(D69,2)="VH","Hardware",LEFT(D69,2)="VS","Software",LEFT(D69,2)="VN","Rete",LEFT(D69,2)="VP","Personale",LEFT(D69,2)="VO","Organizzazione"))</f>
        <v>Siti</v>
      </c>
      <c r="D69" s="131" t="s">
        <v>419</v>
      </c>
      <c r="E69" s="114" t="str">
        <f>_xlfn.XLOOKUP(D69,vulnerabilità!$B:$B,vulnerabilità!$C:$C,"NON TROVATO")</f>
        <v>Fornitura elettrica instabile o priva di adeguata continuità</v>
      </c>
    </row>
    <row r="70" spans="1:5">
      <c r="A70" s="131" t="s">
        <v>605</v>
      </c>
      <c r="B70" s="131" t="s">
        <v>604</v>
      </c>
      <c r="C70" s="114" t="str">
        <f t="array" ref="C70">IF(D70="","",_xlfn.IFS(LEFT(D70,3)="VSI","Siti",LEFT(D70,2)="VH","Hardware",LEFT(D70,2)="VS","Software",LEFT(D70,2)="VN","Rete",LEFT(D70,2)="VP","Personale",LEFT(D70,2)="VO","Organizzazione"))</f>
        <v>Organizzazione</v>
      </c>
      <c r="D70" s="131" t="s">
        <v>393</v>
      </c>
      <c r="E70" s="114" t="str">
        <f>_xlfn.XLOOKUP(D70,vulnerabilità!$B:$B,vulnerabilità!$C:$C,"NON TROVATO")</f>
        <v>Piani di continuità operativa e ripristino non definiti, incompleti o non testati</v>
      </c>
    </row>
    <row r="71" spans="1:5">
      <c r="A71" s="131" t="s">
        <v>605</v>
      </c>
      <c r="B71" s="131" t="s">
        <v>603</v>
      </c>
      <c r="C71" s="114" t="str">
        <f t="array" ref="C71">IF(D71="","",_xlfn.IFS(LEFT(D71,3)="VSI","Siti",LEFT(D71,2)="VH","Hardware",LEFT(D71,2)="VS","Software",LEFT(D71,2)="VN","Rete",LEFT(D71,2)="VP","Personale",LEFT(D71,2)="VO","Organizzazione"))</f>
        <v>Rete</v>
      </c>
      <c r="D71" s="131" t="s">
        <v>452</v>
      </c>
      <c r="E71" s="114" t="str">
        <f>_xlfn.XLOOKUP(D71,vulnerabilità!$B:$B,vulnerabilità!$C:$C,"NON TROVATO")</f>
        <v>Dipendenza da un unico apparato o collegamento di rete, senza alternative in caso di guasto</v>
      </c>
    </row>
    <row r="72" spans="1:5">
      <c r="A72" s="131" t="s">
        <v>605</v>
      </c>
      <c r="B72" s="131" t="s">
        <v>603</v>
      </c>
      <c r="C72" s="114" t="str">
        <f t="array" ref="C72">IF(D72="","",_xlfn.IFS(LEFT(D72,3)="VSI","Siti",LEFT(D72,2)="VH","Hardware",LEFT(D72,2)="VS","Software",LEFT(D72,2)="VN","Rete",LEFT(D72,2)="VP","Personale",LEFT(D72,2)="VO","Organizzazione"))</f>
        <v>Rete</v>
      </c>
      <c r="D72" s="131" t="s">
        <v>442</v>
      </c>
      <c r="E72" s="114" t="str">
        <f>_xlfn.XLOOKUP(D72,vulnerabilità!$B:$B,vulnerabilità!$C:$C,"NON TROVATO")</f>
        <v>Capacità, latenza o qualità del collegamento non monitorate rispetto ai requisiti operativi</v>
      </c>
    </row>
    <row r="73" spans="1:5">
      <c r="A73" s="131" t="s">
        <v>605</v>
      </c>
      <c r="B73" s="131" t="s">
        <v>603</v>
      </c>
      <c r="C73" s="114" t="str">
        <f t="array" ref="C73">IF(D73="","",_xlfn.IFS(LEFT(D73,3)="VSI","Siti",LEFT(D73,2)="VH","Hardware",LEFT(D73,2)="VS","Software",LEFT(D73,2)="VN","Rete",LEFT(D73,2)="VP","Personale",LEFT(D73,2)="VO","Organizzazione"))</f>
        <v>Organizzazione</v>
      </c>
      <c r="D73" s="131" t="s">
        <v>393</v>
      </c>
      <c r="E73" s="114" t="str">
        <f>_xlfn.XLOOKUP(D73,vulnerabilità!$B:$B,vulnerabilità!$C:$C,"NON TROVATO")</f>
        <v>Piani di continuità operativa e ripristino non definiti, incompleti o non testati</v>
      </c>
    </row>
    <row r="74" spans="1:5">
      <c r="A74" s="131" t="s">
        <v>605</v>
      </c>
      <c r="B74" s="131" t="s">
        <v>603</v>
      </c>
      <c r="C74" s="114" t="str">
        <f t="array" ref="C74">IF(D74="","",_xlfn.IFS(LEFT(D74,3)="VSI","Siti",LEFT(D74,2)="VH","Hardware",LEFT(D74,2)="VS","Software",LEFT(D74,2)="VN","Rete",LEFT(D74,2)="VP","Personale",LEFT(D74,2)="VO","Organizzazione"))</f>
        <v>Organizzazione</v>
      </c>
      <c r="D74" s="131" t="s">
        <v>400</v>
      </c>
      <c r="E74" s="114" t="str">
        <f>_xlfn.XLOOKUP(D74,vulnerabilità!$B:$B,vulnerabilità!$C:$C,"NON TROVATO")</f>
        <v>Manutenzione e supporto dei componenti critici non adeguatamente definiti</v>
      </c>
    </row>
    <row r="75" spans="1:5">
      <c r="A75" s="131" t="s">
        <v>605</v>
      </c>
      <c r="B75" s="131" t="s">
        <v>602</v>
      </c>
      <c r="C75" s="114" t="str">
        <f t="array" ref="C75">IF(D75="","",_xlfn.IFS(LEFT(D75,3)="VSI","Siti",LEFT(D75,2)="VH","Hardware",LEFT(D75,2)="VS","Software",LEFT(D75,2)="VN","Rete",LEFT(D75,2)="VP","Personale",LEFT(D75,2)="VO","Organizzazione"))</f>
        <v>Hardware</v>
      </c>
      <c r="D75" s="131" t="s">
        <v>530</v>
      </c>
      <c r="E75" s="114" t="str">
        <f>_xlfn.XLOOKUP(D75,vulnerabilità!$B:$B,vulnerabilità!$C:$C,"NON TROVATO")</f>
        <v>Manutenzione o sostituzione inadeguata di telecamere, dispositivi Edge e apparati di supporto</v>
      </c>
    </row>
    <row r="76" spans="1:5">
      <c r="A76" s="131" t="s">
        <v>605</v>
      </c>
      <c r="B76" s="131" t="s">
        <v>602</v>
      </c>
      <c r="C76" s="114" t="str">
        <f t="array" ref="C76">IF(D76="","",_xlfn.IFS(LEFT(D76,3)="VSI","Siti",LEFT(D76,2)="VH","Hardware",LEFT(D76,2)="VS","Software",LEFT(D76,2)="VN","Rete",LEFT(D76,2)="VP","Personale",LEFT(D76,2)="VO","Organizzazione"))</f>
        <v>Hardware</v>
      </c>
      <c r="D76" s="131" t="s">
        <v>528</v>
      </c>
      <c r="E76" s="114" t="str">
        <f>_xlfn.XLOOKUP(D76,vulnerabilità!$B:$B,vulnerabilità!$C:$C,"NON TROVATO")</f>
        <v>Installazione o configurazione fisica errata delle telecamere, dei dispositivi Edge o dei supporti di memorizzazione</v>
      </c>
    </row>
    <row r="77" spans="1:5">
      <c r="A77" s="131" t="s">
        <v>605</v>
      </c>
      <c r="B77" s="131" t="s">
        <v>602</v>
      </c>
      <c r="C77" s="114" t="str">
        <f t="array" ref="C77">IF(D77="","",_xlfn.IFS(LEFT(D77,3)="VSI","Siti",LEFT(D77,2)="VH","Hardware",LEFT(D77,2)="VS","Software",LEFT(D77,2)="VN","Rete",LEFT(D77,2)="VP","Personale",LEFT(D77,2)="VO","Organizzazione"))</f>
        <v>Hardware</v>
      </c>
      <c r="D77" s="131" t="s">
        <v>520</v>
      </c>
      <c r="E77" s="114" t="str">
        <f>_xlfn.XLOOKUP(D77,vulnerabilità!$B:$B,vulnerabilità!$C:$C,"NON TROVATO")</f>
        <v>Mancanza di componenti alternativi o sostitutivi in caso di guasto delle apparecchiature critiche</v>
      </c>
    </row>
    <row r="78" spans="1:5">
      <c r="A78" s="131" t="s">
        <v>605</v>
      </c>
      <c r="B78" s="131" t="s">
        <v>602</v>
      </c>
      <c r="C78" s="114" t="str">
        <f t="array" ref="C78">IF(D78="","",_xlfn.IFS(LEFT(D78,3)="VSI","Siti",LEFT(D78,2)="VH","Hardware",LEFT(D78,2)="VS","Software",LEFT(D78,2)="VN","Rete",LEFT(D78,2)="VP","Personale",LEFT(D78,2)="VO","Organizzazione"))</f>
        <v>Rete</v>
      </c>
      <c r="D78" s="131" t="s">
        <v>452</v>
      </c>
      <c r="E78" s="114" t="str">
        <f>_xlfn.XLOOKUP(D78,vulnerabilità!$B:$B,vulnerabilità!$C:$C,"NON TROVATO")</f>
        <v>Dipendenza da un unico apparato o collegamento di rete, senza alternative in caso di guasto</v>
      </c>
    </row>
    <row r="79" spans="1:5">
      <c r="A79" s="131" t="s">
        <v>605</v>
      </c>
      <c r="B79" s="131" t="s">
        <v>602</v>
      </c>
      <c r="C79" s="114" t="str">
        <f t="array" ref="C79">IF(D79="","",_xlfn.IFS(LEFT(D79,3)="VSI","Siti",LEFT(D79,2)="VH","Hardware",LEFT(D79,2)="VS","Software",LEFT(D79,2)="VN","Rete",LEFT(D79,2)="VP","Personale",LEFT(D79,2)="VO","Organizzazione"))</f>
        <v>Rete</v>
      </c>
      <c r="D79" s="131" t="s">
        <v>448</v>
      </c>
      <c r="E79" s="114" t="str">
        <f>_xlfn.XLOOKUP(D79,vulnerabilità!$B:$B,vulnerabilità!$C:$C,"NON TROVATO")</f>
        <v>Protezione insufficiente contro intercettazione, replay o sostituzione del flusso video</v>
      </c>
    </row>
    <row r="80" spans="1:5">
      <c r="A80" s="131" t="s">
        <v>605</v>
      </c>
      <c r="B80" s="131" t="s">
        <v>601</v>
      </c>
      <c r="C80" s="114" t="str">
        <f t="array" ref="C80">IF(D80="","",_xlfn.IFS(LEFT(D80,3)="VSI","Siti",LEFT(D80,2)="VH","Hardware",LEFT(D80,2)="VS","Software",LEFT(D80,2)="VN","Rete",LEFT(D80,2)="VP","Personale",LEFT(D80,2)="VO","Organizzazione"))</f>
        <v>Hardware</v>
      </c>
      <c r="D80" s="131" t="s">
        <v>530</v>
      </c>
      <c r="E80" s="114" t="str">
        <f>_xlfn.XLOOKUP(D80,vulnerabilità!$B:$B,vulnerabilità!$C:$C,"NON TROVATO")</f>
        <v>Manutenzione o sostituzione inadeguata di telecamere, dispositivi Edge e apparati di supporto</v>
      </c>
    </row>
    <row r="81" spans="1:5">
      <c r="A81" s="131" t="s">
        <v>605</v>
      </c>
      <c r="B81" s="131" t="s">
        <v>601</v>
      </c>
      <c r="C81" s="114" t="str">
        <f t="array" ref="C81">IF(D81="","",_xlfn.IFS(LEFT(D81,3)="VSI","Siti",LEFT(D81,2)="VH","Hardware",LEFT(D81,2)="VS","Software",LEFT(D81,2)="VN","Rete",LEFT(D81,2)="VP","Personale",LEFT(D81,2)="VO","Organizzazione"))</f>
        <v>Hardware</v>
      </c>
      <c r="D81" s="131" t="s">
        <v>522</v>
      </c>
      <c r="E81" s="114" t="str">
        <f>_xlfn.XLOOKUP(D81,vulnerabilità!$B:$B,vulnerabilità!$C:$C,"NON TROVATO")</f>
        <v>Risorse di elaborazione o memorizzazione insufficienti rispetto al carico operativo</v>
      </c>
    </row>
    <row r="82" spans="1:5">
      <c r="A82" s="131" t="s">
        <v>605</v>
      </c>
      <c r="B82" s="131" t="s">
        <v>601</v>
      </c>
      <c r="C82" s="114" t="str">
        <f t="array" ref="C82">IF(D82="","",_xlfn.IFS(LEFT(D82,3)="VSI","Siti",LEFT(D82,2)="VH","Hardware",LEFT(D82,2)="VS","Software",LEFT(D82,2)="VN","Rete",LEFT(D82,2)="VP","Personale",LEFT(D82,2)="VO","Organizzazione"))</f>
        <v>Hardware</v>
      </c>
      <c r="D82" s="131" t="s">
        <v>520</v>
      </c>
      <c r="E82" s="114" t="str">
        <f>_xlfn.XLOOKUP(D82,vulnerabilità!$B:$B,vulnerabilità!$C:$C,"NON TROVATO")</f>
        <v>Mancanza di componenti alternativi o sostitutivi in caso di guasto delle apparecchiature critiche</v>
      </c>
    </row>
    <row r="83" spans="1:5">
      <c r="A83" s="131" t="s">
        <v>605</v>
      </c>
      <c r="B83" s="131" t="s">
        <v>601</v>
      </c>
      <c r="C83" s="114" t="str">
        <f t="array" ref="C83">IF(D83="","",_xlfn.IFS(LEFT(D83,3)="VSI","Siti",LEFT(D83,2)="VH","Hardware",LEFT(D83,2)="VS","Software",LEFT(D83,2)="VN","Rete",LEFT(D83,2)="VP","Personale",LEFT(D83,2)="VO","Organizzazione"))</f>
        <v>Siti</v>
      </c>
      <c r="D83" s="131" t="s">
        <v>417</v>
      </c>
      <c r="E83" s="114" t="str">
        <f>_xlfn.XLOOKUP(D83,vulnerabilità!$B:$B,vulnerabilità!$C:$C,"NON TROVATO")</f>
        <v>Protezioni fisiche insufficienti per apparecchiature, armadi, porte o finestre</v>
      </c>
    </row>
    <row r="84" spans="1:5">
      <c r="A84" s="131" t="s">
        <v>605</v>
      </c>
      <c r="B84" s="131" t="s">
        <v>600</v>
      </c>
      <c r="C84" s="114" t="str">
        <f t="array" ref="C84">IF(D84="","",_xlfn.IFS(LEFT(D84,3)="VSI","Siti",LEFT(D84,2)="VH","Hardware",LEFT(D84,2)="VS","Software",LEFT(D84,2)="VN","Rete",LEFT(D84,2)="VP","Personale",LEFT(D84,2)="VO","Organizzazione"))</f>
        <v>Software</v>
      </c>
      <c r="D84" s="131" t="s">
        <v>507</v>
      </c>
      <c r="E84" s="114" t="str">
        <f>_xlfn.XLOOKUP(D84,vulnerabilità!$B:$B,vulnerabilità!$C:$C,"NON TROVATO")</f>
        <v>Vulnerabilità software note non risolte o gestione delle patch inefficace</v>
      </c>
    </row>
    <row r="85" spans="1:5">
      <c r="A85" s="131" t="s">
        <v>605</v>
      </c>
      <c r="B85" s="131" t="s">
        <v>600</v>
      </c>
      <c r="C85" s="114" t="str">
        <f t="array" ref="C85">IF(D85="","",_xlfn.IFS(LEFT(D85,3)="VSI","Siti",LEFT(D85,2)="VH","Hardware",LEFT(D85,2)="VS","Software",LEFT(D85,2)="VN","Rete",LEFT(D85,2)="VP","Personale",LEFT(D85,2)="VO","Organizzazione"))</f>
        <v>Software</v>
      </c>
      <c r="D85" s="131" t="s">
        <v>505</v>
      </c>
      <c r="E85" s="114" t="str">
        <f>_xlfn.XLOOKUP(D85,vulnerabilità!$B:$B,vulnerabilità!$C:$C,"NON TROVATO")</f>
        <v>Librerie, framework o dipendenze di terze parti obsolete o non verificate</v>
      </c>
    </row>
    <row r="86" spans="1:5">
      <c r="A86" s="131" t="s">
        <v>605</v>
      </c>
      <c r="B86" s="131" t="s">
        <v>600</v>
      </c>
      <c r="C86" s="114" t="str">
        <f t="array" ref="C86">IF(D86="","",_xlfn.IFS(LEFT(D86,3)="VSI","Siti",LEFT(D86,2)="VH","Hardware",LEFT(D86,2)="VS","Software",LEFT(D86,2)="VN","Rete",LEFT(D86,2)="VP","Personale",LEFT(D86,2)="VO","Organizzazione"))</f>
        <v>Software</v>
      </c>
      <c r="D86" s="131" t="s">
        <v>491</v>
      </c>
      <c r="E86" s="114" t="str">
        <f>_xlfn.XLOOKUP(D86,vulnerabilità!$B:$B,vulnerabilità!$C:$C,"NON TROVATO")</f>
        <v>Distribuzione, rilascio o aggiornamento del software non controllato</v>
      </c>
    </row>
    <row r="87" spans="1:5">
      <c r="A87" s="131" t="s">
        <v>605</v>
      </c>
      <c r="B87" s="131" t="s">
        <v>600</v>
      </c>
      <c r="C87" s="114" t="str">
        <f t="array" ref="C87">IF(D87="","",_xlfn.IFS(LEFT(D87,3)="VSI","Siti",LEFT(D87,2)="VH","Hardware",LEFT(D87,2)="VS","Software",LEFT(D87,2)="VN","Rete",LEFT(D87,2)="VP","Personale",LEFT(D87,2)="VO","Organizzazione"))</f>
        <v>Hardware</v>
      </c>
      <c r="D87" s="131" t="s">
        <v>518</v>
      </c>
      <c r="E87" s="114" t="str">
        <f>_xlfn.XLOOKUP(D87,vulnerabilità!$B:$B,vulnerabilità!$C:$C,"NON TROVATO")</f>
        <v xml:space="preserve">Controllo inefficace delle modifiche hardware </v>
      </c>
    </row>
    <row r="88" spans="1:5">
      <c r="A88" s="131" t="s">
        <v>605</v>
      </c>
      <c r="B88" s="131" t="s">
        <v>599</v>
      </c>
      <c r="C88" s="114" t="str">
        <f t="array" ref="C88">IF(D88="","",_xlfn.IFS(LEFT(D88,3)="VSI","Siti",LEFT(D88,2)="VH","Hardware",LEFT(D88,2)="VS","Software",LEFT(D88,2)="VN","Rete",LEFT(D88,2)="VP","Personale",LEFT(D88,2)="VO","Organizzazione"))</f>
        <v>Software</v>
      </c>
      <c r="D88" s="131" t="s">
        <v>509</v>
      </c>
      <c r="E88" s="114" t="str">
        <f>_xlfn.XLOOKUP(D88,vulnerabilità!$B:$B,vulnerabilità!$C:$C,"NON TROVATO")</f>
        <v>Test funzionali, di sicurezza o di robustezza assenti o insufficienti</v>
      </c>
    </row>
    <row r="89" spans="1:5">
      <c r="A89" s="131" t="s">
        <v>605</v>
      </c>
      <c r="B89" s="131" t="s">
        <v>599</v>
      </c>
      <c r="C89" s="114" t="str">
        <f t="array" ref="C89">IF(D89="","",_xlfn.IFS(LEFT(D89,3)="VSI","Siti",LEFT(D89,2)="VH","Hardware",LEFT(D89,2)="VS","Software",LEFT(D89,2)="VN","Rete",LEFT(D89,2)="VP","Personale",LEFT(D89,2)="VO","Organizzazione"))</f>
        <v>Software</v>
      </c>
      <c r="D89" s="131" t="s">
        <v>505</v>
      </c>
      <c r="E89" s="114" t="str">
        <f>_xlfn.XLOOKUP(D89,vulnerabilità!$B:$B,vulnerabilità!$C:$C,"NON TROVATO")</f>
        <v>Librerie, framework o dipendenze di terze parti obsolete o non verificate</v>
      </c>
    </row>
    <row r="90" spans="1:5">
      <c r="A90" s="131" t="s">
        <v>605</v>
      </c>
      <c r="B90" s="131" t="s">
        <v>599</v>
      </c>
      <c r="C90" s="114" t="str">
        <f t="array" ref="C90">IF(D90="","",_xlfn.IFS(LEFT(D90,3)="VSI","Siti",LEFT(D90,2)="VH","Hardware",LEFT(D90,2)="VS","Software",LEFT(D90,2)="VN","Rete",LEFT(D90,2)="VP","Personale",LEFT(D90,2)="VO","Organizzazione"))</f>
        <v>Software</v>
      </c>
      <c r="D90" s="131" t="s">
        <v>485</v>
      </c>
      <c r="E90" s="114" t="str">
        <f>_xlfn.XLOOKUP(D90,vulnerabilità!$B:$B,vulnerabilità!$C:$C,"NON TROVATO")</f>
        <v>Validazione insufficiente delle immagini, dei flussi video o degli altri dati in ingresso</v>
      </c>
    </row>
    <row r="91" spans="1:5">
      <c r="A91" s="131" t="s">
        <v>605</v>
      </c>
      <c r="B91" s="131" t="s">
        <v>599</v>
      </c>
      <c r="C91" s="114" t="str">
        <f t="array" ref="C91">IF(D91="","",_xlfn.IFS(LEFT(D91,3)="VSI","Siti",LEFT(D91,2)="VH","Hardware",LEFT(D91,2)="VS","Software",LEFT(D91,2)="VN","Rete",LEFT(D91,2)="VP","Personale",LEFT(D91,2)="VO","Organizzazione"))</f>
        <v>Software</v>
      </c>
      <c r="D91" s="131" t="s">
        <v>473</v>
      </c>
      <c r="E91" s="114" t="str">
        <f>_xlfn.XLOOKUP(D91,vulnerabilità!$B:$B,vulnerabilità!$C:$C,"NON TROVATO")</f>
        <v>Test del modello non estesi a dati fuori distribuzione, condizioni avverse o input manipolati</v>
      </c>
    </row>
    <row r="92" spans="1:5">
      <c r="A92" s="131" t="s">
        <v>605</v>
      </c>
      <c r="B92" s="131" t="s">
        <v>598</v>
      </c>
      <c r="C92" s="114" t="str">
        <f t="array" ref="C92">IF(D92="","",_xlfn.IFS(LEFT(D92,3)="VSI","Siti",LEFT(D92,2)="VH","Hardware",LEFT(D92,2)="VS","Software",LEFT(D92,2)="VN","Rete",LEFT(D92,2)="VP","Personale",LEFT(D92,2)="VO","Organizzazione"))</f>
        <v>Organizzazione</v>
      </c>
      <c r="D92" s="131" t="s">
        <v>400</v>
      </c>
      <c r="E92" s="114" t="str">
        <f>_xlfn.XLOOKUP(D92,vulnerabilità!$B:$B,vulnerabilità!$C:$C,"NON TROVATO")</f>
        <v>Manutenzione e supporto dei componenti critici non adeguatamente definiti</v>
      </c>
    </row>
    <row r="93" spans="1:5">
      <c r="A93" s="131" t="s">
        <v>605</v>
      </c>
      <c r="B93" s="131" t="s">
        <v>598</v>
      </c>
      <c r="C93" s="114" t="str">
        <f t="array" ref="C93">IF(D93="","",_xlfn.IFS(LEFT(D93,3)="VSI","Siti",LEFT(D93,2)="VH","Hardware",LEFT(D93,2)="VS","Software",LEFT(D93,2)="VN","Rete",LEFT(D93,2)="VP","Personale",LEFT(D93,2)="VO","Organizzazione"))</f>
        <v>Organizzazione</v>
      </c>
      <c r="D93" s="131" t="s">
        <v>393</v>
      </c>
      <c r="E93" s="114" t="str">
        <f>_xlfn.XLOOKUP(D93,vulnerabilità!$B:$B,vulnerabilità!$C:$C,"NON TROVATO")</f>
        <v>Piani di continuità operativa e ripristino non definiti, incompleti o non testati</v>
      </c>
    </row>
    <row r="94" spans="1:5">
      <c r="A94" s="131" t="s">
        <v>605</v>
      </c>
      <c r="B94" s="131" t="s">
        <v>598</v>
      </c>
      <c r="C94" s="114" t="str">
        <f t="array" ref="C94">IF(D94="","",_xlfn.IFS(LEFT(D94,3)="VSI","Siti",LEFT(D94,2)="VH","Hardware",LEFT(D94,2)="VS","Software",LEFT(D94,2)="VN","Rete",LEFT(D94,2)="VP","Personale",LEFT(D94,2)="VO","Organizzazione"))</f>
        <v>Hardware</v>
      </c>
      <c r="D94" s="131" t="s">
        <v>520</v>
      </c>
      <c r="E94" s="114" t="str">
        <f>_xlfn.XLOOKUP(D94,vulnerabilità!$B:$B,vulnerabilità!$C:$C,"NON TROVATO")</f>
        <v>Mancanza di componenti alternativi o sostitutivi in caso di guasto delle apparecchiature critiche</v>
      </c>
    </row>
    <row r="95" spans="1:5">
      <c r="A95" s="131" t="s">
        <v>605</v>
      </c>
      <c r="B95" s="131" t="s">
        <v>598</v>
      </c>
      <c r="C95" s="114" t="str">
        <f t="array" ref="C95">IF(D95="","",_xlfn.IFS(LEFT(D95,3)="VSI","Siti",LEFT(D95,2)="VH","Hardware",LEFT(D95,2)="VS","Software",LEFT(D95,2)="VN","Rete",LEFT(D95,2)="VP","Personale",LEFT(D95,2)="VO","Organizzazione"))</f>
        <v>Rete</v>
      </c>
      <c r="D95" s="131" t="s">
        <v>452</v>
      </c>
      <c r="E95" s="114" t="str">
        <f>_xlfn.XLOOKUP(D95,vulnerabilità!$B:$B,vulnerabilità!$C:$C,"NON TROVATO")</f>
        <v>Dipendenza da un unico apparato o collegamento di rete, senza alternative in caso di guasto</v>
      </c>
    </row>
    <row r="96" spans="1:5">
      <c r="A96" s="131" t="s">
        <v>605</v>
      </c>
      <c r="B96" s="131" t="s">
        <v>597</v>
      </c>
      <c r="C96" s="114" t="str">
        <f t="array" ref="C96">IF(D96="","",_xlfn.IFS(LEFT(D96,3)="VSI","Siti",LEFT(D96,2)="VH","Hardware",LEFT(D96,2)="VS","Software",LEFT(D96,2)="VN","Rete",LEFT(D96,2)="VP","Personale",LEFT(D96,2)="VO","Organizzazione"))</f>
        <v>Rete</v>
      </c>
      <c r="D96" s="131" t="s">
        <v>452</v>
      </c>
      <c r="E96" s="114" t="str">
        <f>_xlfn.XLOOKUP(D96,vulnerabilità!$B:$B,vulnerabilità!$C:$C,"NON TROVATO")</f>
        <v>Dipendenza da un unico apparato o collegamento di rete, senza alternative in caso di guasto</v>
      </c>
    </row>
    <row r="97" spans="1:5">
      <c r="A97" s="131" t="s">
        <v>605</v>
      </c>
      <c r="B97" s="131" t="s">
        <v>597</v>
      </c>
      <c r="C97" s="114" t="str">
        <f t="array" ref="C97">IF(D97="","",_xlfn.IFS(LEFT(D97,3)="VSI","Siti",LEFT(D97,2)="VH","Hardware",LEFT(D97,2)="VS","Software",LEFT(D97,2)="VN","Rete",LEFT(D97,2)="VP","Personale",LEFT(D97,2)="VO","Organizzazione"))</f>
        <v>Rete</v>
      </c>
      <c r="D97" s="131" t="s">
        <v>442</v>
      </c>
      <c r="E97" s="114" t="str">
        <f>_xlfn.XLOOKUP(D97,vulnerabilità!$B:$B,vulnerabilità!$C:$C,"NON TROVATO")</f>
        <v>Capacità, latenza o qualità del collegamento non monitorate rispetto ai requisiti operativi</v>
      </c>
    </row>
    <row r="98" spans="1:5">
      <c r="A98" s="131" t="s">
        <v>605</v>
      </c>
      <c r="B98" s="131" t="s">
        <v>597</v>
      </c>
      <c r="C98" s="114" t="str">
        <f t="array" ref="C98">IF(D98="","",_xlfn.IFS(LEFT(D98,3)="VSI","Siti",LEFT(D98,2)="VH","Hardware",LEFT(D98,2)="VS","Software",LEFT(D98,2)="VN","Rete",LEFT(D98,2)="VP","Personale",LEFT(D98,2)="VO","Organizzazione"))</f>
        <v>Organizzazione</v>
      </c>
      <c r="D98" s="131" t="s">
        <v>393</v>
      </c>
      <c r="E98" s="114" t="str">
        <f>_xlfn.XLOOKUP(D98,vulnerabilità!$B:$B,vulnerabilità!$C:$C,"NON TROVATO")</f>
        <v>Piani di continuità operativa e ripristino non definiti, incompleti o non testati</v>
      </c>
    </row>
    <row r="99" spans="1:5">
      <c r="A99" s="131" t="s">
        <v>605</v>
      </c>
      <c r="B99" s="131" t="s">
        <v>597</v>
      </c>
      <c r="C99" s="114" t="str">
        <f t="array" ref="C99">IF(D99="","",_xlfn.IFS(LEFT(D99,3)="VSI","Siti",LEFT(D99,2)="VH","Hardware",LEFT(D99,2)="VS","Software",LEFT(D99,2)="VN","Rete",LEFT(D99,2)="VP","Personale",LEFT(D99,2)="VO","Organizzazione"))</f>
        <v>Organizzazione</v>
      </c>
      <c r="D99" s="131" t="s">
        <v>400</v>
      </c>
      <c r="E99" s="114" t="str">
        <f>_xlfn.XLOOKUP(D99,vulnerabilità!$B:$B,vulnerabilità!$C:$C,"NON TROVATO")</f>
        <v>Manutenzione e supporto dei componenti critici non adeguatamente definiti</v>
      </c>
    </row>
    <row r="100" spans="1:5">
      <c r="A100" s="131" t="s">
        <v>605</v>
      </c>
      <c r="B100" s="131" t="s">
        <v>597</v>
      </c>
      <c r="C100" s="114" t="str">
        <f t="array" ref="C100">IF(D100="","",_xlfn.IFS(LEFT(D100,3)="VSI","Siti",LEFT(D100,2)="VH","Hardware",LEFT(D100,2)="VS","Software",LEFT(D100,2)="VN","Rete",LEFT(D100,2)="VP","Personale",LEFT(D100,2)="VO","Organizzazione"))</f>
        <v>Hardware</v>
      </c>
      <c r="D100" s="131" t="s">
        <v>522</v>
      </c>
      <c r="E100" s="114" t="str">
        <f>_xlfn.XLOOKUP(D100,vulnerabilità!$B:$B,vulnerabilità!$C:$C,"NON TROVATO")</f>
        <v>Risorse di elaborazione o memorizzazione insufficienti rispetto al carico operativo</v>
      </c>
    </row>
    <row r="101" spans="1:5">
      <c r="A101" s="131" t="s">
        <v>605</v>
      </c>
      <c r="B101" s="131" t="s">
        <v>596</v>
      </c>
      <c r="C101" s="114" t="str">
        <f t="array" ref="C101">IF(D101="","",_xlfn.IFS(LEFT(D101,3)="VSI","Siti",LEFT(D101,2)="VH","Hardware",LEFT(D101,2)="VS","Software",LEFT(D101,2)="VN","Rete",LEFT(D101,2)="VP","Personale",LEFT(D101,2)="VO","Organizzazione"))</f>
        <v>Software</v>
      </c>
      <c r="D101" s="131" t="s">
        <v>489</v>
      </c>
      <c r="E101" s="114" t="str">
        <f>_xlfn.XLOOKUP(D101,vulnerabilità!$B:$B,vulnerabilità!$C:$C,"NON TROVATO")</f>
        <v>Copie di backup di configurazioni, modelli o dati assenti, incomplete o non testate</v>
      </c>
    </row>
    <row r="102" spans="1:5">
      <c r="A102" s="131" t="s">
        <v>605</v>
      </c>
      <c r="B102" s="131" t="s">
        <v>596</v>
      </c>
      <c r="C102" s="114" t="str">
        <f t="array" ref="C102">IF(D102="","",_xlfn.IFS(LEFT(D102,3)="VSI","Siti",LEFT(D102,2)="VH","Hardware",LEFT(D102,2)="VS","Software",LEFT(D102,2)="VN","Rete",LEFT(D102,2)="VP","Personale",LEFT(D102,2)="VO","Organizzazione"))</f>
        <v>Organizzazione</v>
      </c>
      <c r="D102" s="131" t="s">
        <v>393</v>
      </c>
      <c r="E102" s="114" t="str">
        <f>_xlfn.XLOOKUP(D102,vulnerabilità!$B:$B,vulnerabilità!$C:$C,"NON TROVATO")</f>
        <v>Piani di continuità operativa e ripristino non definiti, incompleti o non testati</v>
      </c>
    </row>
    <row r="103" spans="1:5">
      <c r="A103" s="131" t="s">
        <v>605</v>
      </c>
      <c r="B103" s="131" t="s">
        <v>596</v>
      </c>
      <c r="C103" s="114" t="str">
        <f t="array" ref="C103">IF(D103="","",_xlfn.IFS(LEFT(D103,3)="VSI","Siti",LEFT(D103,2)="VH","Hardware",LEFT(D103,2)="VS","Software",LEFT(D103,2)="VN","Rete",LEFT(D103,2)="VP","Personale",LEFT(D103,2)="VO","Organizzazione"))</f>
        <v>Organizzazione</v>
      </c>
      <c r="D103" s="131" t="s">
        <v>386</v>
      </c>
      <c r="E103" s="114" t="str">
        <f>_xlfn.XLOOKUP(D103,vulnerabilità!$B:$B,vulnerabilità!$C:$C,"NON TROVATO")</f>
        <v>Tempi e modalità di conservazione o cancellazione di immagini e log non definiti</v>
      </c>
    </row>
    <row r="104" spans="1:5">
      <c r="A104" s="131" t="s">
        <v>594</v>
      </c>
      <c r="B104" s="131" t="s">
        <v>595</v>
      </c>
      <c r="C104" s="114" t="str">
        <f t="array" ref="C104">IF(D104="","",_xlfn.IFS(LEFT(D104,3)="VSI","Siti",LEFT(D104,2)="VH","Hardware",LEFT(D104,2)="VS","Software",LEFT(D104,2)="VN","Rete",LEFT(D104,2)="VP","Personale",LEFT(D104,2)="VO","Organizzazione"))</f>
        <v>Software</v>
      </c>
      <c r="D104" s="131" t="s">
        <v>501</v>
      </c>
      <c r="E104" s="114" t="str">
        <f>_xlfn.XLOOKUP(D104,vulnerabilità!$B:$B,vulnerabilità!$C:$C,"NON TROVATO")</f>
        <v>Meccanismi di autenticazione o identificazione utente insufficienti</v>
      </c>
    </row>
    <row r="105" spans="1:5">
      <c r="A105" s="131" t="s">
        <v>594</v>
      </c>
      <c r="B105" s="131" t="s">
        <v>595</v>
      </c>
      <c r="C105" s="114" t="str">
        <f t="array" ref="C105">IF(D105="","",_xlfn.IFS(LEFT(D105,3)="VSI","Siti",LEFT(D105,2)="VH","Hardware",LEFT(D105,2)="VS","Software",LEFT(D105,2)="VN","Rete",LEFT(D105,2)="VP","Personale",LEFT(D105,2)="VO","Organizzazione"))</f>
        <v>Software</v>
      </c>
      <c r="D105" s="131" t="s">
        <v>499</v>
      </c>
      <c r="E105" s="114" t="str">
        <f>_xlfn.XLOOKUP(D105,vulnerabilità!$B:$B,vulnerabilità!$C:$C,"NON TROVATO")</f>
        <v>Assegnazione errata dei privilegi e dei diritti di accesso</v>
      </c>
    </row>
    <row r="106" spans="1:5">
      <c r="A106" s="131" t="s">
        <v>594</v>
      </c>
      <c r="B106" s="131" t="s">
        <v>595</v>
      </c>
      <c r="C106" s="114" t="str">
        <f t="array" ref="C106">IF(D106="","",_xlfn.IFS(LEFT(D106,3)="VSI","Siti",LEFT(D106,2)="VH","Hardware",LEFT(D106,2)="VS","Software",LEFT(D106,2)="VN","Rete",LEFT(D106,2)="VP","Personale",LEFT(D106,2)="VO","Organizzazione"))</f>
        <v>Software</v>
      </c>
      <c r="D106" s="131" t="s">
        <v>497</v>
      </c>
      <c r="E106" s="114" t="str">
        <f>_xlfn.XLOOKUP(D106,vulnerabilità!$B:$B,vulnerabilità!$C:$C,"NON TROVATO")</f>
        <v>Credenziali, token o chiavi crittografiche archiviati in modo non sicuro</v>
      </c>
    </row>
    <row r="107" spans="1:5">
      <c r="A107" s="131" t="s">
        <v>594</v>
      </c>
      <c r="B107" s="131" t="s">
        <v>595</v>
      </c>
      <c r="C107" s="114" t="str">
        <f t="array" ref="C107">IF(D107="","",_xlfn.IFS(LEFT(D107,3)="VSI","Siti",LEFT(D107,2)="VH","Hardware",LEFT(D107,2)="VS","Software",LEFT(D107,2)="VN","Rete",LEFT(D107,2)="VP","Personale",LEFT(D107,2)="VO","Organizzazione"))</f>
        <v>Organizzazione</v>
      </c>
      <c r="D107" s="131" t="s">
        <v>406</v>
      </c>
      <c r="E107" s="114" t="str">
        <f>_xlfn.XLOOKUP(D107,vulnerabilità!$B:$B,vulnerabilità!$C:$C,"NON TROVATO")</f>
        <v>Procedure di abilitazione, modifica e revoca degli accessi non formalizzate o inefficaci</v>
      </c>
    </row>
    <row r="108" spans="1:5">
      <c r="A108" s="131" t="s">
        <v>594</v>
      </c>
      <c r="B108" s="131" t="s">
        <v>595</v>
      </c>
      <c r="C108" s="114" t="str">
        <f t="array" ref="C108">IF(D108="","",_xlfn.IFS(LEFT(D108,3)="VSI","Siti",LEFT(D108,2)="VH","Hardware",LEFT(D108,2)="VS","Software",LEFT(D108,2)="VN","Rete",LEFT(D108,2)="VP","Personale",LEFT(D108,2)="VO","Organizzazione"))</f>
        <v>Organizzazione</v>
      </c>
      <c r="D108" s="131" t="s">
        <v>404</v>
      </c>
      <c r="E108" s="114" t="str">
        <f>_xlfn.XLOOKUP(D108,vulnerabilità!$B:$B,vulnerabilità!$C:$C,"NON TROVATO")</f>
        <v>Revisione periodica dei privilegi e degli account tecnici assente o insufficiente</v>
      </c>
    </row>
    <row r="109" spans="1:5">
      <c r="A109" s="131" t="s">
        <v>594</v>
      </c>
      <c r="B109" s="131" t="s">
        <v>595</v>
      </c>
      <c r="C109" s="114" t="str">
        <f t="array" ref="C109">IF(D109="","",_xlfn.IFS(LEFT(D109,3)="VSI","Siti",LEFT(D109,2)="VH","Hardware",LEFT(D109,2)="VS","Software",LEFT(D109,2)="VN","Rete",LEFT(D109,2)="VP","Personale",LEFT(D109,2)="VO","Organizzazione"))</f>
        <v>Personale</v>
      </c>
      <c r="D109" s="131" t="s">
        <v>428</v>
      </c>
      <c r="E109" s="114" t="str">
        <f>_xlfn.XLOOKUP(D109,vulnerabilità!$B:$B,vulnerabilità!$C:$C,"NON TROVATO")</f>
        <v>Supervisione insufficiente di tecnici, consulenti o manutentori esterni</v>
      </c>
    </row>
    <row r="110" spans="1:5">
      <c r="A110" s="131" t="s">
        <v>594</v>
      </c>
      <c r="B110" s="131" t="s">
        <v>593</v>
      </c>
      <c r="C110" s="114" t="str">
        <f t="array" ref="C110">IF(D110="","",_xlfn.IFS(LEFT(D110,3)="VSI","Siti",LEFT(D110,2)="VH","Hardware",LEFT(D110,2)="VS","Software",LEFT(D110,2)="VN","Rete",LEFT(D110,2)="VP","Personale",LEFT(D110,2)="VO","Organizzazione"))</f>
        <v>Hardware</v>
      </c>
      <c r="D110" s="131" t="s">
        <v>530</v>
      </c>
      <c r="E110" s="114" t="str">
        <f>_xlfn.XLOOKUP(D110,vulnerabilità!$B:$B,vulnerabilità!$C:$C,"NON TROVATO")</f>
        <v>Manutenzione o sostituzione inadeguata di telecamere, dispositivi Edge e apparati di supporto</v>
      </c>
    </row>
    <row r="111" spans="1:5">
      <c r="A111" s="131" t="s">
        <v>594</v>
      </c>
      <c r="B111" s="131" t="s">
        <v>593</v>
      </c>
      <c r="C111" s="114" t="str">
        <f t="array" ref="C111">IF(D111="","",_xlfn.IFS(LEFT(D111,3)="VSI","Siti",LEFT(D111,2)="VH","Hardware",LEFT(D111,2)="VS","Software",LEFT(D111,2)="VN","Rete",LEFT(D111,2)="VP","Personale",LEFT(D111,2)="VO","Organizzazione"))</f>
        <v>Hardware</v>
      </c>
      <c r="D111" s="131" t="s">
        <v>522</v>
      </c>
      <c r="E111" s="114" t="str">
        <f>_xlfn.XLOOKUP(D111,vulnerabilità!$B:$B,vulnerabilità!$C:$C,"NON TROVATO")</f>
        <v>Risorse di elaborazione o memorizzazione insufficienti rispetto al carico operativo</v>
      </c>
    </row>
    <row r="112" spans="1:5">
      <c r="A112" s="131" t="s">
        <v>594</v>
      </c>
      <c r="B112" s="131" t="s">
        <v>593</v>
      </c>
      <c r="C112" s="114" t="str">
        <f t="array" ref="C112">IF(D112="","",_xlfn.IFS(LEFT(D112,3)="VSI","Siti",LEFT(D112,2)="VH","Hardware",LEFT(D112,2)="VS","Software",LEFT(D112,2)="VN","Rete",LEFT(D112,2)="VP","Personale",LEFT(D112,2)="VO","Organizzazione"))</f>
        <v>Hardware</v>
      </c>
      <c r="D112" s="131" t="s">
        <v>520</v>
      </c>
      <c r="E112" s="114" t="str">
        <f>_xlfn.XLOOKUP(D112,vulnerabilità!$B:$B,vulnerabilità!$C:$C,"NON TROVATO")</f>
        <v>Mancanza di componenti alternativi o sostitutivi in caso di guasto delle apparecchiature critiche</v>
      </c>
    </row>
    <row r="113" spans="1:5">
      <c r="A113" s="131" t="s">
        <v>594</v>
      </c>
      <c r="B113" s="131" t="s">
        <v>593</v>
      </c>
      <c r="C113" s="114" t="str">
        <f t="array" ref="C113">IF(D113="","",_xlfn.IFS(LEFT(D113,3)="VSI","Siti",LEFT(D113,2)="VH","Hardware",LEFT(D113,2)="VS","Software",LEFT(D113,2)="VN","Rete",LEFT(D113,2)="VP","Personale",LEFT(D113,2)="VO","Organizzazione"))</f>
        <v>Siti</v>
      </c>
      <c r="D113" s="131" t="s">
        <v>417</v>
      </c>
      <c r="E113" s="114" t="str">
        <f>_xlfn.XLOOKUP(D113,vulnerabilità!$B:$B,vulnerabilità!$C:$C,"NON TROVATO")</f>
        <v>Protezioni fisiche insufficienti per apparecchiature, armadi, porte o finestre</v>
      </c>
    </row>
    <row r="114" spans="1:5">
      <c r="A114" s="131" t="s">
        <v>594</v>
      </c>
      <c r="B114" s="131" t="s">
        <v>593</v>
      </c>
      <c r="C114" s="114" t="str">
        <f t="array" ref="C114">IF(D114="","",_xlfn.IFS(LEFT(D114,3)="VSI","Siti",LEFT(D114,2)="VH","Hardware",LEFT(D114,2)="VS","Software",LEFT(D114,2)="VN","Rete",LEFT(D114,2)="VP","Personale",LEFT(D114,2)="VO","Organizzazione"))</f>
        <v>Siti</v>
      </c>
      <c r="D114" s="131" t="s">
        <v>423</v>
      </c>
      <c r="E114" s="114" t="str">
        <f>_xlfn.XLOOKUP(D114,vulnerabilità!$B:$B,vulnerabilità!$C:$C,"NON TROVATO")</f>
        <v>Controlli di accesso fisico inadeguati nelle aree che ospitano telecamere, dispositivi Edge o apparati di rete</v>
      </c>
    </row>
    <row r="115" spans="1:5">
      <c r="A115" s="131" t="s">
        <v>594</v>
      </c>
      <c r="B115" s="131" t="s">
        <v>592</v>
      </c>
      <c r="C115" s="114" t="str">
        <f t="array" ref="C115">IF(D115="","",_xlfn.IFS(LEFT(D115,3)="VSI","Siti",LEFT(D115,2)="VH","Hardware",LEFT(D115,2)="VS","Software",LEFT(D115,2)="VN","Rete",LEFT(D115,2)="VP","Personale",LEFT(D115,2)="VO","Organizzazione"))</f>
        <v>Hardware</v>
      </c>
      <c r="D115" s="131" t="s">
        <v>530</v>
      </c>
      <c r="E115" s="114" t="str">
        <f>_xlfn.XLOOKUP(D115,vulnerabilità!$B:$B,vulnerabilità!$C:$C,"NON TROVATO")</f>
        <v>Manutenzione o sostituzione inadeguata di telecamere, dispositivi Edge e apparati di supporto</v>
      </c>
    </row>
    <row r="116" spans="1:5">
      <c r="A116" s="131" t="s">
        <v>594</v>
      </c>
      <c r="B116" s="131" t="s">
        <v>592</v>
      </c>
      <c r="C116" s="114" t="str">
        <f t="array" ref="C116">IF(D116="","",_xlfn.IFS(LEFT(D116,3)="VSI","Siti",LEFT(D116,2)="VH","Hardware",LEFT(D116,2)="VS","Software",LEFT(D116,2)="VN","Rete",LEFT(D116,2)="VP","Personale",LEFT(D116,2)="VO","Organizzazione"))</f>
        <v>Hardware</v>
      </c>
      <c r="D116" s="131" t="s">
        <v>522</v>
      </c>
      <c r="E116" s="114" t="str">
        <f>_xlfn.XLOOKUP(D116,vulnerabilità!$B:$B,vulnerabilità!$C:$C,"NON TROVATO")</f>
        <v>Risorse di elaborazione o memorizzazione insufficienti rispetto al carico operativo</v>
      </c>
    </row>
    <row r="117" spans="1:5">
      <c r="A117" s="131" t="s">
        <v>594</v>
      </c>
      <c r="B117" s="131" t="s">
        <v>592</v>
      </c>
      <c r="C117" s="114" t="str">
        <f t="array" ref="C117">IF(D117="","",_xlfn.IFS(LEFT(D117,3)="VSI","Siti",LEFT(D117,2)="VH","Hardware",LEFT(D117,2)="VS","Software",LEFT(D117,2)="VN","Rete",LEFT(D117,2)="VP","Personale",LEFT(D117,2)="VO","Organizzazione"))</f>
        <v>Hardware</v>
      </c>
      <c r="D117" s="131" t="s">
        <v>520</v>
      </c>
      <c r="E117" s="114" t="str">
        <f>_xlfn.XLOOKUP(D117,vulnerabilità!$B:$B,vulnerabilità!$C:$C,"NON TROVATO")</f>
        <v>Mancanza di componenti alternativi o sostitutivi in caso di guasto delle apparecchiature critiche</v>
      </c>
    </row>
    <row r="118" spans="1:5">
      <c r="A118" s="131" t="s">
        <v>594</v>
      </c>
      <c r="B118" s="131" t="s">
        <v>592</v>
      </c>
      <c r="C118" s="114" t="str">
        <f t="array" ref="C118">IF(D118="","",_xlfn.IFS(LEFT(D118,3)="VSI","Siti",LEFT(D118,2)="VH","Hardware",LEFT(D118,2)="VS","Software",LEFT(D118,2)="VN","Rete",LEFT(D118,2)="VP","Personale",LEFT(D118,2)="VO","Organizzazione"))</f>
        <v>Siti</v>
      </c>
      <c r="D118" s="131" t="s">
        <v>417</v>
      </c>
      <c r="E118" s="114" t="str">
        <f>_xlfn.XLOOKUP(D118,vulnerabilità!$B:$B,vulnerabilità!$C:$C,"NON TROVATO")</f>
        <v>Protezioni fisiche insufficienti per apparecchiature, armadi, porte o finestre</v>
      </c>
    </row>
    <row r="119" spans="1:5">
      <c r="A119" s="131" t="s">
        <v>594</v>
      </c>
      <c r="B119" s="131" t="s">
        <v>592</v>
      </c>
      <c r="C119" s="114" t="str">
        <f t="array" ref="C119">IF(D119="","",_xlfn.IFS(LEFT(D119,3)="VSI","Siti",LEFT(D119,2)="VH","Hardware",LEFT(D119,2)="VS","Software",LEFT(D119,2)="VN","Rete",LEFT(D119,2)="VP","Personale",LEFT(D119,2)="VO","Organizzazione"))</f>
        <v>Siti</v>
      </c>
      <c r="D119" s="131" t="s">
        <v>423</v>
      </c>
      <c r="E119" s="114" t="str">
        <f>_xlfn.XLOOKUP(D119,vulnerabilità!$B:$B,vulnerabilità!$C:$C,"NON TROVATO")</f>
        <v>Controlli di accesso fisico inadeguati nelle aree che ospitano telecamere, dispositivi Edge o apparati di rete</v>
      </c>
    </row>
    <row r="120" spans="1:5">
      <c r="A120" s="131" t="s">
        <v>594</v>
      </c>
      <c r="B120" s="131" t="s">
        <v>592</v>
      </c>
      <c r="C120" s="114" t="str">
        <f t="array" ref="C120">IF(D120="","",_xlfn.IFS(LEFT(D120,3)="VSI","Siti",LEFT(D120,2)="VH","Hardware",LEFT(D120,2)="VS","Software",LEFT(D120,2)="VN","Rete",LEFT(D120,2)="VP","Personale",LEFT(D120,2)="VO","Organizzazione"))</f>
        <v>Hardware</v>
      </c>
      <c r="D120" s="131" t="s">
        <v>514</v>
      </c>
      <c r="E120" s="114" t="str">
        <f>_xlfn.XLOOKUP(D120,vulnerabilità!$B:$B,vulnerabilità!$C:$C,"NON TROVATO")</f>
        <v>Uso di dispositivi rimovibili non autorizzati o non tracciati</v>
      </c>
    </row>
    <row r="121" spans="1:5">
      <c r="A121" s="131" t="s">
        <v>594</v>
      </c>
      <c r="B121" s="131" t="s">
        <v>591</v>
      </c>
      <c r="C121" s="114" t="str">
        <f t="array" ref="C121">IF(D121="","",_xlfn.IFS(LEFT(D121,3)="VSI","Siti",LEFT(D121,2)="VH","Hardware",LEFT(D121,2)="VS","Software",LEFT(D121,2)="VN","Rete",LEFT(D121,2)="VP","Personale",LEFT(D121,2)="VO","Organizzazione"))</f>
        <v>Software</v>
      </c>
      <c r="D121" s="131" t="s">
        <v>463</v>
      </c>
      <c r="E121" s="114" t="str">
        <f>_xlfn.XLOOKUP(D121,vulnerabilità!$B:$B,vulnerabilità!$C:$C,"NON TROVATO")</f>
        <v>Integrità, autenticità o versionamento dei pesi del modello non adeguatamente protetti</v>
      </c>
    </row>
    <row r="122" spans="1:5">
      <c r="A122" s="131" t="s">
        <v>594</v>
      </c>
      <c r="B122" s="131" t="s">
        <v>591</v>
      </c>
      <c r="C122" s="114" t="str">
        <f t="array" ref="C122">IF(D122="","",_xlfn.IFS(LEFT(D122,3)="VSI","Siti",LEFT(D122,2)="VH","Hardware",LEFT(D122,2)="VS","Software",LEFT(D122,2)="VN","Rete",LEFT(D122,2)="VP","Personale",LEFT(D122,2)="VO","Organizzazione"))</f>
        <v>Organizzazione</v>
      </c>
      <c r="D122" s="131" t="s">
        <v>395</v>
      </c>
      <c r="E122" s="114" t="str">
        <f>_xlfn.XLOOKUP(D122,vulnerabilità!$B:$B,vulnerabilità!$C:$C,"NON TROVATO")</f>
        <v>Change management non formalizzato per software, modelli, dataset, soglie e configurazioni</v>
      </c>
    </row>
    <row r="123" spans="1:5">
      <c r="A123" s="131" t="s">
        <v>594</v>
      </c>
      <c r="B123" s="131" t="s">
        <v>591</v>
      </c>
      <c r="C123" s="114" t="str">
        <f t="array" ref="C123">IF(D123="","",_xlfn.IFS(LEFT(D123,3)="VSI","Siti",LEFT(D123,2)="VH","Hardware",LEFT(D123,2)="VS","Software",LEFT(D123,2)="VN","Rete",LEFT(D123,2)="VP","Personale",LEFT(D123,2)="VO","Organizzazione"))</f>
        <v>Software</v>
      </c>
      <c r="D123" s="131" t="s">
        <v>491</v>
      </c>
      <c r="E123" s="114" t="str">
        <f>_xlfn.XLOOKUP(D123,vulnerabilità!$B:$B,vulnerabilità!$C:$C,"NON TROVATO")</f>
        <v>Distribuzione, rilascio o aggiornamento del software non controllato</v>
      </c>
    </row>
    <row r="124" spans="1:5">
      <c r="A124" s="131" t="s">
        <v>594</v>
      </c>
      <c r="B124" s="131" t="s">
        <v>591</v>
      </c>
      <c r="C124" s="114" t="str">
        <f t="array" ref="C124">IF(D124="","",_xlfn.IFS(LEFT(D124,3)="VSI","Siti",LEFT(D124,2)="VH","Hardware",LEFT(D124,2)="VS","Software",LEFT(D124,2)="VN","Rete",LEFT(D124,2)="VP","Personale",LEFT(D124,2)="VO","Organizzazione"))</f>
        <v>Software</v>
      </c>
      <c r="D124" s="131" t="s">
        <v>493</v>
      </c>
      <c r="E124" s="114" t="str">
        <f>_xlfn.XLOOKUP(D124,vulnerabilità!$B:$B,vulnerabilità!$C:$C,"NON TROVATO")</f>
        <v>Configurazione insufficiente dei log o audit trail incompleti</v>
      </c>
    </row>
    <row r="125" spans="1:5">
      <c r="A125" s="131" t="s">
        <v>594</v>
      </c>
      <c r="B125" s="131" t="s">
        <v>591</v>
      </c>
      <c r="C125" s="114" t="str">
        <f t="array" ref="C125">IF(D125="","",_xlfn.IFS(LEFT(D125,3)="VSI","Siti",LEFT(D125,2)="VH","Hardware",LEFT(D125,2)="VS","Software",LEFT(D125,2)="VN","Rete",LEFT(D125,2)="VP","Personale",LEFT(D125,2)="VO","Organizzazione"))</f>
        <v>Software</v>
      </c>
      <c r="D125" s="131" t="s">
        <v>489</v>
      </c>
      <c r="E125" s="114" t="str">
        <f>_xlfn.XLOOKUP(D125,vulnerabilità!$B:$B,vulnerabilità!$C:$C,"NON TROVATO")</f>
        <v>Copie di backup di configurazioni, modelli o dati assenti, incomplete o non testate</v>
      </c>
    </row>
    <row r="126" spans="1:5">
      <c r="A126" s="131" t="s">
        <v>594</v>
      </c>
      <c r="B126" s="131" t="s">
        <v>590</v>
      </c>
      <c r="C126" s="114" t="str">
        <f t="array" ref="C126">IF(D126="","",_xlfn.IFS(LEFT(D126,3)="VSI","Siti",LEFT(D126,2)="VH","Hardware",LEFT(D126,2)="VS","Software",LEFT(D126,2)="VN","Rete",LEFT(D126,2)="VP","Personale",LEFT(D126,2)="VO","Organizzazione"))</f>
        <v>Siti</v>
      </c>
      <c r="D126" s="131" t="s">
        <v>417</v>
      </c>
      <c r="E126" s="114" t="str">
        <f>_xlfn.XLOOKUP(D126,vulnerabilità!$B:$B,vulnerabilità!$C:$C,"NON TROVATO")</f>
        <v>Protezioni fisiche insufficienti per apparecchiature, armadi, porte o finestre</v>
      </c>
    </row>
    <row r="127" spans="1:5">
      <c r="A127" s="131" t="s">
        <v>594</v>
      </c>
      <c r="B127" s="131" t="s">
        <v>590</v>
      </c>
      <c r="C127" s="114" t="str">
        <f t="array" ref="C127">IF(D127="","",_xlfn.IFS(LEFT(D127,3)="VSI","Siti",LEFT(D127,2)="VH","Hardware",LEFT(D127,2)="VS","Software",LEFT(D127,2)="VN","Rete",LEFT(D127,2)="VP","Personale",LEFT(D127,2)="VO","Organizzazione"))</f>
        <v>Siti</v>
      </c>
      <c r="D127" s="131" t="s">
        <v>413</v>
      </c>
      <c r="E127" s="114" t="str">
        <f>_xlfn.XLOOKUP(D127,vulnerabilità!$B:$B,vulnerabilità!$C:$C,"NON TROVATO")</f>
        <v>Accesso non controllato a locali tecnici o punti di installazione delle apparecchiature</v>
      </c>
    </row>
    <row r="128" spans="1:5">
      <c r="A128" s="131" t="s">
        <v>594</v>
      </c>
      <c r="B128" s="131" t="s">
        <v>590</v>
      </c>
      <c r="C128" s="114" t="str">
        <f t="array" ref="C128">IF(D128="","",_xlfn.IFS(LEFT(D128,3)="VSI","Siti",LEFT(D128,2)="VH","Hardware",LEFT(D128,2)="VS","Software",LEFT(D128,2)="VN","Rete",LEFT(D128,2)="VP","Personale",LEFT(D128,2)="VO","Organizzazione"))</f>
        <v>Hardware</v>
      </c>
      <c r="D128" s="131" t="s">
        <v>530</v>
      </c>
      <c r="E128" s="114" t="str">
        <f>_xlfn.XLOOKUP(D128,vulnerabilità!$B:$B,vulnerabilità!$C:$C,"NON TROVATO")</f>
        <v>Manutenzione o sostituzione inadeguata di telecamere, dispositivi Edge e apparati di supporto</v>
      </c>
    </row>
    <row r="129" spans="1:5">
      <c r="A129" s="131" t="s">
        <v>594</v>
      </c>
      <c r="B129" s="131" t="s">
        <v>589</v>
      </c>
      <c r="C129" s="114" t="str">
        <f t="array" ref="C129">IF(D129="","",_xlfn.IFS(LEFT(D129,3)="VSI","Siti",LEFT(D129,2)="VH","Hardware",LEFT(D129,2)="VS","Software",LEFT(D129,2)="VN","Rete",LEFT(D129,2)="VP","Personale",LEFT(D129,2)="VO","Organizzazione"))</f>
        <v>Organizzazione</v>
      </c>
      <c r="D129" s="131" t="s">
        <v>386</v>
      </c>
      <c r="E129" s="114" t="str">
        <f>_xlfn.XLOOKUP(D129,vulnerabilità!$B:$B,vulnerabilità!$C:$C,"NON TROVATO")</f>
        <v>Tempi e modalità di conservazione o cancellazione di immagini e log non definiti</v>
      </c>
    </row>
    <row r="130" spans="1:5">
      <c r="A130" s="131" t="s">
        <v>594</v>
      </c>
      <c r="B130" s="131" t="s">
        <v>589</v>
      </c>
      <c r="C130" s="114" t="str">
        <f t="array" ref="C130">IF(D130="","",_xlfn.IFS(LEFT(D130,3)="VSI","Siti",LEFT(D130,2)="VH","Hardware",LEFT(D130,2)="VS","Software",LEFT(D130,2)="VN","Rete",LEFT(D130,2)="VP","Personale",LEFT(D130,2)="VO","Organizzazione"))</f>
        <v>Organizzazione</v>
      </c>
      <c r="D130" s="131" t="s">
        <v>384</v>
      </c>
      <c r="E130" s="114" t="str">
        <f>_xlfn.XLOOKUP(D130,vulnerabilità!$B:$B,vulnerabilità!$C:$C,"NON TROVATO")</f>
        <v>Finalità di utilizzo e regole di accesso alle immagini e alle segnalazioni non adeguatamente definite</v>
      </c>
    </row>
    <row r="131" spans="1:5">
      <c r="A131" s="131" t="s">
        <v>594</v>
      </c>
      <c r="B131" s="131" t="s">
        <v>589</v>
      </c>
      <c r="C131" s="114" t="str">
        <f t="array" ref="C131">IF(D131="","",_xlfn.IFS(LEFT(D131,3)="VSI","Siti",LEFT(D131,2)="VH","Hardware",LEFT(D131,2)="VS","Software",LEFT(D131,2)="VN","Rete",LEFT(D131,2)="VP","Personale",LEFT(D131,2)="VO","Organizzazione"))</f>
        <v>Hardware</v>
      </c>
      <c r="D131" s="131" t="s">
        <v>516</v>
      </c>
      <c r="E131" s="114" t="str">
        <f>_xlfn.XLOOKUP(D131,vulnerabilità!$B:$B,vulnerabilità!$C:$C,"NON TROVATO")</f>
        <v>Memorizzazione locale non cifrata o non adeguatamente protetta</v>
      </c>
    </row>
    <row r="132" spans="1:5">
      <c r="A132" s="131" t="s">
        <v>594</v>
      </c>
      <c r="B132" s="131" t="s">
        <v>589</v>
      </c>
      <c r="C132" s="114" t="str">
        <f t="array" ref="C132">IF(D132="","",_xlfn.IFS(LEFT(D132,3)="VSI","Siti",LEFT(D132,2)="VH","Hardware",LEFT(D132,2)="VS","Software",LEFT(D132,2)="VN","Rete",LEFT(D132,2)="VP","Personale",LEFT(D132,2)="VO","Organizzazione"))</f>
        <v>Hardware</v>
      </c>
      <c r="D132" s="131" t="s">
        <v>512</v>
      </c>
      <c r="E132" s="114" t="str">
        <f>_xlfn.XLOOKUP(D132,vulnerabilità!$B:$B,vulnerabilità!$C:$C,"NON TROVATO")</f>
        <v>Smaltimento o riutilizzo non sicuro di dispositivi e supporti</v>
      </c>
    </row>
    <row r="133" spans="1:5">
      <c r="A133" s="131" t="s">
        <v>594</v>
      </c>
      <c r="B133" s="131" t="s">
        <v>589</v>
      </c>
      <c r="C133" s="114" t="str">
        <f t="array" ref="C133">IF(D133="","",_xlfn.IFS(LEFT(D133,3)="VSI","Siti",LEFT(D133,2)="VH","Hardware",LEFT(D133,2)="VS","Software",LEFT(D133,2)="VN","Rete",LEFT(D133,2)="VP","Personale",LEFT(D133,2)="VO","Organizzazione"))</f>
        <v>Software</v>
      </c>
      <c r="D133" s="131" t="s">
        <v>493</v>
      </c>
      <c r="E133" s="114" t="str">
        <f>_xlfn.XLOOKUP(D133,vulnerabilità!$B:$B,vulnerabilità!$C:$C,"NON TROVATO")</f>
        <v>Configurazione insufficiente dei log o audit trail incompleti</v>
      </c>
    </row>
    <row r="134" spans="1:5">
      <c r="A134" s="131" t="s">
        <v>594</v>
      </c>
      <c r="B134" s="131" t="s">
        <v>588</v>
      </c>
      <c r="C134" s="114" t="str">
        <f t="array" ref="C134">IF(D134="","",_xlfn.IFS(LEFT(D134,3)="VSI","Siti",LEFT(D134,2)="VH","Hardware",LEFT(D134,2)="VS","Software",LEFT(D134,2)="VN","Rete",LEFT(D134,2)="VP","Personale",LEFT(D134,2)="VO","Organizzazione"))</f>
        <v>Software</v>
      </c>
      <c r="D134" s="131" t="s">
        <v>501</v>
      </c>
      <c r="E134" s="114" t="str">
        <f>_xlfn.XLOOKUP(D134,vulnerabilità!$B:$B,vulnerabilità!$C:$C,"NON TROVATO")</f>
        <v>Meccanismi di autenticazione o identificazione utente insufficienti</v>
      </c>
    </row>
    <row r="135" spans="1:5">
      <c r="A135" s="131" t="s">
        <v>594</v>
      </c>
      <c r="B135" s="131" t="s">
        <v>588</v>
      </c>
      <c r="C135" s="114" t="str">
        <f t="array" ref="C135">IF(D135="","",_xlfn.IFS(LEFT(D135,3)="VSI","Siti",LEFT(D135,2)="VH","Hardware",LEFT(D135,2)="VS","Software",LEFT(D135,2)="VN","Rete",LEFT(D135,2)="VP","Personale",LEFT(D135,2)="VO","Organizzazione"))</f>
        <v>Software</v>
      </c>
      <c r="D135" s="131" t="s">
        <v>499</v>
      </c>
      <c r="E135" s="114" t="str">
        <f>_xlfn.XLOOKUP(D135,vulnerabilità!$B:$B,vulnerabilità!$C:$C,"NON TROVATO")</f>
        <v>Assegnazione errata dei privilegi e dei diritti di accesso</v>
      </c>
    </row>
    <row r="136" spans="1:5">
      <c r="A136" s="131" t="s">
        <v>594</v>
      </c>
      <c r="B136" s="131" t="s">
        <v>588</v>
      </c>
      <c r="C136" s="114" t="str">
        <f t="array" ref="C136">IF(D136="","",_xlfn.IFS(LEFT(D136,3)="VSI","Siti",LEFT(D136,2)="VH","Hardware",LEFT(D136,2)="VS","Software",LEFT(D136,2)="VN","Rete",LEFT(D136,2)="VP","Personale",LEFT(D136,2)="VO","Organizzazione"))</f>
        <v>Software</v>
      </c>
      <c r="D136" s="131" t="s">
        <v>497</v>
      </c>
      <c r="E136" s="114" t="str">
        <f>_xlfn.XLOOKUP(D136,vulnerabilità!$B:$B,vulnerabilità!$C:$C,"NON TROVATO")</f>
        <v>Credenziali, token o chiavi crittografiche archiviati in modo non sicuro</v>
      </c>
    </row>
    <row r="137" spans="1:5">
      <c r="A137" s="131" t="s">
        <v>594</v>
      </c>
      <c r="B137" s="131" t="s">
        <v>588</v>
      </c>
      <c r="C137" s="114" t="str">
        <f t="array" ref="C137">IF(D137="","",_xlfn.IFS(LEFT(D137,3)="VSI","Siti",LEFT(D137,2)="VH","Hardware",LEFT(D137,2)="VS","Software",LEFT(D137,2)="VN","Rete",LEFT(D137,2)="VP","Personale",LEFT(D137,2)="VO","Organizzazione"))</f>
        <v>Organizzazione</v>
      </c>
      <c r="D137" s="131" t="s">
        <v>406</v>
      </c>
      <c r="E137" s="114" t="str">
        <f>_xlfn.XLOOKUP(D137,vulnerabilità!$B:$B,vulnerabilità!$C:$C,"NON TROVATO")</f>
        <v>Procedure di abilitazione, modifica e revoca degli accessi non formalizzate o inefficaci</v>
      </c>
    </row>
    <row r="138" spans="1:5">
      <c r="A138" s="131" t="s">
        <v>594</v>
      </c>
      <c r="B138" s="131" t="s">
        <v>588</v>
      </c>
      <c r="C138" s="114" t="str">
        <f t="array" ref="C138">IF(D138="","",_xlfn.IFS(LEFT(D138,3)="VSI","Siti",LEFT(D138,2)="VH","Hardware",LEFT(D138,2)="VS","Software",LEFT(D138,2)="VN","Rete",LEFT(D138,2)="VP","Personale",LEFT(D138,2)="VO","Organizzazione"))</f>
        <v>Organizzazione</v>
      </c>
      <c r="D138" s="131" t="s">
        <v>404</v>
      </c>
      <c r="E138" s="114" t="str">
        <f>_xlfn.XLOOKUP(D138,vulnerabilità!$B:$B,vulnerabilità!$C:$C,"NON TROVATO")</f>
        <v>Revisione periodica dei privilegi e degli account tecnici assente o insufficiente</v>
      </c>
    </row>
    <row r="139" spans="1:5">
      <c r="A139" s="131" t="s">
        <v>583</v>
      </c>
      <c r="B139" s="131" t="s">
        <v>587</v>
      </c>
      <c r="C139" s="114" t="str">
        <f t="array" ref="C139">IF(D139="","",_xlfn.IFS(LEFT(D139,3)="VSI","Siti",LEFT(D139,2)="VH","Hardware",LEFT(D139,2)="VS","Software",LEFT(D139,2)="VN","Rete",LEFT(D139,2)="VP","Personale",LEFT(D139,2)="VO","Organizzazione"))</f>
        <v>Software</v>
      </c>
      <c r="D139" s="131" t="s">
        <v>507</v>
      </c>
      <c r="E139" s="114" t="str">
        <f>_xlfn.XLOOKUP(D139,vulnerabilità!$B:$B,vulnerabilità!$C:$C,"NON TROVATO")</f>
        <v>Vulnerabilità software note non risolte o gestione delle patch inefficace</v>
      </c>
    </row>
    <row r="140" spans="1:5">
      <c r="A140" s="131" t="s">
        <v>583</v>
      </c>
      <c r="B140" s="131" t="s">
        <v>587</v>
      </c>
      <c r="C140" s="114" t="str">
        <f t="array" ref="C140">IF(D140="","",_xlfn.IFS(LEFT(D140,3)="VSI","Siti",LEFT(D140,2)="VH","Hardware",LEFT(D140,2)="VS","Software",LEFT(D140,2)="VN","Rete",LEFT(D140,2)="VP","Personale",LEFT(D140,2)="VO","Organizzazione"))</f>
        <v>Software</v>
      </c>
      <c r="D140" s="131" t="s">
        <v>505</v>
      </c>
      <c r="E140" s="114" t="str">
        <f>_xlfn.XLOOKUP(D140,vulnerabilità!$B:$B,vulnerabilità!$C:$C,"NON TROVATO")</f>
        <v>Librerie, framework o dipendenze di terze parti obsolete o non verificate</v>
      </c>
    </row>
    <row r="141" spans="1:5">
      <c r="A141" s="131" t="s">
        <v>583</v>
      </c>
      <c r="B141" s="131" t="s">
        <v>587</v>
      </c>
      <c r="C141" s="114" t="str">
        <f t="array" ref="C141">IF(D141="","",_xlfn.IFS(LEFT(D141,3)="VSI","Siti",LEFT(D141,2)="VH","Hardware",LEFT(D141,2)="VS","Software",LEFT(D141,2)="VN","Rete",LEFT(D141,2)="VP","Personale",LEFT(D141,2)="VO","Organizzazione"))</f>
        <v>Software</v>
      </c>
      <c r="D141" s="131" t="s">
        <v>503</v>
      </c>
      <c r="E141" s="114" t="str">
        <f>_xlfn.XLOOKUP(D141,vulnerabilità!$B:$B,vulnerabilità!$C:$C,"NON TROVATO")</f>
        <v>Configurazioni di sicurezza insufficienti o presenza di servizi e funzionalità non necessari.</v>
      </c>
    </row>
    <row r="142" spans="1:5">
      <c r="A142" s="131" t="s">
        <v>583</v>
      </c>
      <c r="B142" s="131" t="s">
        <v>587</v>
      </c>
      <c r="C142" s="114" t="str">
        <f t="array" ref="C142">IF(D142="","",_xlfn.IFS(LEFT(D142,3)="VSI","Siti",LEFT(D142,2)="VH","Hardware",LEFT(D142,2)="VS","Software",LEFT(D142,2)="VN","Rete",LEFT(D142,2)="VP","Personale",LEFT(D142,2)="VO","Organizzazione"))</f>
        <v>Software</v>
      </c>
      <c r="D142" s="131" t="s">
        <v>495</v>
      </c>
      <c r="E142" s="114" t="str">
        <f>_xlfn.XLOOKUP(D142,vulnerabilità!$B:$B,vulnerabilità!$C:$C,"NON TROVATO")</f>
        <v>Servizi, interfacce o porte non necessari abilitati</v>
      </c>
    </row>
    <row r="143" spans="1:5">
      <c r="A143" s="131" t="s">
        <v>583</v>
      </c>
      <c r="B143" s="131" t="s">
        <v>587</v>
      </c>
      <c r="C143" s="114" t="str">
        <f t="array" ref="C143">IF(D143="","",_xlfn.IFS(LEFT(D143,3)="VSI","Siti",LEFT(D143,2)="VH","Hardware",LEFT(D143,2)="VS","Software",LEFT(D143,2)="VN","Rete",LEFT(D143,2)="VP","Personale",LEFT(D143,2)="VO","Organizzazione"))</f>
        <v>Rete</v>
      </c>
      <c r="D143" s="131" t="s">
        <v>450</v>
      </c>
      <c r="E143" s="114" t="str">
        <f>_xlfn.XLOOKUP(D143,vulnerabilità!$B:$B,vulnerabilità!$C:$C,"NON TROVATO")</f>
        <v>Monitoraggio di rete e rilevazione del traffico anomalo insufficienti</v>
      </c>
    </row>
    <row r="144" spans="1:5">
      <c r="A144" s="131" t="s">
        <v>583</v>
      </c>
      <c r="B144" s="131" t="s">
        <v>587</v>
      </c>
      <c r="C144" s="114" t="str">
        <f t="array" ref="C144">IF(D144="","",_xlfn.IFS(LEFT(D144,3)="VSI","Siti",LEFT(D144,2)="VH","Hardware",LEFT(D144,2)="VS","Software",LEFT(D144,2)="VN","Rete",LEFT(D144,2)="VP","Personale",LEFT(D144,2)="VO","Organizzazione"))</f>
        <v>Hardware</v>
      </c>
      <c r="D144" s="131" t="s">
        <v>514</v>
      </c>
      <c r="E144" s="114" t="str">
        <f>_xlfn.XLOOKUP(D144,vulnerabilità!$B:$B,vulnerabilità!$C:$C,"NON TROVATO")</f>
        <v>Uso di dispositivi rimovibili non autorizzati o non tracciati</v>
      </c>
    </row>
    <row r="145" spans="1:5">
      <c r="A145" s="131" t="s">
        <v>583</v>
      </c>
      <c r="B145" s="131" t="s">
        <v>586</v>
      </c>
      <c r="C145" s="114" t="str">
        <f t="array" ref="C145">IF(D145="","",_xlfn.IFS(LEFT(D145,3)="VSI","Siti",LEFT(D145,2)="VH","Hardware",LEFT(D145,2)="VS","Software",LEFT(D145,2)="VN","Rete",LEFT(D145,2)="VP","Personale",LEFT(D145,2)="VO","Organizzazione"))</f>
        <v>Software</v>
      </c>
      <c r="D145" s="131" t="s">
        <v>501</v>
      </c>
      <c r="E145" s="114" t="str">
        <f>_xlfn.XLOOKUP(D145,vulnerabilità!$B:$B,vulnerabilità!$C:$C,"NON TROVATO")</f>
        <v>Meccanismi di autenticazione o identificazione utente insufficienti</v>
      </c>
    </row>
    <row r="146" spans="1:5">
      <c r="A146" s="131" t="s">
        <v>583</v>
      </c>
      <c r="B146" s="131" t="s">
        <v>586</v>
      </c>
      <c r="C146" s="114" t="str">
        <f t="array" ref="C146">IF(D146="","",_xlfn.IFS(LEFT(D146,3)="VSI","Siti",LEFT(D146,2)="VH","Hardware",LEFT(D146,2)="VS","Software",LEFT(D146,2)="VN","Rete",LEFT(D146,2)="VP","Personale",LEFT(D146,2)="VO","Organizzazione"))</f>
        <v>Software</v>
      </c>
      <c r="D146" s="131" t="s">
        <v>499</v>
      </c>
      <c r="E146" s="114" t="str">
        <f>_xlfn.XLOOKUP(D146,vulnerabilità!$B:$B,vulnerabilità!$C:$C,"NON TROVATO")</f>
        <v>Assegnazione errata dei privilegi e dei diritti di accesso</v>
      </c>
    </row>
    <row r="147" spans="1:5">
      <c r="A147" s="131" t="s">
        <v>583</v>
      </c>
      <c r="B147" s="131" t="s">
        <v>586</v>
      </c>
      <c r="C147" s="114" t="str">
        <f t="array" ref="C147">IF(D147="","",_xlfn.IFS(LEFT(D147,3)="VSI","Siti",LEFT(D147,2)="VH","Hardware",LEFT(D147,2)="VS","Software",LEFT(D147,2)="VN","Rete",LEFT(D147,2)="VP","Personale",LEFT(D147,2)="VO","Organizzazione"))</f>
        <v>Software</v>
      </c>
      <c r="D147" s="131" t="s">
        <v>497</v>
      </c>
      <c r="E147" s="114" t="str">
        <f>_xlfn.XLOOKUP(D147,vulnerabilità!$B:$B,vulnerabilità!$C:$C,"NON TROVATO")</f>
        <v>Credenziali, token o chiavi crittografiche archiviati in modo non sicuro</v>
      </c>
    </row>
    <row r="148" spans="1:5">
      <c r="A148" s="131" t="s">
        <v>583</v>
      </c>
      <c r="B148" s="131" t="s">
        <v>586</v>
      </c>
      <c r="C148" s="114" t="str">
        <f t="array" ref="C148">IF(D148="","",_xlfn.IFS(LEFT(D148,3)="VSI","Siti",LEFT(D148,2)="VH","Hardware",LEFT(D148,2)="VS","Software",LEFT(D148,2)="VN","Rete",LEFT(D148,2)="VP","Personale",LEFT(D148,2)="VO","Organizzazione"))</f>
        <v>Organizzazione</v>
      </c>
      <c r="D148" s="131" t="s">
        <v>406</v>
      </c>
      <c r="E148" s="114" t="str">
        <f>_xlfn.XLOOKUP(D148,vulnerabilità!$B:$B,vulnerabilità!$C:$C,"NON TROVATO")</f>
        <v>Procedure di abilitazione, modifica e revoca degli accessi non formalizzate o inefficaci</v>
      </c>
    </row>
    <row r="149" spans="1:5">
      <c r="A149" s="131" t="s">
        <v>583</v>
      </c>
      <c r="B149" s="131" t="s">
        <v>586</v>
      </c>
      <c r="C149" s="114" t="str">
        <f t="array" ref="C149">IF(D149="","",_xlfn.IFS(LEFT(D149,3)="VSI","Siti",LEFT(D149,2)="VH","Hardware",LEFT(D149,2)="VS","Software",LEFT(D149,2)="VN","Rete",LEFT(D149,2)="VP","Personale",LEFT(D149,2)="VO","Organizzazione"))</f>
        <v>Organizzazione</v>
      </c>
      <c r="D149" s="131" t="s">
        <v>404</v>
      </c>
      <c r="E149" s="114" t="str">
        <f>_xlfn.XLOOKUP(D149,vulnerabilità!$B:$B,vulnerabilità!$C:$C,"NON TROVATO")</f>
        <v>Revisione periodica dei privilegi e degli account tecnici assente o insufficiente</v>
      </c>
    </row>
    <row r="150" spans="1:5">
      <c r="A150" s="131" t="s">
        <v>583</v>
      </c>
      <c r="B150" s="131" t="s">
        <v>585</v>
      </c>
      <c r="C150" s="114" t="str">
        <f t="array" ref="C150">IF(D150="","",_xlfn.IFS(LEFT(D150,3)="VSI","Siti",LEFT(D150,2)="VH","Hardware",LEFT(D150,2)="VS","Software",LEFT(D150,2)="VN","Rete",LEFT(D150,2)="VP","Personale",LEFT(D150,2)="VO","Organizzazione"))</f>
        <v>Software</v>
      </c>
      <c r="D150" s="131" t="s">
        <v>507</v>
      </c>
      <c r="E150" s="114" t="str">
        <f>_xlfn.XLOOKUP(D150,vulnerabilità!$B:$B,vulnerabilità!$C:$C,"NON TROVATO")</f>
        <v>Vulnerabilità software note non risolte o gestione delle patch inefficace</v>
      </c>
    </row>
    <row r="151" spans="1:5">
      <c r="A151" s="131" t="s">
        <v>583</v>
      </c>
      <c r="B151" s="131" t="s">
        <v>585</v>
      </c>
      <c r="C151" s="114" t="str">
        <f t="array" ref="C151">IF(D151="","",_xlfn.IFS(LEFT(D151,3)="VSI","Siti",LEFT(D151,2)="VH","Hardware",LEFT(D151,2)="VS","Software",LEFT(D151,2)="VN","Rete",LEFT(D151,2)="VP","Personale",LEFT(D151,2)="VO","Organizzazione"))</f>
        <v>Software</v>
      </c>
      <c r="D151" s="131" t="s">
        <v>505</v>
      </c>
      <c r="E151" s="114" t="str">
        <f>_xlfn.XLOOKUP(D151,vulnerabilità!$B:$B,vulnerabilità!$C:$C,"NON TROVATO")</f>
        <v>Librerie, framework o dipendenze di terze parti obsolete o non verificate</v>
      </c>
    </row>
    <row r="152" spans="1:5">
      <c r="A152" s="131" t="s">
        <v>583</v>
      </c>
      <c r="B152" s="131" t="s">
        <v>585</v>
      </c>
      <c r="C152" s="114" t="str">
        <f t="array" ref="C152">IF(D152="","",_xlfn.IFS(LEFT(D152,3)="VSI","Siti",LEFT(D152,2)="VH","Hardware",LEFT(D152,2)="VS","Software",LEFT(D152,2)="VN","Rete",LEFT(D152,2)="VP","Personale",LEFT(D152,2)="VO","Organizzazione"))</f>
        <v>Software</v>
      </c>
      <c r="D152" s="131" t="s">
        <v>491</v>
      </c>
      <c r="E152" s="114" t="str">
        <f>_xlfn.XLOOKUP(D152,vulnerabilità!$B:$B,vulnerabilità!$C:$C,"NON TROVATO")</f>
        <v>Distribuzione, rilascio o aggiornamento del software non controllato</v>
      </c>
    </row>
    <row r="153" spans="1:5">
      <c r="A153" s="131" t="s">
        <v>583</v>
      </c>
      <c r="B153" s="131" t="s">
        <v>585</v>
      </c>
      <c r="C153" s="114" t="str">
        <f t="array" ref="C153">IF(D153="","",_xlfn.IFS(LEFT(D153,3)="VSI","Siti",LEFT(D153,2)="VH","Hardware",LEFT(D153,2)="VS","Software",LEFT(D153,2)="VN","Rete",LEFT(D153,2)="VP","Personale",LEFT(D153,2)="VO","Organizzazione"))</f>
        <v>Hardware</v>
      </c>
      <c r="D153" s="131" t="s">
        <v>518</v>
      </c>
      <c r="E153" s="114" t="str">
        <f>_xlfn.XLOOKUP(D153,vulnerabilità!$B:$B,vulnerabilità!$C:$C,"NON TROVATO")</f>
        <v xml:space="preserve">Controllo inefficace delle modifiche hardware </v>
      </c>
    </row>
    <row r="154" spans="1:5">
      <c r="A154" s="131" t="s">
        <v>583</v>
      </c>
      <c r="B154" s="131" t="s">
        <v>585</v>
      </c>
      <c r="C154" s="114" t="str">
        <f t="array" ref="C154">IF(D154="","",_xlfn.IFS(LEFT(D154,3)="VSI","Siti",LEFT(D154,2)="VH","Hardware",LEFT(D154,2)="VS","Software",LEFT(D154,2)="VN","Rete",LEFT(D154,2)="VP","Personale",LEFT(D154,2)="VO","Organizzazione"))</f>
        <v>Software</v>
      </c>
      <c r="D154" s="131" t="s">
        <v>509</v>
      </c>
      <c r="E154" s="114" t="str">
        <f>_xlfn.XLOOKUP(D154,vulnerabilità!$B:$B,vulnerabilità!$C:$C,"NON TROVATO")</f>
        <v>Test funzionali, di sicurezza o di robustezza assenti o insufficienti</v>
      </c>
    </row>
    <row r="155" spans="1:5">
      <c r="A155" s="131" t="s">
        <v>583</v>
      </c>
      <c r="B155" s="131" t="s">
        <v>584</v>
      </c>
      <c r="C155" s="114" t="str">
        <f t="array" ref="C155">IF(D155="","",_xlfn.IFS(LEFT(D155,3)="VSI","Siti",LEFT(D155,2)="VH","Hardware",LEFT(D155,2)="VS","Software",LEFT(D155,2)="VN","Rete",LEFT(D155,2)="VP","Personale",LEFT(D155,2)="VO","Organizzazione"))</f>
        <v>Rete</v>
      </c>
      <c r="D155" s="131" t="s">
        <v>460</v>
      </c>
      <c r="E155" s="114" t="str">
        <f>_xlfn.XLOOKUP(D155,vulnerabilità!$B:$B,vulnerabilità!$C:$C,"NON TROVATO")</f>
        <v>Flussi video o comunicazioni di servizio non cifrati</v>
      </c>
    </row>
    <row r="156" spans="1:5">
      <c r="A156" s="131" t="s">
        <v>583</v>
      </c>
      <c r="B156" s="131" t="s">
        <v>584</v>
      </c>
      <c r="C156" s="114" t="str">
        <f t="array" ref="C156">IF(D156="","",_xlfn.IFS(LEFT(D156,3)="VSI","Siti",LEFT(D156,2)="VH","Hardware",LEFT(D156,2)="VS","Software",LEFT(D156,2)="VN","Rete",LEFT(D156,2)="VP","Personale",LEFT(D156,2)="VO","Organizzazione"))</f>
        <v>Rete</v>
      </c>
      <c r="D156" s="131" t="s">
        <v>456</v>
      </c>
      <c r="E156" s="114" t="str">
        <f>_xlfn.XLOOKUP(D156,vulnerabilità!$B:$B,vulnerabilità!$C:$C,"NON TROVATO")</f>
        <v>Rete non segmentata tra telecamere, dispositivi Edge, sistemi centrali e altre zone</v>
      </c>
    </row>
    <row r="157" spans="1:5">
      <c r="A157" s="131" t="s">
        <v>583</v>
      </c>
      <c r="B157" s="131" t="s">
        <v>584</v>
      </c>
      <c r="C157" s="114" t="str">
        <f t="array" ref="C157">IF(D157="","",_xlfn.IFS(LEFT(D157,3)="VSI","Siti",LEFT(D157,2)="VH","Hardware",LEFT(D157,2)="VS","Software",LEFT(D157,2)="VN","Rete",LEFT(D157,2)="VP","Personale",LEFT(D157,2)="VO","Organizzazione"))</f>
        <v>Rete</v>
      </c>
      <c r="D157" s="131" t="s">
        <v>454</v>
      </c>
      <c r="E157" s="114" t="str">
        <f>_xlfn.XLOOKUP(D157,vulnerabilità!$B:$B,vulnerabilità!$C:$C,"NON TROVATO")</f>
        <v>Connessioni verso sistemi centrali, servizi esterni o cloud non adeguatamente protette</v>
      </c>
    </row>
    <row r="158" spans="1:5">
      <c r="A158" s="131" t="s">
        <v>583</v>
      </c>
      <c r="B158" s="131" t="s">
        <v>584</v>
      </c>
      <c r="C158" s="114" t="str">
        <f t="array" ref="C158">IF(D158="","",_xlfn.IFS(LEFT(D158,3)="VSI","Siti",LEFT(D158,2)="VH","Hardware",LEFT(D158,2)="VS","Software",LEFT(D158,2)="VN","Rete",LEFT(D158,2)="VP","Personale",LEFT(D158,2)="VO","Organizzazione"))</f>
        <v>Rete</v>
      </c>
      <c r="D158" s="131" t="s">
        <v>448</v>
      </c>
      <c r="E158" s="114" t="str">
        <f>_xlfn.XLOOKUP(D158,vulnerabilità!$B:$B,vulnerabilità!$C:$C,"NON TROVATO")</f>
        <v>Protezione insufficiente contro intercettazione, replay o sostituzione del flusso video</v>
      </c>
    </row>
    <row r="159" spans="1:5">
      <c r="A159" s="131" t="s">
        <v>583</v>
      </c>
      <c r="B159" s="131" t="s">
        <v>584</v>
      </c>
      <c r="C159" s="114" t="str">
        <f t="array" ref="C159">IF(D159="","",_xlfn.IFS(LEFT(D159,3)="VSI","Siti",LEFT(D159,2)="VH","Hardware",LEFT(D159,2)="VS","Software",LEFT(D159,2)="VN","Rete",LEFT(D159,2)="VP","Personale",LEFT(D159,2)="VO","Organizzazione"))</f>
        <v>Rete</v>
      </c>
      <c r="D159" s="131" t="s">
        <v>446</v>
      </c>
      <c r="E159" s="114" t="str">
        <f>_xlfn.XLOOKUP(D159,vulnerabilità!$B:$B,vulnerabilità!$C:$C,"NON TROVATO")</f>
        <v>Trasmissione di credenziali o informazioni sensibili in chiaro</v>
      </c>
    </row>
    <row r="160" spans="1:5">
      <c r="A160" s="131" t="s">
        <v>583</v>
      </c>
      <c r="B160" s="131" t="s">
        <v>582</v>
      </c>
      <c r="C160" s="114" t="str">
        <f t="array" ref="C160">IF(D160="","",_xlfn.IFS(LEFT(D160,3)="VSI","Siti",LEFT(D160,2)="VH","Hardware",LEFT(D160,2)="VS","Software",LEFT(D160,2)="VN","Rete",LEFT(D160,2)="VP","Personale",LEFT(D160,2)="VO","Organizzazione"))</f>
        <v>Hardware</v>
      </c>
      <c r="D160" s="131" t="s">
        <v>530</v>
      </c>
      <c r="E160" s="114" t="str">
        <f>_xlfn.XLOOKUP(D160,vulnerabilità!$B:$B,vulnerabilità!$C:$C,"NON TROVATO")</f>
        <v>Manutenzione o sostituzione inadeguata di telecamere, dispositivi Edge e apparati di supporto</v>
      </c>
    </row>
    <row r="161" spans="1:5">
      <c r="A161" s="131" t="s">
        <v>583</v>
      </c>
      <c r="B161" s="131" t="s">
        <v>582</v>
      </c>
      <c r="C161" s="114" t="str">
        <f t="array" ref="C161">IF(D161="","",_xlfn.IFS(LEFT(D161,3)="VSI","Siti",LEFT(D161,2)="VH","Hardware",LEFT(D161,2)="VS","Software",LEFT(D161,2)="VN","Rete",LEFT(D161,2)="VP","Personale",LEFT(D161,2)="VO","Organizzazione"))</f>
        <v>Hardware</v>
      </c>
      <c r="D161" s="131" t="s">
        <v>528</v>
      </c>
      <c r="E161" s="114" t="str">
        <f>_xlfn.XLOOKUP(D161,vulnerabilità!$B:$B,vulnerabilità!$C:$C,"NON TROVATO")</f>
        <v>Installazione o configurazione fisica errata delle telecamere, dei dispositivi Edge o dei supporti di memorizzazione</v>
      </c>
    </row>
    <row r="162" spans="1:5">
      <c r="A162" s="131" t="s">
        <v>583</v>
      </c>
      <c r="B162" s="131" t="s">
        <v>582</v>
      </c>
      <c r="C162" s="114" t="str">
        <f t="array" ref="C162">IF(D162="","",_xlfn.IFS(LEFT(D162,3)="VSI","Siti",LEFT(D162,2)="VH","Hardware",LEFT(D162,2)="VS","Software",LEFT(D162,2)="VN","Rete",LEFT(D162,2)="VP","Personale",LEFT(D162,2)="VO","Organizzazione"))</f>
        <v>Hardware</v>
      </c>
      <c r="D162" s="131" t="s">
        <v>520</v>
      </c>
      <c r="E162" s="114" t="str">
        <f>_xlfn.XLOOKUP(D162,vulnerabilità!$B:$B,vulnerabilità!$C:$C,"NON TROVATO")</f>
        <v>Mancanza di componenti alternativi o sostitutivi in caso di guasto delle apparecchiature critiche</v>
      </c>
    </row>
    <row r="163" spans="1:5">
      <c r="A163" s="131" t="s">
        <v>583</v>
      </c>
      <c r="B163" s="131" t="s">
        <v>582</v>
      </c>
      <c r="C163" s="114" t="str">
        <f t="array" ref="C163">IF(D163="","",_xlfn.IFS(LEFT(D163,3)="VSI","Siti",LEFT(D163,2)="VH","Hardware",LEFT(D163,2)="VS","Software",LEFT(D163,2)="VN","Rete",LEFT(D163,2)="VP","Personale",LEFT(D163,2)="VO","Organizzazione"))</f>
        <v>Rete</v>
      </c>
      <c r="D163" s="131" t="s">
        <v>452</v>
      </c>
      <c r="E163" s="114" t="str">
        <f>_xlfn.XLOOKUP(D163,vulnerabilità!$B:$B,vulnerabilità!$C:$C,"NON TROVATO")</f>
        <v>Dipendenza da un unico apparato o collegamento di rete, senza alternative in caso di guasto</v>
      </c>
    </row>
    <row r="164" spans="1:5">
      <c r="A164" s="131" t="s">
        <v>583</v>
      </c>
      <c r="B164" s="131" t="s">
        <v>582</v>
      </c>
      <c r="C164" s="114" t="str">
        <f t="array" ref="C164">IF(D164="","",_xlfn.IFS(LEFT(D164,3)="VSI","Siti",LEFT(D164,2)="VH","Hardware",LEFT(D164,2)="VS","Software",LEFT(D164,2)="VN","Rete",LEFT(D164,2)="VP","Personale",LEFT(D164,2)="VO","Organizzazione"))</f>
        <v>Rete</v>
      </c>
      <c r="D164" s="131" t="s">
        <v>448</v>
      </c>
      <c r="E164" s="114" t="str">
        <f>_xlfn.XLOOKUP(D164,vulnerabilità!$B:$B,vulnerabilità!$C:$C,"NON TROVATO")</f>
        <v>Protezione insufficiente contro intercettazione, replay o sostituzione del flusso video</v>
      </c>
    </row>
    <row r="165" spans="1:5">
      <c r="A165" s="131" t="s">
        <v>583</v>
      </c>
      <c r="B165" s="131" t="s">
        <v>581</v>
      </c>
      <c r="C165" s="114" t="str">
        <f t="array" ref="C165">IF(D165="","",_xlfn.IFS(LEFT(D165,3)="VSI","Siti",LEFT(D165,2)="VH","Hardware",LEFT(D165,2)="VS","Software",LEFT(D165,2)="VN","Rete",LEFT(D165,2)="VP","Personale",LEFT(D165,2)="VO","Organizzazione"))</f>
        <v>Rete</v>
      </c>
      <c r="D165" s="131" t="s">
        <v>460</v>
      </c>
      <c r="E165" s="114" t="str">
        <f>_xlfn.XLOOKUP(D165,vulnerabilità!$B:$B,vulnerabilità!$C:$C,"NON TROVATO")</f>
        <v>Flussi video o comunicazioni di servizio non cifrati</v>
      </c>
    </row>
    <row r="166" spans="1:5">
      <c r="A166" s="131" t="s">
        <v>583</v>
      </c>
      <c r="B166" s="131" t="s">
        <v>581</v>
      </c>
      <c r="C166" s="114" t="str">
        <f t="array" ref="C166">IF(D166="","",_xlfn.IFS(LEFT(D166,3)="VSI","Siti",LEFT(D166,2)="VH","Hardware",LEFT(D166,2)="VS","Software",LEFT(D166,2)="VN","Rete",LEFT(D166,2)="VP","Personale",LEFT(D166,2)="VO","Organizzazione"))</f>
        <v>Rete</v>
      </c>
      <c r="D166" s="131" t="s">
        <v>458</v>
      </c>
      <c r="E166" s="114" t="str">
        <f>_xlfn.XLOOKUP(D166,vulnerabilità!$B:$B,vulnerabilità!$C:$C,"NON TROVATO")</f>
        <v>Autenticazione o autorizzazione debole per telecamere, dispositivi Edge o servizi di rete</v>
      </c>
    </row>
    <row r="167" spans="1:5">
      <c r="A167" s="131" t="s">
        <v>583</v>
      </c>
      <c r="B167" s="131" t="s">
        <v>581</v>
      </c>
      <c r="C167" s="114" t="str">
        <f t="array" ref="C167">IF(D167="","",_xlfn.IFS(LEFT(D167,3)="VSI","Siti",LEFT(D167,2)="VH","Hardware",LEFT(D167,2)="VS","Software",LEFT(D167,2)="VN","Rete",LEFT(D167,2)="VP","Personale",LEFT(D167,2)="VO","Organizzazione"))</f>
        <v>Rete</v>
      </c>
      <c r="D167" s="131" t="s">
        <v>456</v>
      </c>
      <c r="E167" s="114" t="str">
        <f>_xlfn.XLOOKUP(D167,vulnerabilità!$B:$B,vulnerabilità!$C:$C,"NON TROVATO")</f>
        <v>Rete non segmentata tra telecamere, dispositivi Edge, sistemi centrali e altre zone</v>
      </c>
    </row>
    <row r="168" spans="1:5">
      <c r="A168" s="131" t="s">
        <v>583</v>
      </c>
      <c r="B168" s="131" t="s">
        <v>581</v>
      </c>
      <c r="C168" s="114" t="str">
        <f t="array" ref="C168">IF(D168="","",_xlfn.IFS(LEFT(D168,3)="VSI","Siti",LEFT(D168,2)="VH","Hardware",LEFT(D168,2)="VS","Software",LEFT(D168,2)="VN","Rete",LEFT(D168,2)="VP","Personale",LEFT(D168,2)="VO","Organizzazione"))</f>
        <v>Rete</v>
      </c>
      <c r="D168" s="131" t="s">
        <v>448</v>
      </c>
      <c r="E168" s="114" t="str">
        <f>_xlfn.XLOOKUP(D168,vulnerabilità!$B:$B,vulnerabilità!$C:$C,"NON TROVATO")</f>
        <v>Protezione insufficiente contro intercettazione, replay o sostituzione del flusso video</v>
      </c>
    </row>
    <row r="169" spans="1:5">
      <c r="A169" s="131" t="s">
        <v>583</v>
      </c>
      <c r="B169" s="131" t="s">
        <v>580</v>
      </c>
      <c r="C169" s="114" t="str">
        <f t="array" ref="C169">IF(D169="","",_xlfn.IFS(LEFT(D169,3)="VSI","Siti",LEFT(D169,2)="VH","Hardware",LEFT(D169,2)="VS","Software",LEFT(D169,2)="VN","Rete",LEFT(D169,2)="VP","Personale",LEFT(D169,2)="VO","Organizzazione"))</f>
        <v>Rete</v>
      </c>
      <c r="D169" s="131" t="s">
        <v>452</v>
      </c>
      <c r="E169" s="114" t="str">
        <f>_xlfn.XLOOKUP(D169,vulnerabilità!$B:$B,vulnerabilità!$C:$C,"NON TROVATO")</f>
        <v>Dipendenza da un unico apparato o collegamento di rete, senza alternative in caso di guasto</v>
      </c>
    </row>
    <row r="170" spans="1:5">
      <c r="A170" s="131" t="s">
        <v>583</v>
      </c>
      <c r="B170" s="131" t="s">
        <v>580</v>
      </c>
      <c r="C170" s="114" t="str">
        <f t="array" ref="C170">IF(D170="","",_xlfn.IFS(LEFT(D170,3)="VSI","Siti",LEFT(D170,2)="VH","Hardware",LEFT(D170,2)="VS","Software",LEFT(D170,2)="VN","Rete",LEFT(D170,2)="VP","Personale",LEFT(D170,2)="VO","Organizzazione"))</f>
        <v>Rete</v>
      </c>
      <c r="D170" s="131" t="s">
        <v>450</v>
      </c>
      <c r="E170" s="114" t="str">
        <f>_xlfn.XLOOKUP(D170,vulnerabilità!$B:$B,vulnerabilità!$C:$C,"NON TROVATO")</f>
        <v>Monitoraggio di rete e rilevazione del traffico anomalo insufficienti</v>
      </c>
    </row>
    <row r="171" spans="1:5">
      <c r="A171" s="131" t="s">
        <v>583</v>
      </c>
      <c r="B171" s="131" t="s">
        <v>580</v>
      </c>
      <c r="C171" s="114" t="str">
        <f t="array" ref="C171">IF(D171="","",_xlfn.IFS(LEFT(D171,3)="VSI","Siti",LEFT(D171,2)="VH","Hardware",LEFT(D171,2)="VS","Software",LEFT(D171,2)="VN","Rete",LEFT(D171,2)="VP","Personale",LEFT(D171,2)="VO","Organizzazione"))</f>
        <v>Rete</v>
      </c>
      <c r="D171" s="131" t="s">
        <v>442</v>
      </c>
      <c r="E171" s="114" t="str">
        <f>_xlfn.XLOOKUP(D171,vulnerabilità!$B:$B,vulnerabilità!$C:$C,"NON TROVATO")</f>
        <v>Capacità, latenza o qualità del collegamento non monitorate rispetto ai requisiti operativi</v>
      </c>
    </row>
    <row r="172" spans="1:5">
      <c r="A172" s="131" t="s">
        <v>583</v>
      </c>
      <c r="B172" s="131" t="s">
        <v>580</v>
      </c>
      <c r="C172" s="114" t="str">
        <f t="array" ref="C172">IF(D172="","",_xlfn.IFS(LEFT(D172,3)="VSI","Siti",LEFT(D172,2)="VH","Hardware",LEFT(D172,2)="VS","Software",LEFT(D172,2)="VN","Rete",LEFT(D172,2)="VP","Personale",LEFT(D172,2)="VO","Organizzazione"))</f>
        <v>Organizzazione</v>
      </c>
      <c r="D172" s="131" t="s">
        <v>393</v>
      </c>
      <c r="E172" s="114" t="str">
        <f>_xlfn.XLOOKUP(D172,vulnerabilità!$B:$B,vulnerabilità!$C:$C,"NON TROVATO")</f>
        <v>Piani di continuità operativa e ripristino non definiti, incompleti o non testati</v>
      </c>
    </row>
    <row r="173" spans="1:5">
      <c r="A173" s="131" t="s">
        <v>583</v>
      </c>
      <c r="B173" s="131" t="s">
        <v>580</v>
      </c>
      <c r="C173" s="114" t="str">
        <f t="array" ref="C173">IF(D173="","",_xlfn.IFS(LEFT(D173,3)="VSI","Siti",LEFT(D173,2)="VH","Hardware",LEFT(D173,2)="VS","Software",LEFT(D173,2)="VN","Rete",LEFT(D173,2)="VP","Personale",LEFT(D173,2)="VO","Organizzazione"))</f>
        <v>Software</v>
      </c>
      <c r="D173" s="131" t="s">
        <v>507</v>
      </c>
      <c r="E173" s="114" t="str">
        <f>_xlfn.XLOOKUP(D173,vulnerabilità!$B:$B,vulnerabilità!$C:$C,"NON TROVATO")</f>
        <v>Vulnerabilità software note non risolte o gestione delle patch inefficace</v>
      </c>
    </row>
    <row r="174" spans="1:5">
      <c r="A174" s="131" t="s">
        <v>583</v>
      </c>
      <c r="B174" s="131" t="s">
        <v>579</v>
      </c>
      <c r="C174" s="114" t="str">
        <f t="array" ref="C174">IF(D174="","",_xlfn.IFS(LEFT(D174,3)="VSI","Siti",LEFT(D174,2)="VH","Hardware",LEFT(D174,2)="VS","Software",LEFT(D174,2)="VN","Rete",LEFT(D174,2)="VP","Personale",LEFT(D174,2)="VO","Organizzazione"))</f>
        <v>Personale</v>
      </c>
      <c r="D174" s="131" t="s">
        <v>430</v>
      </c>
      <c r="E174" s="114" t="str">
        <f>_xlfn.XLOOKUP(D174,vulnerabilità!$B:$B,vulnerabilità!$C:$C,"NON TROVATO")</f>
        <v>Consapevolezza insufficiente in materia di sicurezza e protezione dei dati</v>
      </c>
    </row>
    <row r="175" spans="1:5">
      <c r="A175" s="131" t="s">
        <v>583</v>
      </c>
      <c r="B175" s="131" t="s">
        <v>579</v>
      </c>
      <c r="C175" s="114" t="str">
        <f t="array" ref="C175">IF(D175="","",_xlfn.IFS(LEFT(D175,3)="VSI","Siti",LEFT(D175,2)="VH","Hardware",LEFT(D175,2)="VS","Software",LEFT(D175,2)="VN","Rete",LEFT(D175,2)="VP","Personale",LEFT(D175,2)="VO","Organizzazione"))</f>
        <v>Software</v>
      </c>
      <c r="D175" s="131" t="s">
        <v>501</v>
      </c>
      <c r="E175" s="114" t="str">
        <f>_xlfn.XLOOKUP(D175,vulnerabilità!$B:$B,vulnerabilità!$C:$C,"NON TROVATO")</f>
        <v>Meccanismi di autenticazione o identificazione utente insufficienti</v>
      </c>
    </row>
    <row r="176" spans="1:5">
      <c r="A176" s="131" t="s">
        <v>583</v>
      </c>
      <c r="B176" s="131" t="s">
        <v>579</v>
      </c>
      <c r="C176" s="114" t="str">
        <f t="array" ref="C176">IF(D176="","",_xlfn.IFS(LEFT(D176,3)="VSI","Siti",LEFT(D176,2)="VH","Hardware",LEFT(D176,2)="VS","Software",LEFT(D176,2)="VN","Rete",LEFT(D176,2)="VP","Personale",LEFT(D176,2)="VO","Organizzazione"))</f>
        <v>Software</v>
      </c>
      <c r="D176" s="131" t="s">
        <v>497</v>
      </c>
      <c r="E176" s="114" t="str">
        <f>_xlfn.XLOOKUP(D176,vulnerabilità!$B:$B,vulnerabilità!$C:$C,"NON TROVATO")</f>
        <v>Credenziali, token o chiavi crittografiche archiviati in modo non sicuro</v>
      </c>
    </row>
    <row r="177" spans="1:5">
      <c r="A177" s="131" t="s">
        <v>583</v>
      </c>
      <c r="B177" s="131" t="s">
        <v>579</v>
      </c>
      <c r="C177" s="114" t="str">
        <f t="array" ref="C177">IF(D177="","",_xlfn.IFS(LEFT(D177,3)="VSI","Siti",LEFT(D177,2)="VH","Hardware",LEFT(D177,2)="VS","Software",LEFT(D177,2)="VN","Rete",LEFT(D177,2)="VP","Personale",LEFT(D177,2)="VO","Organizzazione"))</f>
        <v>Organizzazione</v>
      </c>
      <c r="D177" s="131" t="s">
        <v>406</v>
      </c>
      <c r="E177" s="114" t="str">
        <f>_xlfn.XLOOKUP(D177,vulnerabilità!$B:$B,vulnerabilità!$C:$C,"NON TROVATO")</f>
        <v>Procedure di abilitazione, modifica e revoca degli accessi non formalizzate o inefficaci</v>
      </c>
    </row>
    <row r="178" spans="1:5">
      <c r="A178" s="131" t="s">
        <v>583</v>
      </c>
      <c r="B178" s="131" t="s">
        <v>578</v>
      </c>
      <c r="C178" s="114" t="str">
        <f t="array" ref="C178">IF(D178="","",_xlfn.IFS(LEFT(D178,3)="VSI","Siti",LEFT(D178,2)="VH","Hardware",LEFT(D178,2)="VS","Software",LEFT(D178,2)="VN","Rete",LEFT(D178,2)="VP","Personale",LEFT(D178,2)="VO","Organizzazione"))</f>
        <v>Rete</v>
      </c>
      <c r="D178" s="131" t="s">
        <v>456</v>
      </c>
      <c r="E178" s="114" t="str">
        <f>_xlfn.XLOOKUP(D178,vulnerabilità!$B:$B,vulnerabilità!$C:$C,"NON TROVATO")</f>
        <v>Rete non segmentata tra telecamere, dispositivi Edge, sistemi centrali e altre zone</v>
      </c>
    </row>
    <row r="179" spans="1:5">
      <c r="A179" s="131" t="s">
        <v>583</v>
      </c>
      <c r="B179" s="131" t="s">
        <v>578</v>
      </c>
      <c r="C179" s="114" t="str">
        <f t="array" ref="C179">IF(D179="","",_xlfn.IFS(LEFT(D179,3)="VSI","Siti",LEFT(D179,2)="VH","Hardware",LEFT(D179,2)="VS","Software",LEFT(D179,2)="VN","Rete",LEFT(D179,2)="VP","Personale",LEFT(D179,2)="VO","Organizzazione"))</f>
        <v>Rete</v>
      </c>
      <c r="D179" s="131" t="s">
        <v>450</v>
      </c>
      <c r="E179" s="114" t="str">
        <f>_xlfn.XLOOKUP(D179,vulnerabilità!$B:$B,vulnerabilità!$C:$C,"NON TROVATO")</f>
        <v>Monitoraggio di rete e rilevazione del traffico anomalo insufficienti</v>
      </c>
    </row>
    <row r="180" spans="1:5">
      <c r="A180" s="131" t="s">
        <v>583</v>
      </c>
      <c r="B180" s="131" t="s">
        <v>578</v>
      </c>
      <c r="C180" s="114" t="str">
        <f t="array" ref="C180">IF(D180="","",_xlfn.IFS(LEFT(D180,3)="VSI","Siti",LEFT(D180,2)="VH","Hardware",LEFT(D180,2)="VS","Software",LEFT(D180,2)="VN","Rete",LEFT(D180,2)="VP","Personale",LEFT(D180,2)="VO","Organizzazione"))</f>
        <v>Rete</v>
      </c>
      <c r="D180" s="131" t="s">
        <v>446</v>
      </c>
      <c r="E180" s="114" t="str">
        <f>_xlfn.XLOOKUP(D180,vulnerabilità!$B:$B,vulnerabilità!$C:$C,"NON TROVATO")</f>
        <v>Trasmissione di credenziali o informazioni sensibili in chiaro</v>
      </c>
    </row>
    <row r="181" spans="1:5">
      <c r="A181" s="131" t="s">
        <v>583</v>
      </c>
      <c r="B181" s="131" t="s">
        <v>577</v>
      </c>
      <c r="C181" s="114" t="str">
        <f t="array" ref="C181">IF(D181="","",_xlfn.IFS(LEFT(D181,3)="VSI","Siti",LEFT(D181,2)="VH","Hardware",LEFT(D181,2)="VS","Software",LEFT(D181,2)="VN","Rete",LEFT(D181,2)="VP","Personale",LEFT(D181,2)="VO","Organizzazione"))</f>
        <v>Personale</v>
      </c>
      <c r="D181" s="131" t="s">
        <v>434</v>
      </c>
      <c r="E181" s="114" t="str">
        <f>_xlfn.XLOOKUP(D181,vulnerabilità!$B:$B,vulnerabilità!$C:$C,"NON TROVATO")</f>
        <v>Monitoraggio o controllo insufficiente delle attività amministrative e privilegiate</v>
      </c>
    </row>
    <row r="182" spans="1:5">
      <c r="A182" s="131" t="s">
        <v>583</v>
      </c>
      <c r="B182" s="131" t="s">
        <v>577</v>
      </c>
      <c r="C182" s="114" t="str">
        <f t="array" ref="C182">IF(D182="","",_xlfn.IFS(LEFT(D182,3)="VSI","Siti",LEFT(D182,2)="VH","Hardware",LEFT(D182,2)="VS","Software",LEFT(D182,2)="VN","Rete",LEFT(D182,2)="VP","Personale",LEFT(D182,2)="VO","Organizzazione"))</f>
        <v>Software</v>
      </c>
      <c r="D182" s="131" t="s">
        <v>499</v>
      </c>
      <c r="E182" s="114" t="str">
        <f>_xlfn.XLOOKUP(D182,vulnerabilità!$B:$B,vulnerabilità!$C:$C,"NON TROVATO")</f>
        <v>Assegnazione errata dei privilegi e dei diritti di accesso</v>
      </c>
    </row>
    <row r="183" spans="1:5">
      <c r="A183" s="131" t="s">
        <v>583</v>
      </c>
      <c r="B183" s="131" t="s">
        <v>577</v>
      </c>
      <c r="C183" s="114" t="str">
        <f t="array" ref="C183">IF(D183="","",_xlfn.IFS(LEFT(D183,3)="VSI","Siti",LEFT(D183,2)="VH","Hardware",LEFT(D183,2)="VS","Software",LEFT(D183,2)="VN","Rete",LEFT(D183,2)="VP","Personale",LEFT(D183,2)="VO","Organizzazione"))</f>
        <v>Software</v>
      </c>
      <c r="D183" s="131" t="s">
        <v>493</v>
      </c>
      <c r="E183" s="114" t="str">
        <f>_xlfn.XLOOKUP(D183,vulnerabilità!$B:$B,vulnerabilità!$C:$C,"NON TROVATO")</f>
        <v>Configurazione insufficiente dei log o audit trail incompleti</v>
      </c>
    </row>
    <row r="184" spans="1:5">
      <c r="A184" s="131" t="s">
        <v>583</v>
      </c>
      <c r="B184" s="131" t="s">
        <v>577</v>
      </c>
      <c r="C184" s="114" t="str">
        <f t="array" ref="C184">IF(D184="","",_xlfn.IFS(LEFT(D184,3)="VSI","Siti",LEFT(D184,2)="VH","Hardware",LEFT(D184,2)="VS","Software",LEFT(D184,2)="VN","Rete",LEFT(D184,2)="VP","Personale",LEFT(D184,2)="VO","Organizzazione"))</f>
        <v>Organizzazione</v>
      </c>
      <c r="D184" s="131" t="s">
        <v>404</v>
      </c>
      <c r="E184" s="114" t="str">
        <f>_xlfn.XLOOKUP(D184,vulnerabilità!$B:$B,vulnerabilità!$C:$C,"NON TROVATO")</f>
        <v>Revisione periodica dei privilegi e degli account tecnici assente o insufficiente</v>
      </c>
    </row>
    <row r="185" spans="1:5">
      <c r="A185" s="131" t="s">
        <v>583</v>
      </c>
      <c r="B185" s="131" t="s">
        <v>577</v>
      </c>
      <c r="C185" s="114" t="str">
        <f t="array" ref="C185">IF(D185="","",_xlfn.IFS(LEFT(D185,3)="VSI","Siti",LEFT(D185,2)="VH","Hardware",LEFT(D185,2)="VS","Software",LEFT(D185,2)="VN","Rete",LEFT(D185,2)="VP","Personale",LEFT(D185,2)="VO","Organizzazione"))</f>
        <v>Personale</v>
      </c>
      <c r="D185" s="131" t="s">
        <v>436</v>
      </c>
      <c r="E185" s="114" t="str">
        <f>_xlfn.XLOOKUP(D185,vulnerabilità!$B:$B,vulnerabilità!$C:$C,"NON TROVATO")</f>
        <v>Errori nell’installazione, configurazione, manutenzione o utilizzo del sistema</v>
      </c>
    </row>
    <row r="186" spans="1:5">
      <c r="A186" s="131" t="s">
        <v>583</v>
      </c>
      <c r="B186" s="131" t="s">
        <v>577</v>
      </c>
      <c r="C186" s="114" t="str">
        <f t="array" ref="C186">IF(D186="","",_xlfn.IFS(LEFT(D186,3)="VSI","Siti",LEFT(D186,2)="VH","Hardware",LEFT(D186,2)="VS","Software",LEFT(D186,2)="VN","Rete",LEFT(D186,2)="VP","Personale",LEFT(D186,2)="VO","Organizzazione"))</f>
        <v>Personale</v>
      </c>
      <c r="D186" s="131" t="s">
        <v>428</v>
      </c>
      <c r="E186" s="114" t="str">
        <f>_xlfn.XLOOKUP(D186,vulnerabilità!$B:$B,vulnerabilità!$C:$C,"NON TROVATO")</f>
        <v>Supervisione insufficiente di tecnici, consulenti o manutentori esterni</v>
      </c>
    </row>
    <row r="187" spans="1:5">
      <c r="A187" s="131" t="s">
        <v>625</v>
      </c>
      <c r="B187" s="131" t="s">
        <v>576</v>
      </c>
      <c r="C187" s="114" t="str">
        <f t="array" ref="C187">IF(D187="","",_xlfn.IFS(LEFT(D187,3)="VSI","Siti",LEFT(D187,2)="VH","Hardware",LEFT(D187,2)="VS","Software",LEFT(D187,2)="VN","Rete",LEFT(D187,2)="VP","Personale",LEFT(D187,2)="VO","Organizzazione"))</f>
        <v>Software</v>
      </c>
      <c r="D187" s="131" t="s">
        <v>477</v>
      </c>
      <c r="E187" s="114" t="str">
        <f>_xlfn.XLOOKUP(D187,vulnerabilità!$B:$B,vulnerabilità!$C:$C,"NON TROVATO")</f>
        <v>Provenienza, versione o trasformazioni dei dati di addestramento non tracciate</v>
      </c>
    </row>
    <row r="188" spans="1:5">
      <c r="A188" s="131" t="s">
        <v>625</v>
      </c>
      <c r="B188" s="131" t="s">
        <v>576</v>
      </c>
      <c r="C188" s="114" t="str">
        <f t="array" ref="C188">IF(D188="","",_xlfn.IFS(LEFT(D188,3)="VSI","Siti",LEFT(D188,2)="VH","Hardware",LEFT(D188,2)="VS","Software",LEFT(D188,2)="VN","Rete",LEFT(D188,2)="VP","Personale",LEFT(D188,2)="VO","Organizzazione"))</f>
        <v>Software</v>
      </c>
      <c r="D188" s="131" t="s">
        <v>473</v>
      </c>
      <c r="E188" s="114" t="str">
        <f>_xlfn.XLOOKUP(D188,vulnerabilità!$B:$B,vulnerabilità!$C:$C,"NON TROVATO")</f>
        <v>Test del modello non estesi a dati fuori distribuzione, condizioni avverse o input manipolati</v>
      </c>
    </row>
    <row r="189" spans="1:5">
      <c r="A189" s="131" t="s">
        <v>625</v>
      </c>
      <c r="B189" s="131" t="s">
        <v>576</v>
      </c>
      <c r="C189" s="114" t="str">
        <f t="array" ref="C189">IF(D189="","",_xlfn.IFS(LEFT(D189,3)="VSI","Siti",LEFT(D189,2)="VH","Hardware",LEFT(D189,2)="VS","Software",LEFT(D189,2)="VN","Rete",LEFT(D189,2)="VP","Personale",LEFT(D189,2)="VO","Organizzazione"))</f>
        <v>Software</v>
      </c>
      <c r="D189" s="131" t="s">
        <v>463</v>
      </c>
      <c r="E189" s="114" t="str">
        <f>_xlfn.XLOOKUP(D189,vulnerabilità!$B:$B,vulnerabilità!$C:$C,"NON TROVATO")</f>
        <v>Integrità, autenticità o versionamento dei pesi del modello non adeguatamente protetti</v>
      </c>
    </row>
    <row r="190" spans="1:5">
      <c r="A190" s="131" t="s">
        <v>625</v>
      </c>
      <c r="B190" s="131" t="s">
        <v>576</v>
      </c>
      <c r="C190" s="114" t="str">
        <f t="array" ref="C190">IF(D190="","",_xlfn.IFS(LEFT(D190,3)="VSI","Siti",LEFT(D190,2)="VH","Hardware",LEFT(D190,2)="VS","Software",LEFT(D190,2)="VN","Rete",LEFT(D190,2)="VP","Personale",LEFT(D190,2)="VO","Organizzazione"))</f>
        <v>Organizzazione</v>
      </c>
      <c r="D190" s="131" t="s">
        <v>388</v>
      </c>
      <c r="E190" s="114" t="str">
        <f>_xlfn.XLOOKUP(D190,vulnerabilità!$B:$B,vulnerabilità!$C:$C,"NON TROVATO")</f>
        <v>Criteri di selezione, approvazione e aggiornamento dei dataset non formalizzati</v>
      </c>
    </row>
    <row r="191" spans="1:5">
      <c r="A191" s="131" t="s">
        <v>625</v>
      </c>
      <c r="B191" s="131" t="s">
        <v>575</v>
      </c>
      <c r="C191" s="114" t="str">
        <f t="array" ref="C191">IF(D191="","",_xlfn.IFS(LEFT(D191,3)="VSI","Siti",LEFT(D191,2)="VH","Hardware",LEFT(D191,2)="VS","Software",LEFT(D191,2)="VN","Rete",LEFT(D191,2)="VP","Personale",LEFT(D191,2)="VO","Organizzazione"))</f>
        <v>Software</v>
      </c>
      <c r="D191" s="131" t="s">
        <v>483</v>
      </c>
      <c r="E191" s="114" t="str">
        <f>_xlfn.XLOOKUP(D191,vulnerabilità!$B:$B,vulnerabilità!$C:$C,"NON TROVATO")</f>
        <v>Dataset non sufficientemente rappresentativo delle condizioni operative previste</v>
      </c>
    </row>
    <row r="192" spans="1:5">
      <c r="A192" s="131" t="s">
        <v>625</v>
      </c>
      <c r="B192" s="131" t="s">
        <v>575</v>
      </c>
      <c r="C192" s="114" t="str">
        <f t="array" ref="C192">IF(D192="","",_xlfn.IFS(LEFT(D192,3)="VSI","Siti",LEFT(D192,2)="VH","Hardware",LEFT(D192,2)="VS","Software",LEFT(D192,2)="VN","Rete",LEFT(D192,2)="VP","Personale",LEFT(D192,2)="VO","Organizzazione"))</f>
        <v>Software</v>
      </c>
      <c r="D192" s="131" t="s">
        <v>473</v>
      </c>
      <c r="E192" s="114" t="str">
        <f>_xlfn.XLOOKUP(D192,vulnerabilità!$B:$B,vulnerabilità!$C:$C,"NON TROVATO")</f>
        <v>Test del modello non estesi a dati fuori distribuzione, condizioni avverse o input manipolati</v>
      </c>
    </row>
    <row r="193" spans="1:5">
      <c r="A193" s="131" t="s">
        <v>625</v>
      </c>
      <c r="B193" s="131" t="s">
        <v>575</v>
      </c>
      <c r="C193" s="114" t="str">
        <f t="array" ref="C193">IF(D193="","",_xlfn.IFS(LEFT(D193,3)="VSI","Siti",LEFT(D193,2)="VH","Hardware",LEFT(D193,2)="VS","Software",LEFT(D193,2)="VN","Rete",LEFT(D193,2)="VP","Personale",LEFT(D193,2)="VO","Organizzazione"))</f>
        <v>Software</v>
      </c>
      <c r="D193" s="131" t="s">
        <v>471</v>
      </c>
      <c r="E193" s="114" t="str">
        <f>_xlfn.XLOOKUP(D193,vulnerabilità!$B:$B,vulnerabilità!$C:$C,"NON TROVATO")</f>
        <v>Soglie di confidenza o parametri di inferenza non adeguatamente calibrati</v>
      </c>
    </row>
    <row r="194" spans="1:5">
      <c r="A194" s="131" t="s">
        <v>625</v>
      </c>
      <c r="B194" s="131" t="s">
        <v>575</v>
      </c>
      <c r="C194" s="114" t="str">
        <f t="array" ref="C194">IF(D194="","",_xlfn.IFS(LEFT(D194,3)="VSI","Siti",LEFT(D194,2)="VH","Hardware",LEFT(D194,2)="VS","Software",LEFT(D194,2)="VN","Rete",LEFT(D194,2)="VP","Personale",LEFT(D194,2)="VO","Organizzazione"))</f>
        <v>Organizzazione</v>
      </c>
      <c r="D194" s="131" t="s">
        <v>380</v>
      </c>
      <c r="E194" s="114" t="str">
        <f>_xlfn.XLOOKUP(D194,vulnerabilità!$B:$B,vulnerabilità!$C:$C,"NON TROVATO")</f>
        <v>Criteri minimi di accettazione delle prestazioni e soglie operative non formalizzati</v>
      </c>
    </row>
    <row r="195" spans="1:5">
      <c r="A195" s="131" t="s">
        <v>625</v>
      </c>
      <c r="B195" s="131" t="s">
        <v>574</v>
      </c>
      <c r="C195" s="114" t="str">
        <f t="array" ref="C195">IF(D195="","",_xlfn.IFS(LEFT(D195,3)="VSI","Siti",LEFT(D195,2)="VH","Hardware",LEFT(D195,2)="VS","Software",LEFT(D195,2)="VN","Rete",LEFT(D195,2)="VP","Personale",LEFT(D195,2)="VO","Organizzazione"))</f>
        <v>Software</v>
      </c>
      <c r="D195" s="131" t="s">
        <v>467</v>
      </c>
      <c r="E195" s="114" t="str">
        <f>_xlfn.XLOOKUP(D195,vulnerabilità!$B:$B,vulnerabilità!$C:$C,"NON TROVATO")</f>
        <v>Monitoraggio insufficiente di falsi positivi e falsi negativi durante l’esercizio</v>
      </c>
    </row>
    <row r="196" spans="1:5">
      <c r="A196" s="131" t="s">
        <v>625</v>
      </c>
      <c r="B196" s="131" t="s">
        <v>574</v>
      </c>
      <c r="C196" s="114" t="str">
        <f t="array" ref="C196">IF(D196="","",_xlfn.IFS(LEFT(D196,3)="VSI","Siti",LEFT(D196,2)="VH","Hardware",LEFT(D196,2)="VS","Software",LEFT(D196,2)="VN","Rete",LEFT(D196,2)="VP","Personale",LEFT(D196,2)="VO","Organizzazione"))</f>
        <v>Software</v>
      </c>
      <c r="D196" s="131" t="s">
        <v>465</v>
      </c>
      <c r="E196" s="114" t="str">
        <f>_xlfn.XLOOKUP(D196,vulnerabilità!$B:$B,vulnerabilità!$C:$C,"NON TROVATO")</f>
        <v>Assenza di monitoraggio del degrado delle prestazioni o del cambiamento del contesto operativo</v>
      </c>
    </row>
    <row r="197" spans="1:5">
      <c r="A197" s="131" t="s">
        <v>625</v>
      </c>
      <c r="B197" s="131" t="s">
        <v>574</v>
      </c>
      <c r="C197" s="114" t="str">
        <f t="array" ref="C197">IF(D197="","",_xlfn.IFS(LEFT(D197,3)="VSI","Siti",LEFT(D197,2)="VH","Hardware",LEFT(D197,2)="VS","Software",LEFT(D197,2)="VN","Rete",LEFT(D197,2)="VP","Personale",LEFT(D197,2)="VO","Organizzazione"))</f>
        <v>Organizzazione</v>
      </c>
      <c r="D197" s="131" t="s">
        <v>380</v>
      </c>
      <c r="E197" s="114" t="str">
        <f>_xlfn.XLOOKUP(D197,vulnerabilità!$B:$B,vulnerabilità!$C:$C,"NON TROVATO")</f>
        <v>Criteri minimi di accettazione delle prestazioni e soglie operative non formalizzati</v>
      </c>
    </row>
    <row r="198" spans="1:5">
      <c r="A198" s="131" t="s">
        <v>625</v>
      </c>
      <c r="B198" s="131" t="s">
        <v>574</v>
      </c>
      <c r="C198" s="114" t="str">
        <f t="array" ref="C198">IF(D198="","",_xlfn.IFS(LEFT(D198,3)="VSI","Siti",LEFT(D198,2)="VH","Hardware",LEFT(D198,2)="VS","Software",LEFT(D198,2)="VN","Rete",LEFT(D198,2)="VP","Personale",LEFT(D198,2)="VO","Organizzazione"))</f>
        <v>Organizzazione</v>
      </c>
      <c r="D198" s="131" t="s">
        <v>378</v>
      </c>
      <c r="E198" s="114" t="str">
        <f>_xlfn.XLOOKUP(D198,vulnerabilità!$B:$B,vulnerabilità!$C:$C,"NON TROVATO")</f>
        <v>Riesame periodico del modello e del contesto operativo assente o insufficiente</v>
      </c>
    </row>
    <row r="199" spans="1:5">
      <c r="A199" s="131" t="s">
        <v>625</v>
      </c>
      <c r="B199" s="131" t="s">
        <v>573</v>
      </c>
      <c r="C199" s="114" t="str">
        <f t="array" ref="C199">IF(D199="","",_xlfn.IFS(LEFT(D199,3)="VSI","Siti",LEFT(D199,2)="VH","Hardware",LEFT(D199,2)="VS","Software",LEFT(D199,2)="VN","Rete",LEFT(D199,2)="VP","Personale",LEFT(D199,2)="VO","Organizzazione"))</f>
        <v>Hardware</v>
      </c>
      <c r="D199" s="131" t="s">
        <v>528</v>
      </c>
      <c r="E199" s="114" t="str">
        <f>_xlfn.XLOOKUP(D199,vulnerabilità!$B:$B,vulnerabilità!$C:$C,"NON TROVATO")</f>
        <v>Installazione o configurazione fisica errata delle telecamere, dei dispositivi Edge o dei supporti di memorizzazione</v>
      </c>
    </row>
    <row r="200" spans="1:5">
      <c r="A200" s="131" t="s">
        <v>625</v>
      </c>
      <c r="B200" s="131" t="s">
        <v>573</v>
      </c>
      <c r="C200" s="114" t="str">
        <f t="array" ref="C200">IF(D200="","",_xlfn.IFS(LEFT(D200,3)="VSI","Siti",LEFT(D200,2)="VH","Hardware",LEFT(D200,2)="VS","Software",LEFT(D200,2)="VN","Rete",LEFT(D200,2)="VP","Personale",LEFT(D200,2)="VO","Organizzazione"))</f>
        <v>Software</v>
      </c>
      <c r="D200" s="131" t="s">
        <v>509</v>
      </c>
      <c r="E200" s="114" t="str">
        <f>_xlfn.XLOOKUP(D200,vulnerabilità!$B:$B,vulnerabilità!$C:$C,"NON TROVATO")</f>
        <v>Test funzionali, di sicurezza o di robustezza assenti o insufficienti</v>
      </c>
    </row>
    <row r="201" spans="1:5">
      <c r="A201" s="131" t="s">
        <v>625</v>
      </c>
      <c r="B201" s="131" t="s">
        <v>573</v>
      </c>
      <c r="C201" s="114" t="str">
        <f t="array" ref="C201">IF(D201="","",_xlfn.IFS(LEFT(D201,3)="VSI","Siti",LEFT(D201,2)="VH","Hardware",LEFT(D201,2)="VS","Software",LEFT(D201,2)="VN","Rete",LEFT(D201,2)="VP","Personale",LEFT(D201,2)="VO","Organizzazione"))</f>
        <v>Software</v>
      </c>
      <c r="D201" s="131" t="s">
        <v>473</v>
      </c>
      <c r="E201" s="114" t="str">
        <f>_xlfn.XLOOKUP(D201,vulnerabilità!$B:$B,vulnerabilità!$C:$C,"NON TROVATO")</f>
        <v>Test del modello non estesi a dati fuori distribuzione, condizioni avverse o input manipolati</v>
      </c>
    </row>
    <row r="202" spans="1:5">
      <c r="A202" s="131" t="s">
        <v>625</v>
      </c>
      <c r="B202" s="131" t="s">
        <v>573</v>
      </c>
      <c r="C202" s="114" t="str">
        <f t="array" ref="C202">IF(D202="","",_xlfn.IFS(LEFT(D202,3)="VSI","Siti",LEFT(D202,2)="VH","Hardware",LEFT(D202,2)="VS","Software",LEFT(D202,2)="VN","Rete",LEFT(D202,2)="VP","Personale",LEFT(D202,2)="VO","Organizzazione"))</f>
        <v>Software</v>
      </c>
      <c r="D202" s="131" t="s">
        <v>469</v>
      </c>
      <c r="E202" s="114" t="str">
        <f>_xlfn.XLOOKUP(D202,vulnerabilità!$B:$B,vulnerabilità!$C:$C,"NON TROVATO")</f>
        <v>Logica di associazione tra persona e DPI insufficiente o non validata in tutti gli scenari rilevanti</v>
      </c>
    </row>
    <row r="203" spans="1:5">
      <c r="A203" s="131" t="s">
        <v>625</v>
      </c>
      <c r="B203" s="131" t="s">
        <v>573</v>
      </c>
      <c r="C203" s="114" t="str">
        <f t="array" ref="C203">IF(D203="","",_xlfn.IFS(LEFT(D203,3)="VSI","Siti",LEFT(D203,2)="VH","Hardware",LEFT(D203,2)="VS","Software",LEFT(D203,2)="VN","Rete",LEFT(D203,2)="VP","Personale",LEFT(D203,2)="VO","Organizzazione"))</f>
        <v>Software</v>
      </c>
      <c r="D203" s="131" t="s">
        <v>467</v>
      </c>
      <c r="E203" s="114" t="str">
        <f>_xlfn.XLOOKUP(D203,vulnerabilità!$B:$B,vulnerabilità!$C:$C,"NON TROVATO")</f>
        <v>Monitoraggio insufficiente di falsi positivi e falsi negativi durante l’esercizio</v>
      </c>
    </row>
    <row r="204" spans="1:5">
      <c r="A204" s="131" t="s">
        <v>572</v>
      </c>
      <c r="B204" s="131" t="s">
        <v>571</v>
      </c>
      <c r="C204" s="114" t="str">
        <f t="array" ref="C204">IF(D204="","",_xlfn.IFS(LEFT(D204,3)="VSI","Siti",LEFT(D204,2)="VH","Hardware",LEFT(D204,2)="VS","Software",LEFT(D204,2)="VN","Rete",LEFT(D204,2)="VP","Personale",LEFT(D204,2)="VO","Organizzazione"))</f>
        <v>Software</v>
      </c>
      <c r="D204" s="131" t="s">
        <v>483</v>
      </c>
      <c r="E204" s="114" t="str">
        <f>_xlfn.XLOOKUP(D204,vulnerabilità!$B:$B,vulnerabilità!$C:$C,"NON TROVATO")</f>
        <v>Dataset non sufficientemente rappresentativo delle condizioni operative previste</v>
      </c>
    </row>
    <row r="205" spans="1:5">
      <c r="A205" s="131" t="s">
        <v>572</v>
      </c>
      <c r="B205" s="131" t="s">
        <v>571</v>
      </c>
      <c r="C205" s="114" t="str">
        <f t="array" ref="C205">IF(D205="","",_xlfn.IFS(LEFT(D205,3)="VSI","Siti",LEFT(D205,2)="VH","Hardware",LEFT(D205,2)="VS","Software",LEFT(D205,2)="VN","Rete",LEFT(D205,2)="VP","Personale",LEFT(D205,2)="VO","Organizzazione"))</f>
        <v>Software</v>
      </c>
      <c r="D205" s="131" t="s">
        <v>481</v>
      </c>
      <c r="E205" s="114" t="str">
        <f>_xlfn.XLOOKUP(D205,vulnerabilità!$B:$B,vulnerabilità!$C:$C,"NON TROVATO")</f>
        <v>Classi, scenari o condizioni ambientali rappresentati in modo sbilanciato nel dataset</v>
      </c>
    </row>
    <row r="206" spans="1:5">
      <c r="A206" s="131" t="s">
        <v>572</v>
      </c>
      <c r="B206" s="131" t="s">
        <v>571</v>
      </c>
      <c r="C206" s="114" t="str">
        <f t="array" ref="C206">IF(D206="","",_xlfn.IFS(LEFT(D206,3)="VSI","Siti",LEFT(D206,2)="VH","Hardware",LEFT(D206,2)="VS","Software",LEFT(D206,2)="VN","Rete",LEFT(D206,2)="VP","Personale",LEFT(D206,2)="VO","Organizzazione"))</f>
        <v>Software</v>
      </c>
      <c r="D206" s="131" t="s">
        <v>479</v>
      </c>
      <c r="E206" s="114" t="str">
        <f>_xlfn.XLOOKUP(D206,vulnerabilità!$B:$B,vulnerabilità!$C:$C,"NON TROVATO")</f>
        <v>Annotazioni del dataset errate, incomplete o incoerenti</v>
      </c>
    </row>
    <row r="207" spans="1:5">
      <c r="A207" s="131" t="s">
        <v>572</v>
      </c>
      <c r="B207" s="131" t="s">
        <v>571</v>
      </c>
      <c r="C207" s="114" t="str">
        <f t="array" ref="C207">IF(D207="","",_xlfn.IFS(LEFT(D207,3)="VSI","Siti",LEFT(D207,2)="VH","Hardware",LEFT(D207,2)="VS","Software",LEFT(D207,2)="VN","Rete",LEFT(D207,2)="VP","Personale",LEFT(D207,2)="VO","Organizzazione"))</f>
        <v>Software</v>
      </c>
      <c r="D207" s="131" t="s">
        <v>477</v>
      </c>
      <c r="E207" s="114" t="str">
        <f>_xlfn.XLOOKUP(D207,vulnerabilità!$B:$B,vulnerabilità!$C:$C,"NON TROVATO")</f>
        <v>Provenienza, versione o trasformazioni dei dati di addestramento non tracciate</v>
      </c>
    </row>
    <row r="208" spans="1:5">
      <c r="A208" s="131" t="s">
        <v>572</v>
      </c>
      <c r="B208" s="131" t="s">
        <v>571</v>
      </c>
      <c r="C208" s="114" t="str">
        <f t="array" ref="C208">IF(D208="","",_xlfn.IFS(LEFT(D208,3)="VSI","Siti",LEFT(D208,2)="VH","Hardware",LEFT(D208,2)="VS","Software",LEFT(D208,2)="VN","Rete",LEFT(D208,2)="VP","Personale",LEFT(D208,2)="VO","Organizzazione"))</f>
        <v>Software</v>
      </c>
      <c r="D208" s="131" t="s">
        <v>475</v>
      </c>
      <c r="E208" s="114" t="str">
        <f>_xlfn.XLOOKUP(D208,vulnerabilità!$B:$B,vulnerabilità!$C:$C,"NON TROVATO")</f>
        <v>Separazione inadeguata tra dati di addestramento, validazione e test</v>
      </c>
    </row>
    <row r="209" spans="1:5">
      <c r="A209" s="131" t="s">
        <v>572</v>
      </c>
      <c r="B209" s="131" t="s">
        <v>570</v>
      </c>
      <c r="C209" s="114" t="str">
        <f t="array" ref="C209">IF(D209="","",_xlfn.IFS(LEFT(D209,3)="VSI","Siti",LEFT(D209,2)="VH","Hardware",LEFT(D209,2)="VS","Software",LEFT(D209,2)="VN","Rete",LEFT(D209,2)="VP","Personale",LEFT(D209,2)="VO","Organizzazione"))</f>
        <v>Software</v>
      </c>
      <c r="D209" s="131" t="s">
        <v>477</v>
      </c>
      <c r="E209" s="114" t="str">
        <f>_xlfn.XLOOKUP(D209,vulnerabilità!$B:$B,vulnerabilità!$C:$C,"NON TROVATO")</f>
        <v>Provenienza, versione o trasformazioni dei dati di addestramento non tracciate</v>
      </c>
    </row>
    <row r="210" spans="1:5">
      <c r="A210" s="131" t="s">
        <v>572</v>
      </c>
      <c r="B210" s="131" t="s">
        <v>570</v>
      </c>
      <c r="C210" s="114" t="str">
        <f t="array" ref="C210">IF(D210="","",_xlfn.IFS(LEFT(D210,3)="VSI","Siti",LEFT(D210,2)="VH","Hardware",LEFT(D210,2)="VS","Software",LEFT(D210,2)="VN","Rete",LEFT(D210,2)="VP","Personale",LEFT(D210,2)="VO","Organizzazione"))</f>
        <v>Software</v>
      </c>
      <c r="D210" s="131" t="s">
        <v>473</v>
      </c>
      <c r="E210" s="114" t="str">
        <f>_xlfn.XLOOKUP(D210,vulnerabilità!$B:$B,vulnerabilità!$C:$C,"NON TROVATO")</f>
        <v>Test del modello non estesi a dati fuori distribuzione, condizioni avverse o input manipolati</v>
      </c>
    </row>
    <row r="211" spans="1:5">
      <c r="A211" s="131" t="s">
        <v>572</v>
      </c>
      <c r="B211" s="131" t="s">
        <v>570</v>
      </c>
      <c r="C211" s="114" t="str">
        <f t="array" ref="C211">IF(D211="","",_xlfn.IFS(LEFT(D211,3)="VSI","Siti",LEFT(D211,2)="VH","Hardware",LEFT(D211,2)="VS","Software",LEFT(D211,2)="VN","Rete",LEFT(D211,2)="VP","Personale",LEFT(D211,2)="VO","Organizzazione"))</f>
        <v>Software</v>
      </c>
      <c r="D211" s="131" t="s">
        <v>463</v>
      </c>
      <c r="E211" s="114" t="str">
        <f>_xlfn.XLOOKUP(D211,vulnerabilità!$B:$B,vulnerabilità!$C:$C,"NON TROVATO")</f>
        <v>Integrità, autenticità o versionamento dei pesi del modello non adeguatamente protetti</v>
      </c>
    </row>
    <row r="212" spans="1:5">
      <c r="A212" s="131" t="s">
        <v>572</v>
      </c>
      <c r="B212" s="131" t="s">
        <v>570</v>
      </c>
      <c r="C212" s="114" t="str">
        <f t="array" ref="C212">IF(D212="","",_xlfn.IFS(LEFT(D212,3)="VSI","Siti",LEFT(D212,2)="VH","Hardware",LEFT(D212,2)="VS","Software",LEFT(D212,2)="VN","Rete",LEFT(D212,2)="VP","Personale",LEFT(D212,2)="VO","Organizzazione"))</f>
        <v>Organizzazione</v>
      </c>
      <c r="D212" s="131" t="s">
        <v>388</v>
      </c>
      <c r="E212" s="114" t="str">
        <f>_xlfn.XLOOKUP(D212,vulnerabilità!$B:$B,vulnerabilità!$C:$C,"NON TROVATO")</f>
        <v>Criteri di selezione, approvazione e aggiornamento dei dataset non formalizzati</v>
      </c>
    </row>
    <row r="213" spans="1:5">
      <c r="A213" s="131" t="s">
        <v>572</v>
      </c>
      <c r="B213" s="131" t="s">
        <v>569</v>
      </c>
      <c r="C213" s="114" t="str">
        <f t="array" ref="C213">IF(D213="","",_xlfn.IFS(LEFT(D213,3)="VSI","Siti",LEFT(D213,2)="VH","Hardware",LEFT(D213,2)="VS","Software",LEFT(D213,2)="VN","Rete",LEFT(D213,2)="VP","Personale",LEFT(D213,2)="VO","Organizzazione"))</f>
        <v>Software</v>
      </c>
      <c r="D213" s="131" t="s">
        <v>509</v>
      </c>
      <c r="E213" s="114" t="str">
        <f>_xlfn.XLOOKUP(D213,vulnerabilità!$B:$B,vulnerabilità!$C:$C,"NON TROVATO")</f>
        <v>Test funzionali, di sicurezza o di robustezza assenti o insufficienti</v>
      </c>
    </row>
    <row r="214" spans="1:5">
      <c r="A214" s="131" t="s">
        <v>572</v>
      </c>
      <c r="B214" s="131" t="s">
        <v>569</v>
      </c>
      <c r="C214" s="114" t="str">
        <f t="array" ref="C214">IF(D214="","",_xlfn.IFS(LEFT(D214,3)="VSI","Siti",LEFT(D214,2)="VH","Hardware",LEFT(D214,2)="VS","Software",LEFT(D214,2)="VN","Rete",LEFT(D214,2)="VP","Personale",LEFT(D214,2)="VO","Organizzazione"))</f>
        <v>Software</v>
      </c>
      <c r="D214" s="131" t="s">
        <v>505</v>
      </c>
      <c r="E214" s="114" t="str">
        <f>_xlfn.XLOOKUP(D214,vulnerabilità!$B:$B,vulnerabilità!$C:$C,"NON TROVATO")</f>
        <v>Librerie, framework o dipendenze di terze parti obsolete o non verificate</v>
      </c>
    </row>
    <row r="215" spans="1:5">
      <c r="A215" s="131" t="s">
        <v>572</v>
      </c>
      <c r="B215" s="131" t="s">
        <v>569</v>
      </c>
      <c r="C215" s="114" t="str">
        <f t="array" ref="C215">IF(D215="","",_xlfn.IFS(LEFT(D215,3)="VSI","Siti",LEFT(D215,2)="VH","Hardware",LEFT(D215,2)="VS","Software",LEFT(D215,2)="VN","Rete",LEFT(D215,2)="VP","Personale",LEFT(D215,2)="VO","Organizzazione"))</f>
        <v>Software</v>
      </c>
      <c r="D215" s="131" t="s">
        <v>485</v>
      </c>
      <c r="E215" s="114" t="str">
        <f>_xlfn.XLOOKUP(D215,vulnerabilità!$B:$B,vulnerabilità!$C:$C,"NON TROVATO")</f>
        <v>Validazione insufficiente delle immagini, dei flussi video o degli altri dati in ingresso</v>
      </c>
    </row>
    <row r="216" spans="1:5">
      <c r="A216" s="131" t="s">
        <v>572</v>
      </c>
      <c r="B216" s="131" t="s">
        <v>569</v>
      </c>
      <c r="C216" s="114" t="str">
        <f t="array" ref="C216">IF(D216="","",_xlfn.IFS(LEFT(D216,3)="VSI","Siti",LEFT(D216,2)="VH","Hardware",LEFT(D216,2)="VS","Software",LEFT(D216,2)="VN","Rete",LEFT(D216,2)="VP","Personale",LEFT(D216,2)="VO","Organizzazione"))</f>
        <v>Software</v>
      </c>
      <c r="D216" s="131" t="s">
        <v>473</v>
      </c>
      <c r="E216" s="114" t="str">
        <f>_xlfn.XLOOKUP(D216,vulnerabilità!$B:$B,vulnerabilità!$C:$C,"NON TROVATO")</f>
        <v>Test del modello non estesi a dati fuori distribuzione, condizioni avverse o input manipolati</v>
      </c>
    </row>
    <row r="217" spans="1:5">
      <c r="A217" s="131" t="s">
        <v>572</v>
      </c>
      <c r="B217" s="131" t="s">
        <v>568</v>
      </c>
      <c r="C217" s="114" t="str">
        <f t="array" ref="C217">IF(D217="","",_xlfn.IFS(LEFT(D217,3)="VSI","Siti",LEFT(D217,2)="VH","Hardware",LEFT(D217,2)="VS","Software",LEFT(D217,2)="VN","Rete",LEFT(D217,2)="VP","Personale",LEFT(D217,2)="VO","Organizzazione"))</f>
        <v>Software</v>
      </c>
      <c r="D217" s="131" t="s">
        <v>483</v>
      </c>
      <c r="E217" s="114" t="str">
        <f>_xlfn.XLOOKUP(D217,vulnerabilità!$B:$B,vulnerabilità!$C:$C,"NON TROVATO")</f>
        <v>Dataset non sufficientemente rappresentativo delle condizioni operative previste</v>
      </c>
    </row>
    <row r="218" spans="1:5">
      <c r="A218" s="131" t="s">
        <v>572</v>
      </c>
      <c r="B218" s="131" t="s">
        <v>568</v>
      </c>
      <c r="C218" s="114" t="str">
        <f t="array" ref="C218">IF(D218="","",_xlfn.IFS(LEFT(D218,3)="VSI","Siti",LEFT(D218,2)="VH","Hardware",LEFT(D218,2)="VS","Software",LEFT(D218,2)="VN","Rete",LEFT(D218,2)="VP","Personale",LEFT(D218,2)="VO","Organizzazione"))</f>
        <v>Software</v>
      </c>
      <c r="D218" s="131" t="s">
        <v>473</v>
      </c>
      <c r="E218" s="114" t="str">
        <f>_xlfn.XLOOKUP(D218,vulnerabilità!$B:$B,vulnerabilità!$C:$C,"NON TROVATO")</f>
        <v>Test del modello non estesi a dati fuori distribuzione, condizioni avverse o input manipolati</v>
      </c>
    </row>
    <row r="219" spans="1:5">
      <c r="A219" s="131" t="s">
        <v>572</v>
      </c>
      <c r="B219" s="131" t="s">
        <v>568</v>
      </c>
      <c r="C219" s="114" t="str">
        <f t="array" ref="C219">IF(D219="","",_xlfn.IFS(LEFT(D219,3)="VSI","Siti",LEFT(D219,2)="VH","Hardware",LEFT(D219,2)="VS","Software",LEFT(D219,2)="VN","Rete",LEFT(D219,2)="VP","Personale",LEFT(D219,2)="VO","Organizzazione"))</f>
        <v>Software</v>
      </c>
      <c r="D219" s="131" t="s">
        <v>471</v>
      </c>
      <c r="E219" s="114" t="str">
        <f>_xlfn.XLOOKUP(D219,vulnerabilità!$B:$B,vulnerabilità!$C:$C,"NON TROVATO")</f>
        <v>Soglie di confidenza o parametri di inferenza non adeguatamente calibrati</v>
      </c>
    </row>
    <row r="220" spans="1:5">
      <c r="A220" s="131" t="s">
        <v>572</v>
      </c>
      <c r="B220" s="131" t="s">
        <v>568</v>
      </c>
      <c r="C220" s="114" t="str">
        <f t="array" ref="C220">IF(D220="","",_xlfn.IFS(LEFT(D220,3)="VSI","Siti",LEFT(D220,2)="VH","Hardware",LEFT(D220,2)="VS","Software",LEFT(D220,2)="VN","Rete",LEFT(D220,2)="VP","Personale",LEFT(D220,2)="VO","Organizzazione"))</f>
        <v>Organizzazione</v>
      </c>
      <c r="D220" s="131" t="s">
        <v>380</v>
      </c>
      <c r="E220" s="114" t="str">
        <f>_xlfn.XLOOKUP(D220,vulnerabilità!$B:$B,vulnerabilità!$C:$C,"NON TROVATO")</f>
        <v>Criteri minimi di accettazione delle prestazioni e soglie operative non formalizzati</v>
      </c>
    </row>
    <row r="221" spans="1:5">
      <c r="A221" s="131" t="s">
        <v>572</v>
      </c>
      <c r="B221" s="131" t="s">
        <v>567</v>
      </c>
      <c r="C221" s="114" t="str">
        <f t="array" ref="C221">IF(D221="","",_xlfn.IFS(LEFT(D221,3)="VSI","Siti",LEFT(D221,2)="VH","Hardware",LEFT(D221,2)="VS","Software",LEFT(D221,2)="VN","Rete",LEFT(D221,2)="VP","Personale",LEFT(D221,2)="VO","Organizzazione"))</f>
        <v>Software</v>
      </c>
      <c r="D221" s="131" t="s">
        <v>467</v>
      </c>
      <c r="E221" s="114" t="str">
        <f>_xlfn.XLOOKUP(D221,vulnerabilità!$B:$B,vulnerabilità!$C:$C,"NON TROVATO")</f>
        <v>Monitoraggio insufficiente di falsi positivi e falsi negativi durante l’esercizio</v>
      </c>
    </row>
    <row r="222" spans="1:5">
      <c r="A222" s="131" t="s">
        <v>572</v>
      </c>
      <c r="B222" s="131" t="s">
        <v>567</v>
      </c>
      <c r="C222" s="114" t="str">
        <f t="array" ref="C222">IF(D222="","",_xlfn.IFS(LEFT(D222,3)="VSI","Siti",LEFT(D222,2)="VH","Hardware",LEFT(D222,2)="VS","Software",LEFT(D222,2)="VN","Rete",LEFT(D222,2)="VP","Personale",LEFT(D222,2)="VO","Organizzazione"))</f>
        <v>Software</v>
      </c>
      <c r="D222" s="131" t="s">
        <v>465</v>
      </c>
      <c r="E222" s="114" t="str">
        <f>_xlfn.XLOOKUP(D222,vulnerabilità!$B:$B,vulnerabilità!$C:$C,"NON TROVATO")</f>
        <v>Assenza di monitoraggio del degrado delle prestazioni o del cambiamento del contesto operativo</v>
      </c>
    </row>
    <row r="223" spans="1:5">
      <c r="A223" s="131" t="s">
        <v>572</v>
      </c>
      <c r="B223" s="131" t="s">
        <v>567</v>
      </c>
      <c r="C223" s="114" t="str">
        <f t="array" ref="C223">IF(D223="","",_xlfn.IFS(LEFT(D223,3)="VSI","Siti",LEFT(D223,2)="VH","Hardware",LEFT(D223,2)="VS","Software",LEFT(D223,2)="VN","Rete",LEFT(D223,2)="VP","Personale",LEFT(D223,2)="VO","Organizzazione"))</f>
        <v>Organizzazione</v>
      </c>
      <c r="D223" s="131" t="s">
        <v>378</v>
      </c>
      <c r="E223" s="114" t="str">
        <f>_xlfn.XLOOKUP(D223,vulnerabilità!$B:$B,vulnerabilità!$C:$C,"NON TROVATO")</f>
        <v>Riesame periodico del modello e del contesto operativo assente o insufficiente</v>
      </c>
    </row>
    <row r="224" spans="1:5">
      <c r="A224" s="131" t="s">
        <v>572</v>
      </c>
      <c r="B224" s="131" t="s">
        <v>567</v>
      </c>
      <c r="C224" s="114" t="str">
        <f t="array" ref="C224">IF(D224="","",_xlfn.IFS(LEFT(D224,3)="VSI","Siti",LEFT(D224,2)="VH","Hardware",LEFT(D224,2)="VS","Software",LEFT(D224,2)="VN","Rete",LEFT(D224,2)="VP","Personale",LEFT(D224,2)="VO","Organizzazione"))</f>
        <v>Organizzazione</v>
      </c>
      <c r="D224" s="131" t="s">
        <v>380</v>
      </c>
      <c r="E224" s="114" t="str">
        <f>_xlfn.XLOOKUP(D224,vulnerabilità!$B:$B,vulnerabilità!$C:$C,"NON TROVATO")</f>
        <v>Criteri minimi di accettazione delle prestazioni e soglie operative non formalizzati</v>
      </c>
    </row>
    <row r="225" spans="1:5">
      <c r="A225" s="131" t="s">
        <v>572</v>
      </c>
      <c r="B225" s="131" t="s">
        <v>566</v>
      </c>
      <c r="C225" s="114" t="str">
        <f t="array" ref="C225">IF(D225="","",_xlfn.IFS(LEFT(D225,3)="VSI","Siti",LEFT(D225,2)="VH","Hardware",LEFT(D225,2)="VS","Software",LEFT(D225,2)="VN","Rete",LEFT(D225,2)="VP","Personale",LEFT(D225,2)="VO","Organizzazione"))</f>
        <v>Software</v>
      </c>
      <c r="D225" s="131" t="s">
        <v>483</v>
      </c>
      <c r="E225" s="114" t="str">
        <f>_xlfn.XLOOKUP(D225,vulnerabilità!$B:$B,vulnerabilità!$C:$C,"NON TROVATO")</f>
        <v>Dataset non sufficientemente rappresentativo delle condizioni operative previste</v>
      </c>
    </row>
    <row r="226" spans="1:5">
      <c r="A226" s="131" t="s">
        <v>572</v>
      </c>
      <c r="B226" s="131" t="s">
        <v>566</v>
      </c>
      <c r="C226" s="114" t="str">
        <f t="array" ref="C226">IF(D226="","",_xlfn.IFS(LEFT(D226,3)="VSI","Siti",LEFT(D226,2)="VH","Hardware",LEFT(D226,2)="VS","Software",LEFT(D226,2)="VN","Rete",LEFT(D226,2)="VP","Personale",LEFT(D226,2)="VO","Organizzazione"))</f>
        <v>Software</v>
      </c>
      <c r="D226" s="131" t="s">
        <v>479</v>
      </c>
      <c r="E226" s="114" t="str">
        <f>_xlfn.XLOOKUP(D226,vulnerabilità!$B:$B,vulnerabilità!$C:$C,"NON TROVATO")</f>
        <v>Annotazioni del dataset errate, incomplete o incoerenti</v>
      </c>
    </row>
    <row r="227" spans="1:5">
      <c r="A227" s="131" t="s">
        <v>572</v>
      </c>
      <c r="B227" s="131" t="s">
        <v>566</v>
      </c>
      <c r="C227" s="114" t="str">
        <f t="array" ref="C227">IF(D227="","",_xlfn.IFS(LEFT(D227,3)="VSI","Siti",LEFT(D227,2)="VH","Hardware",LEFT(D227,2)="VS","Software",LEFT(D227,2)="VN","Rete",LEFT(D227,2)="VP","Personale",LEFT(D227,2)="VO","Organizzazione"))</f>
        <v>Software</v>
      </c>
      <c r="D227" s="131" t="s">
        <v>471</v>
      </c>
      <c r="E227" s="114" t="str">
        <f>_xlfn.XLOOKUP(D227,vulnerabilità!$B:$B,vulnerabilità!$C:$C,"NON TROVATO")</f>
        <v>Soglie di confidenza o parametri di inferenza non adeguatamente calibrati</v>
      </c>
    </row>
    <row r="228" spans="1:5">
      <c r="A228" s="131" t="s">
        <v>572</v>
      </c>
      <c r="B228" s="131" t="s">
        <v>566</v>
      </c>
      <c r="C228" s="114" t="str">
        <f t="array" ref="C228">IF(D228="","",_xlfn.IFS(LEFT(D228,3)="VSI","Siti",LEFT(D228,2)="VH","Hardware",LEFT(D228,2)="VS","Software",LEFT(D228,2)="VN","Rete",LEFT(D228,2)="VP","Personale",LEFT(D228,2)="VO","Organizzazione"))</f>
        <v>Software</v>
      </c>
      <c r="D228" s="131" t="s">
        <v>469</v>
      </c>
      <c r="E228" s="114" t="str">
        <f>_xlfn.XLOOKUP(D228,vulnerabilità!$B:$B,vulnerabilità!$C:$C,"NON TROVATO")</f>
        <v>Logica di associazione tra persona e DPI insufficiente o non validata in tutti gli scenari rilevanti</v>
      </c>
    </row>
    <row r="229" spans="1:5">
      <c r="A229" s="131" t="s">
        <v>572</v>
      </c>
      <c r="B229" s="131" t="s">
        <v>566</v>
      </c>
      <c r="C229" s="114" t="str">
        <f t="array" ref="C229">IF(D229="","",_xlfn.IFS(LEFT(D229,3)="VSI","Siti",LEFT(D229,2)="VH","Hardware",LEFT(D229,2)="VS","Software",LEFT(D229,2)="VN","Rete",LEFT(D229,2)="VP","Personale",LEFT(D229,2)="VO","Organizzazione"))</f>
        <v>Software</v>
      </c>
      <c r="D229" s="131" t="s">
        <v>467</v>
      </c>
      <c r="E229" s="114" t="str">
        <f>_xlfn.XLOOKUP(D229,vulnerabilità!$B:$B,vulnerabilità!$C:$C,"NON TROVATO")</f>
        <v>Monitoraggio insufficiente di falsi positivi e falsi negativi durante l’esercizio</v>
      </c>
    </row>
    <row r="230" spans="1:5">
      <c r="A230" s="131" t="s">
        <v>572</v>
      </c>
      <c r="B230" s="131" t="s">
        <v>565</v>
      </c>
      <c r="C230" s="114" t="str">
        <f t="array" ref="C230">IF(D230="","",_xlfn.IFS(LEFT(D230,3)="VSI","Siti",LEFT(D230,2)="VH","Hardware",LEFT(D230,2)="VS","Software",LEFT(D230,2)="VN","Rete",LEFT(D230,2)="VP","Personale",LEFT(D230,2)="VO","Organizzazione"))</f>
        <v>Software</v>
      </c>
      <c r="D230" s="131" t="s">
        <v>479</v>
      </c>
      <c r="E230" s="114" t="str">
        <f>_xlfn.XLOOKUP(D230,vulnerabilità!$B:$B,vulnerabilità!$C:$C,"NON TROVATO")</f>
        <v>Annotazioni del dataset errate, incomplete o incoerenti</v>
      </c>
    </row>
    <row r="231" spans="1:5">
      <c r="A231" s="131" t="s">
        <v>572</v>
      </c>
      <c r="B231" s="131" t="s">
        <v>565</v>
      </c>
      <c r="C231" s="114" t="str">
        <f t="array" ref="C231">IF(D231="","",_xlfn.IFS(LEFT(D231,3)="VSI","Siti",LEFT(D231,2)="VH","Hardware",LEFT(D231,2)="VS","Software",LEFT(D231,2)="VN","Rete",LEFT(D231,2)="VP","Personale",LEFT(D231,2)="VO","Organizzazione"))</f>
        <v>Software</v>
      </c>
      <c r="D231" s="131" t="s">
        <v>471</v>
      </c>
      <c r="E231" s="114" t="str">
        <f>_xlfn.XLOOKUP(D231,vulnerabilità!$B:$B,vulnerabilità!$C:$C,"NON TROVATO")</f>
        <v>Soglie di confidenza o parametri di inferenza non adeguatamente calibrati</v>
      </c>
    </row>
    <row r="232" spans="1:5">
      <c r="A232" s="131" t="s">
        <v>572</v>
      </c>
      <c r="B232" s="131" t="s">
        <v>565</v>
      </c>
      <c r="C232" s="114" t="str">
        <f t="array" ref="C232">IF(D232="","",_xlfn.IFS(LEFT(D232,3)="VSI","Siti",LEFT(D232,2)="VH","Hardware",LEFT(D232,2)="VS","Software",LEFT(D232,2)="VN","Rete",LEFT(D232,2)="VP","Personale",LEFT(D232,2)="VO","Organizzazione"))</f>
        <v>Software</v>
      </c>
      <c r="D232" s="131" t="s">
        <v>469</v>
      </c>
      <c r="E232" s="114" t="str">
        <f>_xlfn.XLOOKUP(D232,vulnerabilità!$B:$B,vulnerabilità!$C:$C,"NON TROVATO")</f>
        <v>Logica di associazione tra persona e DPI insufficiente o non validata in tutti gli scenari rilevanti</v>
      </c>
    </row>
    <row r="233" spans="1:5">
      <c r="A233" s="131" t="s">
        <v>572</v>
      </c>
      <c r="B233" s="131" t="s">
        <v>565</v>
      </c>
      <c r="C233" s="114" t="str">
        <f t="array" ref="C233">IF(D233="","",_xlfn.IFS(LEFT(D233,3)="VSI","Siti",LEFT(D233,2)="VH","Hardware",LEFT(D233,2)="VS","Software",LEFT(D233,2)="VN","Rete",LEFT(D233,2)="VP","Personale",LEFT(D233,2)="VO","Organizzazione"))</f>
        <v>Software</v>
      </c>
      <c r="D233" s="131" t="s">
        <v>467</v>
      </c>
      <c r="E233" s="114" t="str">
        <f>_xlfn.XLOOKUP(D233,vulnerabilità!$B:$B,vulnerabilità!$C:$C,"NON TROVATO")</f>
        <v>Monitoraggio insufficiente di falsi positivi e falsi negativi durante l’esercizio</v>
      </c>
    </row>
    <row r="234" spans="1:5">
      <c r="A234" s="131" t="s">
        <v>572</v>
      </c>
      <c r="B234" s="131" t="s">
        <v>564</v>
      </c>
      <c r="C234" s="114" t="str">
        <f t="array" ref="C234">IF(D234="","",_xlfn.IFS(LEFT(D234,3)="VSI","Siti",LEFT(D234,2)="VH","Hardware",LEFT(D234,2)="VS","Software",LEFT(D234,2)="VN","Rete",LEFT(D234,2)="VP","Personale",LEFT(D234,2)="VO","Organizzazione"))</f>
        <v>Software</v>
      </c>
      <c r="D234" s="131" t="s">
        <v>509</v>
      </c>
      <c r="E234" s="114" t="str">
        <f>_xlfn.XLOOKUP(D234,vulnerabilità!$B:$B,vulnerabilità!$C:$C,"NON TROVATO")</f>
        <v>Test funzionali, di sicurezza o di robustezza assenti o insufficienti</v>
      </c>
    </row>
    <row r="235" spans="1:5">
      <c r="A235" s="131" t="s">
        <v>572</v>
      </c>
      <c r="B235" s="131" t="s">
        <v>564</v>
      </c>
      <c r="C235" s="114" t="str">
        <f t="array" ref="C235">IF(D235="","",_xlfn.IFS(LEFT(D235,3)="VSI","Siti",LEFT(D235,2)="VH","Hardware",LEFT(D235,2)="VS","Software",LEFT(D235,2)="VN","Rete",LEFT(D235,2)="VP","Personale",LEFT(D235,2)="VO","Organizzazione"))</f>
        <v>Software</v>
      </c>
      <c r="D235" s="131" t="s">
        <v>485</v>
      </c>
      <c r="E235" s="114" t="str">
        <f>_xlfn.XLOOKUP(D235,vulnerabilità!$B:$B,vulnerabilità!$C:$C,"NON TROVATO")</f>
        <v>Validazione insufficiente delle immagini, dei flussi video o degli altri dati in ingresso</v>
      </c>
    </row>
    <row r="236" spans="1:5">
      <c r="A236" s="131" t="s">
        <v>572</v>
      </c>
      <c r="B236" s="131" t="s">
        <v>564</v>
      </c>
      <c r="C236" s="114" t="str">
        <f t="array" ref="C236">IF(D236="","",_xlfn.IFS(LEFT(D236,3)="VSI","Siti",LEFT(D236,2)="VH","Hardware",LEFT(D236,2)="VS","Software",LEFT(D236,2)="VN","Rete",LEFT(D236,2)="VP","Personale",LEFT(D236,2)="VO","Organizzazione"))</f>
        <v>Software</v>
      </c>
      <c r="D236" s="131" t="s">
        <v>473</v>
      </c>
      <c r="E236" s="114" t="str">
        <f>_xlfn.XLOOKUP(D236,vulnerabilità!$B:$B,vulnerabilità!$C:$C,"NON TROVATO")</f>
        <v>Test del modello non estesi a dati fuori distribuzione, condizioni avverse o input manipolati</v>
      </c>
    </row>
    <row r="237" spans="1:5">
      <c r="A237" s="131" t="s">
        <v>572</v>
      </c>
      <c r="B237" s="131" t="s">
        <v>564</v>
      </c>
      <c r="C237" s="114" t="str">
        <f t="array" ref="C237">IF(D237="","",_xlfn.IFS(LEFT(D237,3)="VSI","Siti",LEFT(D237,2)="VH","Hardware",LEFT(D237,2)="VS","Software",LEFT(D237,2)="VN","Rete",LEFT(D237,2)="VP","Personale",LEFT(D237,2)="VO","Organizzazione"))</f>
        <v>Software</v>
      </c>
      <c r="D237" s="131" t="s">
        <v>463</v>
      </c>
      <c r="E237" s="114" t="str">
        <f>_xlfn.XLOOKUP(D237,vulnerabilità!$B:$B,vulnerabilità!$C:$C,"NON TROVATO")</f>
        <v>Integrità, autenticità o versionamento dei pesi del modello non adeguatamente protetti</v>
      </c>
    </row>
    <row r="238" spans="1:5">
      <c r="A238" s="131" t="s">
        <v>572</v>
      </c>
      <c r="B238" s="131" t="s">
        <v>564</v>
      </c>
      <c r="C238" s="114" t="str">
        <f t="array" ref="C238">IF(D238="","",_xlfn.IFS(LEFT(D238,3)="VSI","Siti",LEFT(D238,2)="VH","Hardware",LEFT(D238,2)="VS","Software",LEFT(D238,2)="VN","Rete",LEFT(D238,2)="VP","Personale",LEFT(D238,2)="VO","Organizzazione"))</f>
        <v>Software</v>
      </c>
      <c r="D238" s="131" t="s">
        <v>507</v>
      </c>
      <c r="E238" s="114" t="str">
        <f>_xlfn.XLOOKUP(D238,vulnerabilità!$B:$B,vulnerabilità!$C:$C,"NON TROVATO")</f>
        <v>Vulnerabilità software note non risolte o gestione delle patch inefficace</v>
      </c>
    </row>
    <row r="239" spans="1:5">
      <c r="A239" s="131" t="s">
        <v>572</v>
      </c>
      <c r="B239" s="131" t="s">
        <v>563</v>
      </c>
      <c r="C239" s="114" t="str">
        <f t="array" ref="C239">IF(D239="","",_xlfn.IFS(LEFT(D239,3)="VSI","Siti",LEFT(D239,2)="VH","Hardware",LEFT(D239,2)="VS","Software",LEFT(D239,2)="VN","Rete",LEFT(D239,2)="VP","Personale",LEFT(D239,2)="VO","Organizzazione"))</f>
        <v>Software</v>
      </c>
      <c r="D239" s="131" t="s">
        <v>463</v>
      </c>
      <c r="E239" s="114" t="str">
        <f>_xlfn.XLOOKUP(D239,vulnerabilità!$B:$B,vulnerabilità!$C:$C,"NON TROVATO")</f>
        <v>Integrità, autenticità o versionamento dei pesi del modello non adeguatamente protetti</v>
      </c>
    </row>
    <row r="240" spans="1:5">
      <c r="A240" s="131" t="s">
        <v>572</v>
      </c>
      <c r="B240" s="131" t="s">
        <v>563</v>
      </c>
      <c r="C240" s="114" t="str">
        <f t="array" ref="C240">IF(D240="","",_xlfn.IFS(LEFT(D240,3)="VSI","Siti",LEFT(D240,2)="VH","Hardware",LEFT(D240,2)="VS","Software",LEFT(D240,2)="VN","Rete",LEFT(D240,2)="VP","Personale",LEFT(D240,2)="VO","Organizzazione"))</f>
        <v>Organizzazione</v>
      </c>
      <c r="D240" s="131" t="s">
        <v>395</v>
      </c>
      <c r="E240" s="114" t="str">
        <f>_xlfn.XLOOKUP(D240,vulnerabilità!$B:$B,vulnerabilità!$C:$C,"NON TROVATO")</f>
        <v>Change management non formalizzato per software, modelli, dataset, soglie e configurazioni</v>
      </c>
    </row>
    <row r="241" spans="1:5">
      <c r="A241" s="131" t="s">
        <v>572</v>
      </c>
      <c r="B241" s="131" t="s">
        <v>563</v>
      </c>
      <c r="C241" s="114" t="str">
        <f t="array" ref="C241">IF(D241="","",_xlfn.IFS(LEFT(D241,3)="VSI","Siti",LEFT(D241,2)="VH","Hardware",LEFT(D241,2)="VS","Software",LEFT(D241,2)="VN","Rete",LEFT(D241,2)="VP","Personale",LEFT(D241,2)="VO","Organizzazione"))</f>
        <v>Software</v>
      </c>
      <c r="D241" s="131" t="s">
        <v>491</v>
      </c>
      <c r="E241" s="114" t="str">
        <f>_xlfn.XLOOKUP(D241,vulnerabilità!$B:$B,vulnerabilità!$C:$C,"NON TROVATO")</f>
        <v>Distribuzione, rilascio o aggiornamento del software non controllato</v>
      </c>
    </row>
    <row r="242" spans="1:5">
      <c r="A242" s="131" t="s">
        <v>572</v>
      </c>
      <c r="B242" s="131" t="s">
        <v>563</v>
      </c>
      <c r="C242" s="114" t="str">
        <f t="array" ref="C242">IF(D242="","",_xlfn.IFS(LEFT(D242,3)="VSI","Siti",LEFT(D242,2)="VH","Hardware",LEFT(D242,2)="VS","Software",LEFT(D242,2)="VN","Rete",LEFT(D242,2)="VP","Personale",LEFT(D242,2)="VO","Organizzazione"))</f>
        <v>Software</v>
      </c>
      <c r="D242" s="131" t="s">
        <v>493</v>
      </c>
      <c r="E242" s="114" t="str">
        <f>_xlfn.XLOOKUP(D242,vulnerabilità!$B:$B,vulnerabilità!$C:$C,"NON TROVATO")</f>
        <v>Configurazione insufficiente dei log o audit trail incompleti</v>
      </c>
    </row>
    <row r="243" spans="1:5">
      <c r="A243" s="131" t="s">
        <v>572</v>
      </c>
      <c r="B243" s="131" t="s">
        <v>563</v>
      </c>
      <c r="C243" s="114" t="str">
        <f t="array" ref="C243">IF(D243="","",_xlfn.IFS(LEFT(D243,3)="VSI","Siti",LEFT(D243,2)="VH","Hardware",LEFT(D243,2)="VS","Software",LEFT(D243,2)="VN","Rete",LEFT(D243,2)="VP","Personale",LEFT(D243,2)="VO","Organizzazione"))</f>
        <v>Software</v>
      </c>
      <c r="D243" s="131" t="s">
        <v>489</v>
      </c>
      <c r="E243" s="114" t="str">
        <f>_xlfn.XLOOKUP(D243,vulnerabilità!$B:$B,vulnerabilità!$C:$C,"NON TROVATO")</f>
        <v>Copie di backup di configurazioni, modelli o dati assenti, incomplete o non testate</v>
      </c>
    </row>
    <row r="244" spans="1:5">
      <c r="A244" s="131" t="s">
        <v>572</v>
      </c>
      <c r="B244" s="131" t="s">
        <v>562</v>
      </c>
      <c r="C244" s="114" t="str">
        <f t="array" ref="C244">IF(D244="","",_xlfn.IFS(LEFT(D244,3)="VSI","Siti",LEFT(D244,2)="VH","Hardware",LEFT(D244,2)="VS","Software",LEFT(D244,2)="VN","Rete",LEFT(D244,2)="VP","Personale",LEFT(D244,2)="VO","Organizzazione"))</f>
        <v>Rete</v>
      </c>
      <c r="D244" s="131" t="s">
        <v>452</v>
      </c>
      <c r="E244" s="114" t="str">
        <f>_xlfn.XLOOKUP(D244,vulnerabilità!$B:$B,vulnerabilità!$C:$C,"NON TROVATO")</f>
        <v>Dipendenza da un unico apparato o collegamento di rete, senza alternative in caso di guasto</v>
      </c>
    </row>
    <row r="245" spans="1:5">
      <c r="A245" s="131" t="s">
        <v>572</v>
      </c>
      <c r="B245" s="131" t="s">
        <v>562</v>
      </c>
      <c r="C245" s="114" t="str">
        <f t="array" ref="C245">IF(D245="","",_xlfn.IFS(LEFT(D245,3)="VSI","Siti",LEFT(D245,2)="VH","Hardware",LEFT(D245,2)="VS","Software",LEFT(D245,2)="VN","Rete",LEFT(D245,2)="VP","Personale",LEFT(D245,2)="VO","Organizzazione"))</f>
        <v>Rete</v>
      </c>
      <c r="D245" s="131" t="s">
        <v>442</v>
      </c>
      <c r="E245" s="114" t="str">
        <f>_xlfn.XLOOKUP(D245,vulnerabilità!$B:$B,vulnerabilità!$C:$C,"NON TROVATO")</f>
        <v>Capacità, latenza o qualità del collegamento non monitorate rispetto ai requisiti operativi</v>
      </c>
    </row>
    <row r="246" spans="1:5">
      <c r="A246" s="131" t="s">
        <v>572</v>
      </c>
      <c r="B246" s="131" t="s">
        <v>562</v>
      </c>
      <c r="C246" s="114" t="str">
        <f t="array" ref="C246">IF(D246="","",_xlfn.IFS(LEFT(D246,3)="VSI","Siti",LEFT(D246,2)="VH","Hardware",LEFT(D246,2)="VS","Software",LEFT(D246,2)="VN","Rete",LEFT(D246,2)="VP","Personale",LEFT(D246,2)="VO","Organizzazione"))</f>
        <v>Organizzazione</v>
      </c>
      <c r="D246" s="131" t="s">
        <v>393</v>
      </c>
      <c r="E246" s="114" t="str">
        <f>_xlfn.XLOOKUP(D246,vulnerabilità!$B:$B,vulnerabilità!$C:$C,"NON TROVATO")</f>
        <v>Piani di continuità operativa e ripristino non definiti, incompleti o non testati</v>
      </c>
    </row>
    <row r="247" spans="1:5">
      <c r="A247" s="131" t="s">
        <v>572</v>
      </c>
      <c r="B247" s="131" t="s">
        <v>562</v>
      </c>
      <c r="C247" s="114" t="str">
        <f t="array" ref="C247">IF(D247="","",_xlfn.IFS(LEFT(D247,3)="VSI","Siti",LEFT(D247,2)="VH","Hardware",LEFT(D247,2)="VS","Software",LEFT(D247,2)="VN","Rete",LEFT(D247,2)="VP","Personale",LEFT(D247,2)="VO","Organizzazione"))</f>
        <v>Organizzazione</v>
      </c>
      <c r="D247" s="131" t="s">
        <v>400</v>
      </c>
      <c r="E247" s="114" t="str">
        <f>_xlfn.XLOOKUP(D247,vulnerabilità!$B:$B,vulnerabilità!$C:$C,"NON TROVATO")</f>
        <v>Manutenzione e supporto dei componenti critici non adeguatamente definiti</v>
      </c>
    </row>
    <row r="248" spans="1:5">
      <c r="A248" s="131" t="s">
        <v>572</v>
      </c>
      <c r="B248" s="131" t="s">
        <v>562</v>
      </c>
      <c r="C248" s="114" t="str">
        <f t="array" ref="C248">IF(D248="","",_xlfn.IFS(LEFT(D248,3)="VSI","Siti",LEFT(D248,2)="VH","Hardware",LEFT(D248,2)="VS","Software",LEFT(D248,2)="VN","Rete",LEFT(D248,2)="VP","Personale",LEFT(D248,2)="VO","Organizzazione"))</f>
        <v>Hardware</v>
      </c>
      <c r="D248" s="131" t="s">
        <v>522</v>
      </c>
      <c r="E248" s="114" t="str">
        <f>_xlfn.XLOOKUP(D248,vulnerabilità!$B:$B,vulnerabilità!$C:$C,"NON TROVATO")</f>
        <v>Risorse di elaborazione o memorizzazione insufficienti rispetto al carico operativo</v>
      </c>
    </row>
    <row r="249" spans="1:5">
      <c r="A249" s="131" t="s">
        <v>572</v>
      </c>
      <c r="B249" s="131" t="s">
        <v>561</v>
      </c>
      <c r="C249" s="114" t="str">
        <f t="array" ref="C249">IF(D249="","",_xlfn.IFS(LEFT(D249,3)="VSI","Siti",LEFT(D249,2)="VH","Hardware",LEFT(D249,2)="VS","Software",LEFT(D249,2)="VN","Rete",LEFT(D249,2)="VP","Personale",LEFT(D249,2)="VO","Organizzazione"))</f>
        <v>Software</v>
      </c>
      <c r="D249" s="131" t="s">
        <v>487</v>
      </c>
      <c r="E249" s="114" t="str">
        <f>_xlfn.XLOOKUP(D249,vulnerabilità!$B:$B,vulnerabilità!$C:$C,"NON TROVATO")</f>
        <v>Documentazione tecnica o funzionale incompleta o non aggiornata</v>
      </c>
    </row>
    <row r="250" spans="1:5">
      <c r="A250" s="131" t="s">
        <v>572</v>
      </c>
      <c r="B250" s="131" t="s">
        <v>561</v>
      </c>
      <c r="C250" s="114" t="str">
        <f t="array" ref="C250">IF(D250="","",_xlfn.IFS(LEFT(D250,3)="VSI","Siti",LEFT(D250,2)="VH","Hardware",LEFT(D250,2)="VS","Software",LEFT(D250,2)="VN","Rete",LEFT(D250,2)="VP","Personale",LEFT(D250,2)="VO","Organizzazione"))</f>
        <v>Organizzazione</v>
      </c>
      <c r="D250" s="131" t="s">
        <v>408</v>
      </c>
      <c r="E250" s="114" t="str">
        <f>_xlfn.XLOOKUP(D250,vulnerabilità!$B:$B,vulnerabilità!$C:$C,"NON TROVATO")</f>
        <v>Ruoli e responsabilità per sicurezza, gestione del modello e supervisione umana non assegnati chiaramente</v>
      </c>
    </row>
    <row r="251" spans="1:5">
      <c r="A251" s="131" t="s">
        <v>572</v>
      </c>
      <c r="B251" s="131" t="s">
        <v>561</v>
      </c>
      <c r="C251" s="114" t="str">
        <f t="array" ref="C251">IF(D251="","",_xlfn.IFS(LEFT(D251,3)="VSI","Siti",LEFT(D251,2)="VH","Hardware",LEFT(D251,2)="VS","Software",LEFT(D251,2)="VN","Rete",LEFT(D251,2)="VP","Personale",LEFT(D251,2)="VO","Organizzazione"))</f>
        <v>Organizzazione</v>
      </c>
      <c r="D251" s="131" t="s">
        <v>389</v>
      </c>
      <c r="E251" s="114" t="str">
        <f>_xlfn.XLOOKUP(D251,vulnerabilità!$B:$B,vulnerabilità!$C:$C,"NON TROVATO")</f>
        <v>Documentazione del ciclo di vita di ISaAC incompleta o non aggiornata</v>
      </c>
    </row>
    <row r="252" spans="1:5">
      <c r="A252" s="131" t="s">
        <v>572</v>
      </c>
      <c r="B252" s="131" t="s">
        <v>561</v>
      </c>
      <c r="C252" s="114" t="str">
        <f t="array" ref="C252">IF(D252="","",_xlfn.IFS(LEFT(D252,3)="VSI","Siti",LEFT(D252,2)="VH","Hardware",LEFT(D252,2)="VS","Software",LEFT(D252,2)="VN","Rete",LEFT(D252,2)="VP","Personale",LEFT(D252,2)="VO","Organizzazione"))</f>
        <v>Organizzazione</v>
      </c>
      <c r="D252" s="131" t="s">
        <v>380</v>
      </c>
      <c r="E252" s="114" t="str">
        <f>_xlfn.XLOOKUP(D252,vulnerabilità!$B:$B,vulnerabilità!$C:$C,"NON TROVATO")</f>
        <v>Criteri minimi di accettazione delle prestazioni e soglie operative non formalizzati</v>
      </c>
    </row>
    <row r="253" spans="1:5">
      <c r="A253" s="131" t="s">
        <v>572</v>
      </c>
      <c r="B253" s="131" t="s">
        <v>560</v>
      </c>
      <c r="C253" s="114" t="str">
        <f t="array" ref="C253">IF(D253="","",_xlfn.IFS(LEFT(D253,3)="VSI","Siti",LEFT(D253,2)="VH","Hardware",LEFT(D253,2)="VS","Software",LEFT(D253,2)="VN","Rete",LEFT(D253,2)="VP","Personale",LEFT(D253,2)="VO","Organizzazione"))</f>
        <v>Organizzazione</v>
      </c>
      <c r="D253" s="131" t="s">
        <v>386</v>
      </c>
      <c r="E253" s="114" t="str">
        <f>_xlfn.XLOOKUP(D253,vulnerabilità!$B:$B,vulnerabilità!$C:$C,"NON TROVATO")</f>
        <v>Tempi e modalità di conservazione o cancellazione di immagini e log non definiti</v>
      </c>
    </row>
    <row r="254" spans="1:5">
      <c r="A254" s="131" t="s">
        <v>572</v>
      </c>
      <c r="B254" s="131" t="s">
        <v>560</v>
      </c>
      <c r="C254" s="114" t="str">
        <f t="array" ref="C254">IF(D254="","",_xlfn.IFS(LEFT(D254,3)="VSI","Siti",LEFT(D254,2)="VH","Hardware",LEFT(D254,2)="VS","Software",LEFT(D254,2)="VN","Rete",LEFT(D254,2)="VP","Personale",LEFT(D254,2)="VO","Organizzazione"))</f>
        <v>Organizzazione</v>
      </c>
      <c r="D254" s="131" t="s">
        <v>384</v>
      </c>
      <c r="E254" s="114" t="str">
        <f>_xlfn.XLOOKUP(D254,vulnerabilità!$B:$B,vulnerabilità!$C:$C,"NON TROVATO")</f>
        <v>Finalità di utilizzo e regole di accesso alle immagini e alle segnalazioni non adeguatamente definite</v>
      </c>
    </row>
    <row r="255" spans="1:5">
      <c r="A255" s="131" t="s">
        <v>572</v>
      </c>
      <c r="B255" s="131" t="s">
        <v>560</v>
      </c>
      <c r="C255" s="114" t="str">
        <f t="array" ref="C255">IF(D255="","",_xlfn.IFS(LEFT(D255,3)="VSI","Siti",LEFT(D255,2)="VH","Hardware",LEFT(D255,2)="VS","Software",LEFT(D255,2)="VN","Rete",LEFT(D255,2)="VP","Personale",LEFT(D255,2)="VO","Organizzazione"))</f>
        <v>Hardware</v>
      </c>
      <c r="D255" s="131" t="s">
        <v>516</v>
      </c>
      <c r="E255" s="114" t="str">
        <f>_xlfn.XLOOKUP(D255,vulnerabilità!$B:$B,vulnerabilità!$C:$C,"NON TROVATO")</f>
        <v>Memorizzazione locale non cifrata o non adeguatamente protetta</v>
      </c>
    </row>
    <row r="256" spans="1:5">
      <c r="A256" s="131" t="s">
        <v>572</v>
      </c>
      <c r="B256" s="131" t="s">
        <v>560</v>
      </c>
      <c r="C256" s="114" t="str">
        <f t="array" ref="C256">IF(D256="","",_xlfn.IFS(LEFT(D256,3)="VSI","Siti",LEFT(D256,2)="VH","Hardware",LEFT(D256,2)="VS","Software",LEFT(D256,2)="VN","Rete",LEFT(D256,2)="VP","Personale",LEFT(D256,2)="VO","Organizzazione"))</f>
        <v>Hardware</v>
      </c>
      <c r="D256" s="131" t="s">
        <v>512</v>
      </c>
      <c r="E256" s="114" t="str">
        <f>_xlfn.XLOOKUP(D256,vulnerabilità!$B:$B,vulnerabilità!$C:$C,"NON TROVATO")</f>
        <v>Smaltimento o riutilizzo non sicuro di dispositivi e supporti</v>
      </c>
    </row>
    <row r="257" spans="1:5">
      <c r="A257" s="131" t="s">
        <v>572</v>
      </c>
      <c r="B257" s="131" t="s">
        <v>560</v>
      </c>
      <c r="C257" s="114" t="str">
        <f t="array" ref="C257">IF(D257="","",_xlfn.IFS(LEFT(D257,3)="VSI","Siti",LEFT(D257,2)="VH","Hardware",LEFT(D257,2)="VS","Software",LEFT(D257,2)="VN","Rete",LEFT(D257,2)="VP","Personale",LEFT(D257,2)="VO","Organizzazione"))</f>
        <v>Software</v>
      </c>
      <c r="D257" s="131" t="s">
        <v>493</v>
      </c>
      <c r="E257" s="114" t="str">
        <f>_xlfn.XLOOKUP(D257,vulnerabilità!$B:$B,vulnerabilità!$C:$C,"NON TROVATO")</f>
        <v>Configurazione insufficiente dei log o audit trail incompleti</v>
      </c>
    </row>
    <row r="258" spans="1:5">
      <c r="A258" s="131" t="s">
        <v>572</v>
      </c>
      <c r="B258" s="131" t="s">
        <v>559</v>
      </c>
      <c r="C258" s="114" t="str">
        <f t="array" ref="C258">IF(D258="","",_xlfn.IFS(LEFT(D258,3)="VSI","Siti",LEFT(D258,2)="VH","Hardware",LEFT(D258,2)="VS","Software",LEFT(D258,2)="VN","Rete",LEFT(D258,2)="VP","Personale",LEFT(D258,2)="VO","Organizzazione"))</f>
        <v>Organizzazione</v>
      </c>
      <c r="D258" s="131" t="s">
        <v>398</v>
      </c>
      <c r="E258" s="114" t="str">
        <f>_xlfn.XLOOKUP(D258,vulnerabilità!$B:$B,vulnerabilità!$C:$C,"NON TROVATO")</f>
        <v>Processo di gestione dei rischi non implementato, non aggiornato o non collegato ai cambiamenti di ISaAC</v>
      </c>
    </row>
    <row r="259" spans="1:5">
      <c r="A259" s="131" t="s">
        <v>572</v>
      </c>
      <c r="B259" s="131" t="s">
        <v>559</v>
      </c>
      <c r="C259" s="114" t="str">
        <f t="array" ref="C259">IF(D259="","",_xlfn.IFS(LEFT(D259,3)="VSI","Siti",LEFT(D259,2)="VH","Hardware",LEFT(D259,2)="VS","Software",LEFT(D259,2)="VN","Rete",LEFT(D259,2)="VP","Personale",LEFT(D259,2)="VO","Organizzazione"))</f>
        <v>Organizzazione</v>
      </c>
      <c r="D259" s="131" t="s">
        <v>397</v>
      </c>
      <c r="E259" s="114" t="str">
        <f>_xlfn.XLOOKUP(D259,vulnerabilità!$B:$B,vulnerabilità!$C:$C,"NON TROVATO")</f>
        <v>Audit periodici sul sistema e sui processi correlati assenti o insufficienti</v>
      </c>
    </row>
    <row r="260" spans="1:5">
      <c r="A260" s="131" t="s">
        <v>572</v>
      </c>
      <c r="B260" s="131" t="s">
        <v>559</v>
      </c>
      <c r="C260" s="114" t="str">
        <f t="array" ref="C260">IF(D260="","",_xlfn.IFS(LEFT(D260,3)="VSI","Siti",LEFT(D260,2)="VH","Hardware",LEFT(D260,2)="VS","Software",LEFT(D260,2)="VN","Rete",LEFT(D260,2)="VP","Personale",LEFT(D260,2)="VO","Organizzazione"))</f>
        <v>Organizzazione</v>
      </c>
      <c r="D260" s="131" t="s">
        <v>389</v>
      </c>
      <c r="E260" s="114" t="str">
        <f>_xlfn.XLOOKUP(D260,vulnerabilità!$B:$B,vulnerabilità!$C:$C,"NON TROVATO")</f>
        <v>Documentazione del ciclo di vita di ISaAC incompleta o non aggiornata</v>
      </c>
    </row>
    <row r="261" spans="1:5">
      <c r="A261" s="131" t="s">
        <v>572</v>
      </c>
      <c r="B261" s="131" t="s">
        <v>559</v>
      </c>
      <c r="C261" s="114" t="str">
        <f t="array" ref="C261">IF(D261="","",_xlfn.IFS(LEFT(D261,3)="VSI","Siti",LEFT(D261,2)="VH","Hardware",LEFT(D261,2)="VS","Software",LEFT(D261,2)="VN","Rete",LEFT(D261,2)="VP","Personale",LEFT(D261,2)="VO","Organizzazione"))</f>
        <v>Organizzazione</v>
      </c>
      <c r="D261" s="131" t="s">
        <v>378</v>
      </c>
      <c r="E261" s="114" t="str">
        <f>_xlfn.XLOOKUP(D261,vulnerabilità!$B:$B,vulnerabilità!$C:$C,"NON TROVATO")</f>
        <v>Riesame periodico del modello e del contesto operativo assente o insufficiente</v>
      </c>
    </row>
    <row r="262" spans="1:5">
      <c r="A262" s="131" t="s">
        <v>558</v>
      </c>
      <c r="B262" s="131" t="s">
        <v>557</v>
      </c>
      <c r="C262" s="114" t="str">
        <f t="array" ref="C262">IF(D262="","",_xlfn.IFS(LEFT(D262,3)="VSI","Siti",LEFT(D262,2)="VH","Hardware",LEFT(D262,2)="VS","Software",LEFT(D262,2)="VN","Rete",LEFT(D262,2)="VP","Personale",LEFT(D262,2)="VO","Organizzazione"))</f>
        <v>Organizzazione</v>
      </c>
      <c r="D262" s="131" t="s">
        <v>395</v>
      </c>
      <c r="E262" s="114" t="str">
        <f>_xlfn.XLOOKUP(D262,vulnerabilità!$B:$B,vulnerabilità!$C:$C,"NON TROVATO")</f>
        <v>Change management non formalizzato per software, modelli, dataset, soglie e configurazioni</v>
      </c>
    </row>
    <row r="263" spans="1:5">
      <c r="A263" s="131" t="s">
        <v>558</v>
      </c>
      <c r="B263" s="131" t="s">
        <v>557</v>
      </c>
      <c r="C263" s="114" t="str">
        <f t="array" ref="C263">IF(D263="","",_xlfn.IFS(LEFT(D263,3)="VSI","Siti",LEFT(D263,2)="VH","Hardware",LEFT(D263,2)="VS","Software",LEFT(D263,2)="VN","Rete",LEFT(D263,2)="VP","Personale",LEFT(D263,2)="VO","Organizzazione"))</f>
        <v>Software</v>
      </c>
      <c r="D263" s="131" t="s">
        <v>491</v>
      </c>
      <c r="E263" s="114" t="str">
        <f>_xlfn.XLOOKUP(D263,vulnerabilità!$B:$B,vulnerabilità!$C:$C,"NON TROVATO")</f>
        <v>Distribuzione, rilascio o aggiornamento del software non controllato</v>
      </c>
    </row>
    <row r="264" spans="1:5">
      <c r="A264" s="131" t="s">
        <v>558</v>
      </c>
      <c r="B264" s="131" t="s">
        <v>557</v>
      </c>
      <c r="C264" s="114" t="str">
        <f t="array" ref="C264">IF(D264="","",_xlfn.IFS(LEFT(D264,3)="VSI","Siti",LEFT(D264,2)="VH","Hardware",LEFT(D264,2)="VS","Software",LEFT(D264,2)="VN","Rete",LEFT(D264,2)="VP","Personale",LEFT(D264,2)="VO","Organizzazione"))</f>
        <v>Hardware</v>
      </c>
      <c r="D264" s="131" t="s">
        <v>518</v>
      </c>
      <c r="E264" s="114" t="str">
        <f>_xlfn.XLOOKUP(D264,vulnerabilità!$B:$B,vulnerabilità!$C:$C,"NON TROVATO")</f>
        <v xml:space="preserve">Controllo inefficace delle modifiche hardware </v>
      </c>
    </row>
    <row r="265" spans="1:5">
      <c r="A265" s="131" t="s">
        <v>558</v>
      </c>
      <c r="B265" s="131" t="s">
        <v>557</v>
      </c>
      <c r="C265" s="114" t="str">
        <f t="array" ref="C265">IF(D265="","",_xlfn.IFS(LEFT(D265,3)="VSI","Siti",LEFT(D265,2)="VH","Hardware",LEFT(D265,2)="VS","Software",LEFT(D265,2)="VN","Rete",LEFT(D265,2)="VP","Personale",LEFT(D265,2)="VO","Organizzazione"))</f>
        <v>Rete</v>
      </c>
      <c r="D265" s="131" t="s">
        <v>444</v>
      </c>
      <c r="E265" s="114" t="str">
        <f>_xlfn.XLOOKUP(D265,vulnerabilità!$B:$B,vulnerabilità!$C:$C,"NON TROVATO")</f>
        <v>Configurazioni o modifiche della rete non documentate e non controllate</v>
      </c>
    </row>
    <row r="266" spans="1:5">
      <c r="A266" s="131" t="s">
        <v>558</v>
      </c>
      <c r="B266" s="131" t="s">
        <v>557</v>
      </c>
      <c r="C266" s="114" t="str">
        <f t="array" ref="C266">IF(D266="","",_xlfn.IFS(LEFT(D266,3)="VSI","Siti",LEFT(D266,2)="VH","Hardware",LEFT(D266,2)="VS","Software",LEFT(D266,2)="VN","Rete",LEFT(D266,2)="VP","Personale",LEFT(D266,2)="VO","Organizzazione"))</f>
        <v>Organizzazione</v>
      </c>
      <c r="D266" s="131" t="s">
        <v>376</v>
      </c>
      <c r="E266" s="114" t="str">
        <f>_xlfn.XLOOKUP(D266,vulnerabilità!$B:$B,vulnerabilità!$C:$C,"NON TROVATO")</f>
        <v>Modifiche del fornitore e dipendenze esterne non monitorate o valutate prima dell’adozione</v>
      </c>
    </row>
    <row r="267" spans="1:5">
      <c r="A267" s="131" t="s">
        <v>558</v>
      </c>
      <c r="B267" s="131" t="s">
        <v>556</v>
      </c>
      <c r="C267" s="114" t="str">
        <f t="array" ref="C267">IF(D267="","",_xlfn.IFS(LEFT(D267,3)="VSI","Siti",LEFT(D267,2)="VH","Hardware",LEFT(D267,2)="VS","Software",LEFT(D267,2)="VN","Rete",LEFT(D267,2)="VP","Personale",LEFT(D267,2)="VO","Organizzazione"))</f>
        <v>Personale</v>
      </c>
      <c r="D267" s="131" t="s">
        <v>436</v>
      </c>
      <c r="E267" s="114" t="str">
        <f>_xlfn.XLOOKUP(D267,vulnerabilità!$B:$B,vulnerabilità!$C:$C,"NON TROVATO")</f>
        <v>Errori nell’installazione, configurazione, manutenzione o utilizzo del sistema</v>
      </c>
    </row>
    <row r="268" spans="1:5">
      <c r="A268" s="131" t="s">
        <v>558</v>
      </c>
      <c r="B268" s="131" t="s">
        <v>556</v>
      </c>
      <c r="C268" s="114" t="str">
        <f t="array" ref="C268">IF(D268="","",_xlfn.IFS(LEFT(D268,3)="VSI","Siti",LEFT(D268,2)="VH","Hardware",LEFT(D268,2)="VS","Software",LEFT(D268,2)="VN","Rete",LEFT(D268,2)="VP","Personale",LEFT(D268,2)="VO","Organizzazione"))</f>
        <v>Software</v>
      </c>
      <c r="D268" s="131" t="s">
        <v>471</v>
      </c>
      <c r="E268" s="114" t="str">
        <f>_xlfn.XLOOKUP(D268,vulnerabilità!$B:$B,vulnerabilità!$C:$C,"NON TROVATO")</f>
        <v>Soglie di confidenza o parametri di inferenza non adeguatamente calibrati</v>
      </c>
    </row>
    <row r="269" spans="1:5">
      <c r="A269" s="131" t="s">
        <v>558</v>
      </c>
      <c r="B269" s="131" t="s">
        <v>556</v>
      </c>
      <c r="C269" s="114" t="str">
        <f t="array" ref="C269">IF(D269="","",_xlfn.IFS(LEFT(D269,3)="VSI","Siti",LEFT(D269,2)="VH","Hardware",LEFT(D269,2)="VS","Software",LEFT(D269,2)="VN","Rete",LEFT(D269,2)="VP","Personale",LEFT(D269,2)="VO","Organizzazione"))</f>
        <v>Organizzazione</v>
      </c>
      <c r="D269" s="131" t="s">
        <v>395</v>
      </c>
      <c r="E269" s="114" t="str">
        <f>_xlfn.XLOOKUP(D269,vulnerabilità!$B:$B,vulnerabilità!$C:$C,"NON TROVATO")</f>
        <v>Change management non formalizzato per software, modelli, dataset, soglie e configurazioni</v>
      </c>
    </row>
    <row r="270" spans="1:5">
      <c r="A270" s="131" t="s">
        <v>558</v>
      </c>
      <c r="B270" s="131" t="s">
        <v>556</v>
      </c>
      <c r="C270" s="114" t="str">
        <f t="array" ref="C270">IF(D270="","",_xlfn.IFS(LEFT(D270,3)="VSI","Siti",LEFT(D270,2)="VH","Hardware",LEFT(D270,2)="VS","Software",LEFT(D270,2)="VN","Rete",LEFT(D270,2)="VP","Personale",LEFT(D270,2)="VO","Organizzazione"))</f>
        <v>Software</v>
      </c>
      <c r="D270" s="131" t="s">
        <v>487</v>
      </c>
      <c r="E270" s="114" t="str">
        <f>_xlfn.XLOOKUP(D270,vulnerabilità!$B:$B,vulnerabilità!$C:$C,"NON TROVATO")</f>
        <v>Documentazione tecnica o funzionale incompleta o non aggiornata</v>
      </c>
    </row>
    <row r="271" spans="1:5">
      <c r="A271" s="131" t="s">
        <v>558</v>
      </c>
      <c r="B271" s="131" t="s">
        <v>556</v>
      </c>
      <c r="C271" s="114" t="str">
        <f t="array" ref="C271">IF(D271="","",_xlfn.IFS(LEFT(D271,3)="VSI","Siti",LEFT(D271,2)="VH","Hardware",LEFT(D271,2)="VS","Software",LEFT(D271,2)="VN","Rete",LEFT(D271,2)="VP","Personale",LEFT(D271,2)="VO","Organizzazione"))</f>
        <v>Hardware</v>
      </c>
      <c r="D271" s="131" t="s">
        <v>530</v>
      </c>
      <c r="E271" s="114" t="str">
        <f>_xlfn.XLOOKUP(D271,vulnerabilità!$B:$B,vulnerabilità!$C:$C,"NON TROVATO")</f>
        <v>Manutenzione o sostituzione inadeguata di telecamere, dispositivi Edge e apparati di supporto</v>
      </c>
    </row>
    <row r="272" spans="1:5">
      <c r="A272" s="131" t="s">
        <v>558</v>
      </c>
      <c r="B272" s="131" t="s">
        <v>555</v>
      </c>
      <c r="C272" s="114" t="str">
        <f t="array" ref="C272">IF(D272="","",_xlfn.IFS(LEFT(D272,3)="VSI","Siti",LEFT(D272,2)="VH","Hardware",LEFT(D272,2)="VS","Software",LEFT(D272,2)="VN","Rete",LEFT(D272,2)="VP","Personale",LEFT(D272,2)="VO","Organizzazione"))</f>
        <v>Rete</v>
      </c>
      <c r="D272" s="131" t="s">
        <v>452</v>
      </c>
      <c r="E272" s="114" t="str">
        <f>_xlfn.XLOOKUP(D272,vulnerabilità!$B:$B,vulnerabilità!$C:$C,"NON TROVATO")</f>
        <v>Dipendenza da un unico apparato o collegamento di rete, senza alternative in caso di guasto</v>
      </c>
    </row>
    <row r="273" spans="1:5">
      <c r="A273" s="131" t="s">
        <v>558</v>
      </c>
      <c r="B273" s="131" t="s">
        <v>555</v>
      </c>
      <c r="C273" s="114" t="str">
        <f t="array" ref="C273">IF(D273="","",_xlfn.IFS(LEFT(D273,3)="VSI","Siti",LEFT(D273,2)="VH","Hardware",LEFT(D273,2)="VS","Software",LEFT(D273,2)="VN","Rete",LEFT(D273,2)="VP","Personale",LEFT(D273,2)="VO","Organizzazione"))</f>
        <v>Rete</v>
      </c>
      <c r="D273" s="131" t="s">
        <v>442</v>
      </c>
      <c r="E273" s="114" t="str">
        <f>_xlfn.XLOOKUP(D273,vulnerabilità!$B:$B,vulnerabilità!$C:$C,"NON TROVATO")</f>
        <v>Capacità, latenza o qualità del collegamento non monitorate rispetto ai requisiti operativi</v>
      </c>
    </row>
    <row r="274" spans="1:5">
      <c r="A274" s="131" t="s">
        <v>558</v>
      </c>
      <c r="B274" s="131" t="s">
        <v>555</v>
      </c>
      <c r="C274" s="114" t="str">
        <f t="array" ref="C274">IF(D274="","",_xlfn.IFS(LEFT(D274,3)="VSI","Siti",LEFT(D274,2)="VH","Hardware",LEFT(D274,2)="VS","Software",LEFT(D274,2)="VN","Rete",LEFT(D274,2)="VP","Personale",LEFT(D274,2)="VO","Organizzazione"))</f>
        <v>Organizzazione</v>
      </c>
      <c r="D274" s="131" t="s">
        <v>393</v>
      </c>
      <c r="E274" s="114" t="str">
        <f>_xlfn.XLOOKUP(D274,vulnerabilità!$B:$B,vulnerabilità!$C:$C,"NON TROVATO")</f>
        <v>Piani di continuità operativa e ripristino non definiti, incompleti o non testati</v>
      </c>
    </row>
    <row r="275" spans="1:5">
      <c r="A275" s="131" t="s">
        <v>558</v>
      </c>
      <c r="B275" s="131" t="s">
        <v>555</v>
      </c>
      <c r="C275" s="114" t="str">
        <f t="array" ref="C275">IF(D275="","",_xlfn.IFS(LEFT(D275,3)="VSI","Siti",LEFT(D275,2)="VH","Hardware",LEFT(D275,2)="VS","Software",LEFT(D275,2)="VN","Rete",LEFT(D275,2)="VP","Personale",LEFT(D275,2)="VO","Organizzazione"))</f>
        <v>Organizzazione</v>
      </c>
      <c r="D275" s="131" t="s">
        <v>400</v>
      </c>
      <c r="E275" s="114" t="str">
        <f>_xlfn.XLOOKUP(D275,vulnerabilità!$B:$B,vulnerabilità!$C:$C,"NON TROVATO")</f>
        <v>Manutenzione e supporto dei componenti critici non adeguatamente definiti</v>
      </c>
    </row>
    <row r="276" spans="1:5">
      <c r="A276" s="131" t="s">
        <v>558</v>
      </c>
      <c r="B276" s="131" t="s">
        <v>555</v>
      </c>
      <c r="C276" s="114" t="str">
        <f t="array" ref="C276">IF(D276="","",_xlfn.IFS(LEFT(D276,3)="VSI","Siti",LEFT(D276,2)="VH","Hardware",LEFT(D276,2)="VS","Software",LEFT(D276,2)="VN","Rete",LEFT(D276,2)="VP","Personale",LEFT(D276,2)="VO","Organizzazione"))</f>
        <v>Hardware</v>
      </c>
      <c r="D276" s="131" t="s">
        <v>530</v>
      </c>
      <c r="E276" s="114" t="str">
        <f>_xlfn.XLOOKUP(D276,vulnerabilità!$B:$B,vulnerabilità!$C:$C,"NON TROVATO")</f>
        <v>Manutenzione o sostituzione inadeguata di telecamere, dispositivi Edge e apparati di supporto</v>
      </c>
    </row>
    <row r="277" spans="1:5">
      <c r="A277" s="131" t="s">
        <v>558</v>
      </c>
      <c r="B277" s="131" t="s">
        <v>554</v>
      </c>
      <c r="C277" s="114" t="str">
        <f t="array" ref="C277">IF(D277="","",_xlfn.IFS(LEFT(D277,3)="VSI","Siti",LEFT(D277,2)="VH","Hardware",LEFT(D277,2)="VS","Software",LEFT(D277,2)="VN","Rete",LEFT(D277,2)="VP","Personale",LEFT(D277,2)="VO","Organizzazione"))</f>
        <v>Software</v>
      </c>
      <c r="D277" s="131" t="s">
        <v>509</v>
      </c>
      <c r="E277" s="114" t="str">
        <f>_xlfn.XLOOKUP(D277,vulnerabilità!$B:$B,vulnerabilità!$C:$C,"NON TROVATO")</f>
        <v>Test funzionali, di sicurezza o di robustezza assenti o insufficienti</v>
      </c>
    </row>
    <row r="278" spans="1:5">
      <c r="A278" s="131" t="s">
        <v>558</v>
      </c>
      <c r="B278" s="131" t="s">
        <v>554</v>
      </c>
      <c r="C278" s="114" t="str">
        <f t="array" ref="C278">IF(D278="","",_xlfn.IFS(LEFT(D278,3)="VSI","Siti",LEFT(D278,2)="VH","Hardware",LEFT(D278,2)="VS","Software",LEFT(D278,2)="VN","Rete",LEFT(D278,2)="VP","Personale",LEFT(D278,2)="VO","Organizzazione"))</f>
        <v>Software</v>
      </c>
      <c r="D278" s="131" t="s">
        <v>507</v>
      </c>
      <c r="E278" s="114" t="str">
        <f>_xlfn.XLOOKUP(D278,vulnerabilità!$B:$B,vulnerabilità!$C:$C,"NON TROVATO")</f>
        <v>Vulnerabilità software note non risolte o gestione delle patch inefficace</v>
      </c>
    </row>
    <row r="279" spans="1:5">
      <c r="A279" s="131" t="s">
        <v>558</v>
      </c>
      <c r="B279" s="131" t="s">
        <v>554</v>
      </c>
      <c r="C279" s="114" t="str">
        <f t="array" ref="C279">IF(D279="","",_xlfn.IFS(LEFT(D279,3)="VSI","Siti",LEFT(D279,2)="VH","Hardware",LEFT(D279,2)="VS","Software",LEFT(D279,2)="VN","Rete",LEFT(D279,2)="VP","Personale",LEFT(D279,2)="VO","Organizzazione"))</f>
        <v>Software</v>
      </c>
      <c r="D279" s="131" t="s">
        <v>505</v>
      </c>
      <c r="E279" s="114" t="str">
        <f>_xlfn.XLOOKUP(D279,vulnerabilità!$B:$B,vulnerabilità!$C:$C,"NON TROVATO")</f>
        <v>Librerie, framework o dipendenze di terze parti obsolete o non verificate</v>
      </c>
    </row>
    <row r="280" spans="1:5">
      <c r="A280" s="131" t="s">
        <v>558</v>
      </c>
      <c r="B280" s="131" t="s">
        <v>554</v>
      </c>
      <c r="C280" s="114" t="str">
        <f t="array" ref="C280">IF(D280="","",_xlfn.IFS(LEFT(D280,3)="VSI","Siti",LEFT(D280,2)="VH","Hardware",LEFT(D280,2)="VS","Software",LEFT(D280,2)="VN","Rete",LEFT(D280,2)="VP","Personale",LEFT(D280,2)="VO","Organizzazione"))</f>
        <v>Software</v>
      </c>
      <c r="D280" s="131" t="s">
        <v>503</v>
      </c>
      <c r="E280" s="114" t="str">
        <f>_xlfn.XLOOKUP(D280,vulnerabilità!$B:$B,vulnerabilità!$C:$C,"NON TROVATO")</f>
        <v>Configurazioni di sicurezza insufficienti o presenza di servizi e funzionalità non necessari.</v>
      </c>
    </row>
    <row r="281" spans="1:5">
      <c r="A281" s="131" t="s">
        <v>558</v>
      </c>
      <c r="B281" s="131" t="s">
        <v>554</v>
      </c>
      <c r="C281" s="114" t="str">
        <f t="array" ref="C281">IF(D281="","",_xlfn.IFS(LEFT(D281,3)="VSI","Siti",LEFT(D281,2)="VH","Hardware",LEFT(D281,2)="VS","Software",LEFT(D281,2)="VN","Rete",LEFT(D281,2)="VP","Personale",LEFT(D281,2)="VO","Organizzazione"))</f>
        <v>Software</v>
      </c>
      <c r="D281" s="131" t="s">
        <v>495</v>
      </c>
      <c r="E281" s="114" t="str">
        <f>_xlfn.XLOOKUP(D281,vulnerabilità!$B:$B,vulnerabilità!$C:$C,"NON TROVATO")</f>
        <v>Servizi, interfacce o porte non necessari abilitati</v>
      </c>
    </row>
    <row r="282" spans="1:5">
      <c r="A282" s="131" t="s">
        <v>558</v>
      </c>
      <c r="B282" s="131" t="s">
        <v>553</v>
      </c>
      <c r="C282" s="114" t="str">
        <f t="array" ref="C282">IF(D282="","",_xlfn.IFS(LEFT(D282,3)="VSI","Siti",LEFT(D282,2)="VH","Hardware",LEFT(D282,2)="VS","Software",LEFT(D282,2)="VN","Rete",LEFT(D282,2)="VP","Personale",LEFT(D282,2)="VO","Organizzazione"))</f>
        <v>Software</v>
      </c>
      <c r="D282" s="131" t="s">
        <v>501</v>
      </c>
      <c r="E282" s="114" t="str">
        <f>_xlfn.XLOOKUP(D282,vulnerabilità!$B:$B,vulnerabilità!$C:$C,"NON TROVATO")</f>
        <v>Meccanismi di autenticazione o identificazione utente insufficienti</v>
      </c>
    </row>
    <row r="283" spans="1:5">
      <c r="A283" s="131" t="s">
        <v>558</v>
      </c>
      <c r="B283" s="131" t="s">
        <v>553</v>
      </c>
      <c r="C283" s="114" t="str">
        <f t="array" ref="C283">IF(D283="","",_xlfn.IFS(LEFT(D283,3)="VSI","Siti",LEFT(D283,2)="VH","Hardware",LEFT(D283,2)="VS","Software",LEFT(D283,2)="VN","Rete",LEFT(D283,2)="VP","Personale",LEFT(D283,2)="VO","Organizzazione"))</f>
        <v>Software</v>
      </c>
      <c r="D283" s="131" t="s">
        <v>499</v>
      </c>
      <c r="E283" s="114" t="str">
        <f>_xlfn.XLOOKUP(D283,vulnerabilità!$B:$B,vulnerabilità!$C:$C,"NON TROVATO")</f>
        <v>Assegnazione errata dei privilegi e dei diritti di accesso</v>
      </c>
    </row>
    <row r="284" spans="1:5">
      <c r="A284" s="131" t="s">
        <v>558</v>
      </c>
      <c r="B284" s="131" t="s">
        <v>553</v>
      </c>
      <c r="C284" s="114" t="str">
        <f t="array" ref="C284">IF(D284="","",_xlfn.IFS(LEFT(D284,3)="VSI","Siti",LEFT(D284,2)="VH","Hardware",LEFT(D284,2)="VS","Software",LEFT(D284,2)="VN","Rete",LEFT(D284,2)="VP","Personale",LEFT(D284,2)="VO","Organizzazione"))</f>
        <v>Software</v>
      </c>
      <c r="D284" s="131" t="s">
        <v>497</v>
      </c>
      <c r="E284" s="114" t="str">
        <f>_xlfn.XLOOKUP(D284,vulnerabilità!$B:$B,vulnerabilità!$C:$C,"NON TROVATO")</f>
        <v>Credenziali, token o chiavi crittografiche archiviati in modo non sicuro</v>
      </c>
    </row>
    <row r="285" spans="1:5">
      <c r="A285" s="131" t="s">
        <v>558</v>
      </c>
      <c r="B285" s="131" t="s">
        <v>553</v>
      </c>
      <c r="C285" s="114" t="str">
        <f t="array" ref="C285">IF(D285="","",_xlfn.IFS(LEFT(D285,3)="VSI","Siti",LEFT(D285,2)="VH","Hardware",LEFT(D285,2)="VS","Software",LEFT(D285,2)="VN","Rete",LEFT(D285,2)="VP","Personale",LEFT(D285,2)="VO","Organizzazione"))</f>
        <v>Organizzazione</v>
      </c>
      <c r="D285" s="131" t="s">
        <v>406</v>
      </c>
      <c r="E285" s="114" t="str">
        <f>_xlfn.XLOOKUP(D285,vulnerabilità!$B:$B,vulnerabilità!$C:$C,"NON TROVATO")</f>
        <v>Procedure di abilitazione, modifica e revoca degli accessi non formalizzate o inefficaci</v>
      </c>
    </row>
    <row r="286" spans="1:5">
      <c r="A286" s="131" t="s">
        <v>558</v>
      </c>
      <c r="B286" s="131" t="s">
        <v>553</v>
      </c>
      <c r="C286" s="114" t="str">
        <f t="array" ref="C286">IF(D286="","",_xlfn.IFS(LEFT(D286,3)="VSI","Siti",LEFT(D286,2)="VH","Hardware",LEFT(D286,2)="VS","Software",LEFT(D286,2)="VN","Rete",LEFT(D286,2)="VP","Personale",LEFT(D286,2)="VO","Organizzazione"))</f>
        <v>Organizzazione</v>
      </c>
      <c r="D286" s="131" t="s">
        <v>404</v>
      </c>
      <c r="E286" s="114" t="str">
        <f>_xlfn.XLOOKUP(D286,vulnerabilità!$B:$B,vulnerabilità!$C:$C,"NON TROVATO")</f>
        <v>Revisione periodica dei privilegi e degli account tecnici assente o insufficiente</v>
      </c>
    </row>
    <row r="287" spans="1:5">
      <c r="A287" s="131" t="s">
        <v>558</v>
      </c>
      <c r="B287" s="131" t="s">
        <v>552</v>
      </c>
      <c r="C287" s="114" t="str">
        <f t="array" ref="C287">IF(D287="","",_xlfn.IFS(LEFT(D287,3)="VSI","Siti",LEFT(D287,2)="VH","Hardware",LEFT(D287,2)="VS","Software",LEFT(D287,2)="VN","Rete",LEFT(D287,2)="VP","Personale",LEFT(D287,2)="VO","Organizzazione"))</f>
        <v>Organizzazione</v>
      </c>
      <c r="D287" s="131" t="s">
        <v>386</v>
      </c>
      <c r="E287" s="114" t="str">
        <f>_xlfn.XLOOKUP(D287,vulnerabilità!$B:$B,vulnerabilità!$C:$C,"NON TROVATO")</f>
        <v>Tempi e modalità di conservazione o cancellazione di immagini e log non definiti</v>
      </c>
    </row>
    <row r="288" spans="1:5">
      <c r="A288" s="131" t="s">
        <v>558</v>
      </c>
      <c r="B288" s="131" t="s">
        <v>552</v>
      </c>
      <c r="C288" s="114" t="str">
        <f t="array" ref="C288">IF(D288="","",_xlfn.IFS(LEFT(D288,3)="VSI","Siti",LEFT(D288,2)="VH","Hardware",LEFT(D288,2)="VS","Software",LEFT(D288,2)="VN","Rete",LEFT(D288,2)="VP","Personale",LEFT(D288,2)="VO","Organizzazione"))</f>
        <v>Organizzazione</v>
      </c>
      <c r="D288" s="131" t="s">
        <v>384</v>
      </c>
      <c r="E288" s="114" t="str">
        <f>_xlfn.XLOOKUP(D288,vulnerabilità!$B:$B,vulnerabilità!$C:$C,"NON TROVATO")</f>
        <v>Finalità di utilizzo e regole di accesso alle immagini e alle segnalazioni non adeguatamente definite</v>
      </c>
    </row>
    <row r="289" spans="1:5">
      <c r="A289" s="131" t="s">
        <v>558</v>
      </c>
      <c r="B289" s="131" t="s">
        <v>552</v>
      </c>
      <c r="C289" s="114" t="str">
        <f t="array" ref="C289">IF(D289="","",_xlfn.IFS(LEFT(D289,3)="VSI","Siti",LEFT(D289,2)="VH","Hardware",LEFT(D289,2)="VS","Software",LEFT(D289,2)="VN","Rete",LEFT(D289,2)="VP","Personale",LEFT(D289,2)="VO","Organizzazione"))</f>
        <v>Hardware</v>
      </c>
      <c r="D289" s="131" t="s">
        <v>516</v>
      </c>
      <c r="E289" s="114" t="str">
        <f>_xlfn.XLOOKUP(D289,vulnerabilità!$B:$B,vulnerabilità!$C:$C,"NON TROVATO")</f>
        <v>Memorizzazione locale non cifrata o non adeguatamente protetta</v>
      </c>
    </row>
    <row r="290" spans="1:5">
      <c r="A290" s="131" t="s">
        <v>558</v>
      </c>
      <c r="B290" s="131" t="s">
        <v>552</v>
      </c>
      <c r="C290" s="114" t="str">
        <f t="array" ref="C290">IF(D290="","",_xlfn.IFS(LEFT(D290,3)="VSI","Siti",LEFT(D290,2)="VH","Hardware",LEFT(D290,2)="VS","Software",LEFT(D290,2)="VN","Rete",LEFT(D290,2)="VP","Personale",LEFT(D290,2)="VO","Organizzazione"))</f>
        <v>Hardware</v>
      </c>
      <c r="D290" s="131" t="s">
        <v>512</v>
      </c>
      <c r="E290" s="114" t="str">
        <f>_xlfn.XLOOKUP(D290,vulnerabilità!$B:$B,vulnerabilità!$C:$C,"NON TROVATO")</f>
        <v>Smaltimento o riutilizzo non sicuro di dispositivi e supporti</v>
      </c>
    </row>
    <row r="291" spans="1:5">
      <c r="A291" s="131" t="s">
        <v>558</v>
      </c>
      <c r="B291" s="131" t="s">
        <v>552</v>
      </c>
      <c r="C291" s="114" t="str">
        <f t="array" ref="C291">IF(D291="","",_xlfn.IFS(LEFT(D291,3)="VSI","Siti",LEFT(D291,2)="VH","Hardware",LEFT(D291,2)="VS","Software",LEFT(D291,2)="VN","Rete",LEFT(D291,2)="VP","Personale",LEFT(D291,2)="VO","Organizzazione"))</f>
        <v>Software</v>
      </c>
      <c r="D291" s="131" t="s">
        <v>493</v>
      </c>
      <c r="E291" s="114" t="str">
        <f>_xlfn.XLOOKUP(D291,vulnerabilità!$B:$B,vulnerabilità!$C:$C,"NON TROVATO")</f>
        <v>Configurazione insufficiente dei log o audit trail incompleti</v>
      </c>
    </row>
    <row r="292" spans="1:5">
      <c r="A292" s="131" t="s">
        <v>558</v>
      </c>
      <c r="B292" s="131" t="s">
        <v>551</v>
      </c>
      <c r="C292" s="114" t="str">
        <f t="array" ref="C292">IF(D292="","",_xlfn.IFS(LEFT(D292,3)="VSI","Siti",LEFT(D292,2)="VH","Hardware",LEFT(D292,2)="VS","Software",LEFT(D292,2)="VN","Rete",LEFT(D292,2)="VP","Personale",LEFT(D292,2)="VO","Organizzazione"))</f>
        <v>Rete</v>
      </c>
      <c r="D292" s="131" t="s">
        <v>452</v>
      </c>
      <c r="E292" s="114" t="str">
        <f>_xlfn.XLOOKUP(D292,vulnerabilità!$B:$B,vulnerabilità!$C:$C,"NON TROVATO")</f>
        <v>Dipendenza da un unico apparato o collegamento di rete, senza alternative in caso di guasto</v>
      </c>
    </row>
    <row r="293" spans="1:5">
      <c r="A293" s="131" t="s">
        <v>558</v>
      </c>
      <c r="B293" s="131" t="s">
        <v>551</v>
      </c>
      <c r="C293" s="114" t="str">
        <f t="array" ref="C293">IF(D293="","",_xlfn.IFS(LEFT(D293,3)="VSI","Siti",LEFT(D293,2)="VH","Hardware",LEFT(D293,2)="VS","Software",LEFT(D293,2)="VN","Rete",LEFT(D293,2)="VP","Personale",LEFT(D293,2)="VO","Organizzazione"))</f>
        <v>Rete</v>
      </c>
      <c r="D293" s="131" t="s">
        <v>442</v>
      </c>
      <c r="E293" s="114" t="str">
        <f>_xlfn.XLOOKUP(D293,vulnerabilità!$B:$B,vulnerabilità!$C:$C,"NON TROVATO")</f>
        <v>Capacità, latenza o qualità del collegamento non monitorate rispetto ai requisiti operativi</v>
      </c>
    </row>
    <row r="294" spans="1:5">
      <c r="A294" s="131" t="s">
        <v>558</v>
      </c>
      <c r="B294" s="131" t="s">
        <v>551</v>
      </c>
      <c r="C294" s="114" t="str">
        <f t="array" ref="C294">IF(D294="","",_xlfn.IFS(LEFT(D294,3)="VSI","Siti",LEFT(D294,2)="VH","Hardware",LEFT(D294,2)="VS","Software",LEFT(D294,2)="VN","Rete",LEFT(D294,2)="VP","Personale",LEFT(D294,2)="VO","Organizzazione"))</f>
        <v>Organizzazione</v>
      </c>
      <c r="D294" s="131" t="s">
        <v>393</v>
      </c>
      <c r="E294" s="114" t="str">
        <f>_xlfn.XLOOKUP(D294,vulnerabilità!$B:$B,vulnerabilità!$C:$C,"NON TROVATO")</f>
        <v>Piani di continuità operativa e ripristino non definiti, incompleti o non testati</v>
      </c>
    </row>
    <row r="295" spans="1:5">
      <c r="A295" s="131" t="s">
        <v>558</v>
      </c>
      <c r="B295" s="131" t="s">
        <v>551</v>
      </c>
      <c r="C295" s="114" t="str">
        <f t="array" ref="C295">IF(D295="","",_xlfn.IFS(LEFT(D295,3)="VSI","Siti",LEFT(D295,2)="VH","Hardware",LEFT(D295,2)="VS","Software",LEFT(D295,2)="VN","Rete",LEFT(D295,2)="VP","Personale",LEFT(D295,2)="VO","Organizzazione"))</f>
        <v>Organizzazione</v>
      </c>
      <c r="D295" s="131" t="s">
        <v>400</v>
      </c>
      <c r="E295" s="114" t="str">
        <f>_xlfn.XLOOKUP(D295,vulnerabilità!$B:$B,vulnerabilità!$C:$C,"NON TROVATO")</f>
        <v>Manutenzione e supporto dei componenti critici non adeguatamente definiti</v>
      </c>
    </row>
    <row r="296" spans="1:5">
      <c r="A296" s="131" t="s">
        <v>558</v>
      </c>
      <c r="B296" s="131" t="s">
        <v>551</v>
      </c>
      <c r="C296" s="114" t="str">
        <f t="array" ref="C296">IF(D296="","",_xlfn.IFS(LEFT(D296,3)="VSI","Siti",LEFT(D296,2)="VH","Hardware",LEFT(D296,2)="VS","Software",LEFT(D296,2)="VN","Rete",LEFT(D296,2)="VP","Personale",LEFT(D296,2)="VO","Organizzazione"))</f>
        <v>Hardware</v>
      </c>
      <c r="D296" s="131" t="s">
        <v>522</v>
      </c>
      <c r="E296" s="114" t="str">
        <f>_xlfn.XLOOKUP(D296,vulnerabilità!$B:$B,vulnerabilità!$C:$C,"NON TROVATO")</f>
        <v>Risorse di elaborazione o memorizzazione insufficienti rispetto al carico operativo</v>
      </c>
    </row>
    <row r="297" spans="1:5">
      <c r="A297" s="131" t="s">
        <v>558</v>
      </c>
      <c r="B297" s="131" t="s">
        <v>550</v>
      </c>
      <c r="C297" s="114" t="str">
        <f t="array" ref="C297">IF(D297="","",_xlfn.IFS(LEFT(D297,3)="VSI","Siti",LEFT(D297,2)="VH","Hardware",LEFT(D297,2)="VS","Software",LEFT(D297,2)="VN","Rete",LEFT(D297,2)="VP","Personale",LEFT(D297,2)="VO","Organizzazione"))</f>
        <v>Organizzazione</v>
      </c>
      <c r="D297" s="131" t="s">
        <v>400</v>
      </c>
      <c r="E297" s="114" t="str">
        <f>_xlfn.XLOOKUP(D297,vulnerabilità!$B:$B,vulnerabilità!$C:$C,"NON TROVATO")</f>
        <v>Manutenzione e supporto dei componenti critici non adeguatamente definiti</v>
      </c>
    </row>
    <row r="298" spans="1:5">
      <c r="A298" s="131" t="s">
        <v>558</v>
      </c>
      <c r="B298" s="131" t="s">
        <v>550</v>
      </c>
      <c r="C298" s="114" t="str">
        <f t="array" ref="C298">IF(D298="","",_xlfn.IFS(LEFT(D298,3)="VSI","Siti",LEFT(D298,2)="VH","Hardware",LEFT(D298,2)="VS","Software",LEFT(D298,2)="VN","Rete",LEFT(D298,2)="VP","Personale",LEFT(D298,2)="VO","Organizzazione"))</f>
        <v>Organizzazione</v>
      </c>
      <c r="D298" s="131" t="s">
        <v>393</v>
      </c>
      <c r="E298" s="114" t="str">
        <f>_xlfn.XLOOKUP(D298,vulnerabilità!$B:$B,vulnerabilità!$C:$C,"NON TROVATO")</f>
        <v>Piani di continuità operativa e ripristino non definiti, incompleti o non testati</v>
      </c>
    </row>
    <row r="299" spans="1:5">
      <c r="A299" s="131" t="s">
        <v>558</v>
      </c>
      <c r="B299" s="131" t="s">
        <v>550</v>
      </c>
      <c r="C299" s="114" t="str">
        <f t="array" ref="C299">IF(D299="","",_xlfn.IFS(LEFT(D299,3)="VSI","Siti",LEFT(D299,2)="VH","Hardware",LEFT(D299,2)="VS","Software",LEFT(D299,2)="VN","Rete",LEFT(D299,2)="VP","Personale",LEFT(D299,2)="VO","Organizzazione"))</f>
        <v>Hardware</v>
      </c>
      <c r="D299" s="131" t="s">
        <v>520</v>
      </c>
      <c r="E299" s="114" t="str">
        <f>_xlfn.XLOOKUP(D299,vulnerabilità!$B:$B,vulnerabilità!$C:$C,"NON TROVATO")</f>
        <v>Mancanza di componenti alternativi o sostitutivi in caso di guasto delle apparecchiature critiche</v>
      </c>
    </row>
    <row r="300" spans="1:5">
      <c r="A300" s="131" t="s">
        <v>558</v>
      </c>
      <c r="B300" s="131" t="s">
        <v>550</v>
      </c>
      <c r="C300" s="114" t="str">
        <f t="array" ref="C300">IF(D300="","",_xlfn.IFS(LEFT(D300,3)="VSI","Siti",LEFT(D300,2)="VH","Hardware",LEFT(D300,2)="VS","Software",LEFT(D300,2)="VN","Rete",LEFT(D300,2)="VP","Personale",LEFT(D300,2)="VO","Organizzazione"))</f>
        <v>Rete</v>
      </c>
      <c r="D300" s="131" t="s">
        <v>452</v>
      </c>
      <c r="E300" s="114" t="str">
        <f>_xlfn.XLOOKUP(D300,vulnerabilità!$B:$B,vulnerabilità!$C:$C,"NON TROVATO")</f>
        <v>Dipendenza da un unico apparato o collegamento di rete, senza alternative in caso di guasto</v>
      </c>
    </row>
    <row r="301" spans="1:5">
      <c r="A301" s="131" t="s">
        <v>558</v>
      </c>
      <c r="B301" s="131" t="s">
        <v>549</v>
      </c>
      <c r="C301" s="114" t="str">
        <f t="array" ref="C301">IF(D301="","",_xlfn.IFS(LEFT(D301,3)="VSI","Siti",LEFT(D301,2)="VH","Hardware",LEFT(D301,2)="VS","Software",LEFT(D301,2)="VN","Rete",LEFT(D301,2)="VP","Personale",LEFT(D301,2)="VO","Organizzazione"))</f>
        <v>Organizzazione</v>
      </c>
      <c r="D301" s="131" t="s">
        <v>400</v>
      </c>
      <c r="E301" s="114" t="str">
        <f>_xlfn.XLOOKUP(D301,vulnerabilità!$B:$B,vulnerabilità!$C:$C,"NON TROVATO")</f>
        <v>Manutenzione e supporto dei componenti critici non adeguatamente definiti</v>
      </c>
    </row>
    <row r="302" spans="1:5">
      <c r="A302" s="131" t="s">
        <v>558</v>
      </c>
      <c r="B302" s="131" t="s">
        <v>549</v>
      </c>
      <c r="C302" s="114" t="str">
        <f t="array" ref="C302">IF(D302="","",_xlfn.IFS(LEFT(D302,3)="VSI","Siti",LEFT(D302,2)="VH","Hardware",LEFT(D302,2)="VS","Software",LEFT(D302,2)="VN","Rete",LEFT(D302,2)="VP","Personale",LEFT(D302,2)="VO","Organizzazione"))</f>
        <v>Organizzazione</v>
      </c>
      <c r="D302" s="131" t="s">
        <v>393</v>
      </c>
      <c r="E302" s="114" t="str">
        <f>_xlfn.XLOOKUP(D302,vulnerabilità!$B:$B,vulnerabilità!$C:$C,"NON TROVATO")</f>
        <v>Piani di continuità operativa e ripristino non definiti, incompleti o non testati</v>
      </c>
    </row>
    <row r="303" spans="1:5">
      <c r="A303" s="131" t="s">
        <v>558</v>
      </c>
      <c r="B303" s="131" t="s">
        <v>549</v>
      </c>
      <c r="C303" s="114" t="str">
        <f t="array" ref="C303">IF(D303="","",_xlfn.IFS(LEFT(D303,3)="VSI","Siti",LEFT(D303,2)="VH","Hardware",LEFT(D303,2)="VS","Software",LEFT(D303,2)="VN","Rete",LEFT(D303,2)="VP","Personale",LEFT(D303,2)="VO","Organizzazione"))</f>
        <v>Hardware</v>
      </c>
      <c r="D303" s="131" t="s">
        <v>520</v>
      </c>
      <c r="E303" s="114" t="str">
        <f>_xlfn.XLOOKUP(D303,vulnerabilità!$B:$B,vulnerabilità!$C:$C,"NON TROVATO")</f>
        <v>Mancanza di componenti alternativi o sostitutivi in caso di guasto delle apparecchiature critiche</v>
      </c>
    </row>
    <row r="304" spans="1:5">
      <c r="A304" s="131" t="s">
        <v>558</v>
      </c>
      <c r="B304" s="131" t="s">
        <v>549</v>
      </c>
      <c r="C304" s="114" t="str">
        <f t="array" ref="C304">IF(D304="","",_xlfn.IFS(LEFT(D304,3)="VSI","Siti",LEFT(D304,2)="VH","Hardware",LEFT(D304,2)="VS","Software",LEFT(D304,2)="VN","Rete",LEFT(D304,2)="VP","Personale",LEFT(D304,2)="VO","Organizzazione"))</f>
        <v>Rete</v>
      </c>
      <c r="D304" s="131" t="s">
        <v>452</v>
      </c>
      <c r="E304" s="114" t="str">
        <f>_xlfn.XLOOKUP(D304,vulnerabilità!$B:$B,vulnerabilità!$C:$C,"NON TROVATO")</f>
        <v>Dipendenza da un unico apparato o collegamento di rete, senza alternative in caso di guasto</v>
      </c>
    </row>
    <row r="305" spans="1:5">
      <c r="A305" s="131" t="s">
        <v>558</v>
      </c>
      <c r="B305" s="131" t="s">
        <v>549</v>
      </c>
      <c r="C305" s="114" t="str">
        <f t="array" ref="C305">IF(D305="","",_xlfn.IFS(LEFT(D305,3)="VSI","Siti",LEFT(D305,2)="VH","Hardware",LEFT(D305,2)="VS","Software",LEFT(D305,2)="VN","Rete",LEFT(D305,2)="VP","Personale",LEFT(D305,2)="VO","Organizzazione"))</f>
        <v>Organizzazione</v>
      </c>
      <c r="D305" s="131" t="s">
        <v>402</v>
      </c>
      <c r="E305" s="114" t="str">
        <f>_xlfn.XLOOKUP(D305,vulnerabilità!$B:$B,vulnerabilità!$C:$C,"NON TROVATO")</f>
        <v>Requisiti di sicurezza, privacy e gestione dell’IA insufficienti nei contratti con fornitori e terze parti</v>
      </c>
    </row>
    <row r="306" spans="1:5">
      <c r="A306" s="131" t="s">
        <v>558</v>
      </c>
      <c r="B306" s="131" t="s">
        <v>548</v>
      </c>
      <c r="C306" s="114" t="str">
        <f t="array" ref="C306">IF(D306="","",_xlfn.IFS(LEFT(D306,3)="VSI","Siti",LEFT(D306,2)="VH","Hardware",LEFT(D306,2)="VS","Software",LEFT(D306,2)="VN","Rete",LEFT(D306,2)="VP","Personale",LEFT(D306,2)="VO","Organizzazione"))</f>
        <v>Software</v>
      </c>
      <c r="D306" s="131" t="s">
        <v>487</v>
      </c>
      <c r="E306" s="114" t="str">
        <f>_xlfn.XLOOKUP(D306,vulnerabilità!$B:$B,vulnerabilità!$C:$C,"NON TROVATO")</f>
        <v>Documentazione tecnica o funzionale incompleta o non aggiornata</v>
      </c>
    </row>
    <row r="307" spans="1:5">
      <c r="A307" s="131" t="s">
        <v>558</v>
      </c>
      <c r="B307" s="131" t="s">
        <v>548</v>
      </c>
      <c r="C307" s="114" t="str">
        <f t="array" ref="C307">IF(D307="","",_xlfn.IFS(LEFT(D307,3)="VSI","Siti",LEFT(D307,2)="VH","Hardware",LEFT(D307,2)="VS","Software",LEFT(D307,2)="VN","Rete",LEFT(D307,2)="VP","Personale",LEFT(D307,2)="VO","Organizzazione"))</f>
        <v>Organizzazione</v>
      </c>
      <c r="D307" s="131" t="s">
        <v>408</v>
      </c>
      <c r="E307" s="114" t="str">
        <f>_xlfn.XLOOKUP(D307,vulnerabilità!$B:$B,vulnerabilità!$C:$C,"NON TROVATO")</f>
        <v>Ruoli e responsabilità per sicurezza, gestione del modello e supervisione umana non assegnati chiaramente</v>
      </c>
    </row>
    <row r="308" spans="1:5">
      <c r="A308" s="131" t="s">
        <v>558</v>
      </c>
      <c r="B308" s="131" t="s">
        <v>548</v>
      </c>
      <c r="C308" s="114" t="str">
        <f t="array" ref="C308">IF(D308="","",_xlfn.IFS(LEFT(D308,3)="VSI","Siti",LEFT(D308,2)="VH","Hardware",LEFT(D308,2)="VS","Software",LEFT(D308,2)="VN","Rete",LEFT(D308,2)="VP","Personale",LEFT(D308,2)="VO","Organizzazione"))</f>
        <v>Organizzazione</v>
      </c>
      <c r="D308" s="131" t="s">
        <v>389</v>
      </c>
      <c r="E308" s="114" t="str">
        <f>_xlfn.XLOOKUP(D308,vulnerabilità!$B:$B,vulnerabilità!$C:$C,"NON TROVATO")</f>
        <v>Documentazione del ciclo di vita di ISaAC incompleta o non aggiornata</v>
      </c>
    </row>
    <row r="309" spans="1:5">
      <c r="A309" s="131" t="s">
        <v>558</v>
      </c>
      <c r="B309" s="131" t="s">
        <v>548</v>
      </c>
      <c r="C309" s="114" t="str">
        <f t="array" ref="C309">IF(D309="","",_xlfn.IFS(LEFT(D309,3)="VSI","Siti",LEFT(D309,2)="VH","Hardware",LEFT(D309,2)="VS","Software",LEFT(D309,2)="VN","Rete",LEFT(D309,2)="VP","Personale",LEFT(D309,2)="VO","Organizzazione"))</f>
        <v>Organizzazione</v>
      </c>
      <c r="D309" s="131" t="s">
        <v>380</v>
      </c>
      <c r="E309" s="114" t="str">
        <f>_xlfn.XLOOKUP(D309,vulnerabilità!$B:$B,vulnerabilità!$C:$C,"NON TROVATO")</f>
        <v>Criteri minimi di accettazione delle prestazioni e soglie operative non formalizzati</v>
      </c>
    </row>
    <row r="310" spans="1:5">
      <c r="A310" s="131" t="s">
        <v>558</v>
      </c>
      <c r="B310" s="131" t="s">
        <v>547</v>
      </c>
      <c r="C310" s="114" t="str">
        <f t="array" ref="C310">IF(D310="","",_xlfn.IFS(LEFT(D310,3)="VSI","Siti",LEFT(D310,2)="VH","Hardware",LEFT(D310,2)="VS","Software",LEFT(D310,2)="VN","Rete",LEFT(D310,2)="VP","Personale",LEFT(D310,2)="VO","Organizzazione"))</f>
        <v>Software</v>
      </c>
      <c r="D310" s="131" t="s">
        <v>501</v>
      </c>
      <c r="E310" s="114" t="str">
        <f>_xlfn.XLOOKUP(D310,vulnerabilità!$B:$B,vulnerabilità!$C:$C,"NON TROVATO")</f>
        <v>Meccanismi di autenticazione o identificazione utente insufficienti</v>
      </c>
    </row>
    <row r="311" spans="1:5">
      <c r="A311" s="131" t="s">
        <v>558</v>
      </c>
      <c r="B311" s="131" t="s">
        <v>547</v>
      </c>
      <c r="C311" s="114" t="str">
        <f t="array" ref="C311">IF(D311="","",_xlfn.IFS(LEFT(D311,3)="VSI","Siti",LEFT(D311,2)="VH","Hardware",LEFT(D311,2)="VS","Software",LEFT(D311,2)="VN","Rete",LEFT(D311,2)="VP","Personale",LEFT(D311,2)="VO","Organizzazione"))</f>
        <v>Software</v>
      </c>
      <c r="D311" s="131" t="s">
        <v>499</v>
      </c>
      <c r="E311" s="114" t="str">
        <f>_xlfn.XLOOKUP(D311,vulnerabilità!$B:$B,vulnerabilità!$C:$C,"NON TROVATO")</f>
        <v>Assegnazione errata dei privilegi e dei diritti di accesso</v>
      </c>
    </row>
    <row r="312" spans="1:5">
      <c r="A312" s="131" t="s">
        <v>558</v>
      </c>
      <c r="B312" s="131" t="s">
        <v>547</v>
      </c>
      <c r="C312" s="114" t="str">
        <f t="array" ref="C312">IF(D312="","",_xlfn.IFS(LEFT(D312,3)="VSI","Siti",LEFT(D312,2)="VH","Hardware",LEFT(D312,2)="VS","Software",LEFT(D312,2)="VN","Rete",LEFT(D312,2)="VP","Personale",LEFT(D312,2)="VO","Organizzazione"))</f>
        <v>Software</v>
      </c>
      <c r="D312" s="131" t="s">
        <v>497</v>
      </c>
      <c r="E312" s="114" t="str">
        <f>_xlfn.XLOOKUP(D312,vulnerabilità!$B:$B,vulnerabilità!$C:$C,"NON TROVATO")</f>
        <v>Credenziali, token o chiavi crittografiche archiviati in modo non sicuro</v>
      </c>
    </row>
    <row r="313" spans="1:5">
      <c r="A313" s="131" t="s">
        <v>558</v>
      </c>
      <c r="B313" s="131" t="s">
        <v>547</v>
      </c>
      <c r="C313" s="114" t="str">
        <f t="array" ref="C313">IF(D313="","",_xlfn.IFS(LEFT(D313,3)="VSI","Siti",LEFT(D313,2)="VH","Hardware",LEFT(D313,2)="VS","Software",LEFT(D313,2)="VN","Rete",LEFT(D313,2)="VP","Personale",LEFT(D313,2)="VO","Organizzazione"))</f>
        <v>Organizzazione</v>
      </c>
      <c r="D313" s="131" t="s">
        <v>406</v>
      </c>
      <c r="E313" s="114" t="str">
        <f>_xlfn.XLOOKUP(D313,vulnerabilità!$B:$B,vulnerabilità!$C:$C,"NON TROVATO")</f>
        <v>Procedure di abilitazione, modifica e revoca degli accessi non formalizzate o inefficaci</v>
      </c>
    </row>
    <row r="314" spans="1:5">
      <c r="A314" s="131" t="s">
        <v>558</v>
      </c>
      <c r="B314" s="131" t="s">
        <v>547</v>
      </c>
      <c r="C314" s="114" t="str">
        <f t="array" ref="C314">IF(D314="","",_xlfn.IFS(LEFT(D314,3)="VSI","Siti",LEFT(D314,2)="VH","Hardware",LEFT(D314,2)="VS","Software",LEFT(D314,2)="VN","Rete",LEFT(D314,2)="VP","Personale",LEFT(D314,2)="VO","Organizzazione"))</f>
        <v>Organizzazione</v>
      </c>
      <c r="D314" s="131" t="s">
        <v>404</v>
      </c>
      <c r="E314" s="114" t="str">
        <f>_xlfn.XLOOKUP(D314,vulnerabilità!$B:$B,vulnerabilità!$C:$C,"NON TROVATO")</f>
        <v>Revisione periodica dei privilegi e degli account tecnici assente o insufficiente</v>
      </c>
    </row>
    <row r="315" spans="1:5">
      <c r="A315" s="131" t="s">
        <v>558</v>
      </c>
      <c r="B315" s="131" t="s">
        <v>546</v>
      </c>
      <c r="C315" s="114" t="str">
        <f t="array" ref="C315">IF(D315="","",_xlfn.IFS(LEFT(D315,3)="VSI","Siti",LEFT(D315,2)="VH","Hardware",LEFT(D315,2)="VS","Software",LEFT(D315,2)="VN","Rete",LEFT(D315,2)="VP","Personale",LEFT(D315,2)="VO","Organizzazione"))</f>
        <v>Organizzazione</v>
      </c>
      <c r="D315" s="131" t="s">
        <v>398</v>
      </c>
      <c r="E315" s="114" t="str">
        <f>_xlfn.XLOOKUP(D315,vulnerabilità!$B:$B,vulnerabilità!$C:$C,"NON TROVATO")</f>
        <v>Processo di gestione dei rischi non implementato, non aggiornato o non collegato ai cambiamenti di ISaAC</v>
      </c>
    </row>
    <row r="316" spans="1:5">
      <c r="A316" s="131" t="s">
        <v>558</v>
      </c>
      <c r="B316" s="131" t="s">
        <v>546</v>
      </c>
      <c r="C316" s="114" t="str">
        <f t="array" ref="C316">IF(D316="","",_xlfn.IFS(LEFT(D316,3)="VSI","Siti",LEFT(D316,2)="VH","Hardware",LEFT(D316,2)="VS","Software",LEFT(D316,2)="VN","Rete",LEFT(D316,2)="VP","Personale",LEFT(D316,2)="VO","Organizzazione"))</f>
        <v>Organizzazione</v>
      </c>
      <c r="D316" s="131" t="s">
        <v>397</v>
      </c>
      <c r="E316" s="114" t="str">
        <f>_xlfn.XLOOKUP(D316,vulnerabilità!$B:$B,vulnerabilità!$C:$C,"NON TROVATO")</f>
        <v>Audit periodici sul sistema e sui processi correlati assenti o insufficienti</v>
      </c>
    </row>
    <row r="317" spans="1:5">
      <c r="A317" s="131" t="s">
        <v>558</v>
      </c>
      <c r="B317" s="131" t="s">
        <v>546</v>
      </c>
      <c r="C317" s="114" t="str">
        <f t="array" ref="C317">IF(D317="","",_xlfn.IFS(LEFT(D317,3)="VSI","Siti",LEFT(D317,2)="VH","Hardware",LEFT(D317,2)="VS","Software",LEFT(D317,2)="VN","Rete",LEFT(D317,2)="VP","Personale",LEFT(D317,2)="VO","Organizzazione"))</f>
        <v>Organizzazione</v>
      </c>
      <c r="D317" s="131" t="s">
        <v>389</v>
      </c>
      <c r="E317" s="114" t="str">
        <f>_xlfn.XLOOKUP(D317,vulnerabilità!$B:$B,vulnerabilità!$C:$C,"NON TROVATO")</f>
        <v>Documentazione del ciclo di vita di ISaAC incompleta o non aggiornata</v>
      </c>
    </row>
    <row r="318" spans="1:5">
      <c r="A318" s="131" t="s">
        <v>558</v>
      </c>
      <c r="B318" s="131" t="s">
        <v>546</v>
      </c>
      <c r="C318" s="114" t="str">
        <f t="array" ref="C318">IF(D318="","",_xlfn.IFS(LEFT(D318,3)="VSI","Siti",LEFT(D318,2)="VH","Hardware",LEFT(D318,2)="VS","Software",LEFT(D318,2)="VN","Rete",LEFT(D318,2)="VP","Personale",LEFT(D318,2)="VO","Organizzazione"))</f>
        <v>Organizzazione</v>
      </c>
      <c r="D318" s="131" t="s">
        <v>378</v>
      </c>
      <c r="E318" s="114" t="str">
        <f>_xlfn.XLOOKUP(D318,vulnerabilità!$B:$B,vulnerabilità!$C:$C,"NON TROVATO")</f>
        <v>Riesame periodico del modello e del contesto operativo assente o insufficiente</v>
      </c>
    </row>
    <row r="319" spans="1:5">
      <c r="A319" s="131" t="s">
        <v>558</v>
      </c>
      <c r="B319" s="131" t="s">
        <v>545</v>
      </c>
      <c r="C319" s="114" t="str">
        <f t="array" ref="C319">IF(D319="","",_xlfn.IFS(LEFT(D319,3)="VSI","Siti",LEFT(D319,2)="VH","Hardware",LEFT(D319,2)="VS","Software",LEFT(D319,2)="VN","Rete",LEFT(D319,2)="VP","Personale",LEFT(D319,2)="VO","Organizzazione"))</f>
        <v>Rete</v>
      </c>
      <c r="D319" s="131" t="s">
        <v>460</v>
      </c>
      <c r="E319" s="114" t="str">
        <f>_xlfn.XLOOKUP(D319,vulnerabilità!$B:$B,vulnerabilità!$C:$C,"NON TROVATO")</f>
        <v>Flussi video o comunicazioni di servizio non cifrati</v>
      </c>
    </row>
    <row r="320" spans="1:5">
      <c r="A320" s="131" t="s">
        <v>558</v>
      </c>
      <c r="B320" s="131" t="s">
        <v>545</v>
      </c>
      <c r="C320" s="114" t="str">
        <f t="array" ref="C320">IF(D320="","",_xlfn.IFS(LEFT(D320,3)="VSI","Siti",LEFT(D320,2)="VH","Hardware",LEFT(D320,2)="VS","Software",LEFT(D320,2)="VN","Rete",LEFT(D320,2)="VP","Personale",LEFT(D320,2)="VO","Organizzazione"))</f>
        <v>Rete</v>
      </c>
      <c r="D320" s="131" t="s">
        <v>458</v>
      </c>
      <c r="E320" s="114" t="str">
        <f>_xlfn.XLOOKUP(D320,vulnerabilità!$B:$B,vulnerabilità!$C:$C,"NON TROVATO")</f>
        <v>Autenticazione o autorizzazione debole per telecamere, dispositivi Edge o servizi di rete</v>
      </c>
    </row>
    <row r="321" spans="1:5">
      <c r="A321" s="131" t="s">
        <v>558</v>
      </c>
      <c r="B321" s="131" t="s">
        <v>545</v>
      </c>
      <c r="C321" s="114" t="str">
        <f t="array" ref="C321">IF(D321="","",_xlfn.IFS(LEFT(D321,3)="VSI","Siti",LEFT(D321,2)="VH","Hardware",LEFT(D321,2)="VS","Software",LEFT(D321,2)="VN","Rete",LEFT(D321,2)="VP","Personale",LEFT(D321,2)="VO","Organizzazione"))</f>
        <v>Rete</v>
      </c>
      <c r="D321" s="131" t="s">
        <v>456</v>
      </c>
      <c r="E321" s="114" t="str">
        <f>_xlfn.XLOOKUP(D321,vulnerabilità!$B:$B,vulnerabilità!$C:$C,"NON TROVATO")</f>
        <v>Rete non segmentata tra telecamere, dispositivi Edge, sistemi centrali e altre zone</v>
      </c>
    </row>
    <row r="322" spans="1:5">
      <c r="A322" s="131" t="s">
        <v>558</v>
      </c>
      <c r="B322" s="131" t="s">
        <v>545</v>
      </c>
      <c r="C322" s="114" t="str">
        <f t="array" ref="C322">IF(D322="","",_xlfn.IFS(LEFT(D322,3)="VSI","Siti",LEFT(D322,2)="VH","Hardware",LEFT(D322,2)="VS","Software",LEFT(D322,2)="VN","Rete",LEFT(D322,2)="VP","Personale",LEFT(D322,2)="VO","Organizzazione"))</f>
        <v>Rete</v>
      </c>
      <c r="D322" s="131" t="s">
        <v>448</v>
      </c>
      <c r="E322" s="114" t="str">
        <f>_xlfn.XLOOKUP(D322,vulnerabilità!$B:$B,vulnerabilità!$C:$C,"NON TROVATO")</f>
        <v>Protezione insufficiente contro intercettazione, replay o sostituzione del flusso video</v>
      </c>
    </row>
    <row r="323" spans="1:5">
      <c r="A323" s="131" t="s">
        <v>558</v>
      </c>
      <c r="B323" s="131" t="s">
        <v>545</v>
      </c>
      <c r="C323" s="114" t="str">
        <f t="array" ref="C323">IF(D323="","",_xlfn.IFS(LEFT(D323,3)="VSI","Siti",LEFT(D323,2)="VH","Hardware",LEFT(D323,2)="VS","Software",LEFT(D323,2)="VN","Rete",LEFT(D323,2)="VP","Personale",LEFT(D323,2)="VO","Organizzazione"))</f>
        <v>Rete</v>
      </c>
      <c r="D323" s="131" t="s">
        <v>452</v>
      </c>
      <c r="E323" s="114" t="str">
        <f>_xlfn.XLOOKUP(D323,vulnerabilità!$B:$B,vulnerabilità!$C:$C,"NON TROVATO")</f>
        <v>Dipendenza da un unico apparato o collegamento di rete, senza alternative in caso di guasto</v>
      </c>
    </row>
    <row r="324" spans="1:5">
      <c r="A324" s="131" t="s">
        <v>544</v>
      </c>
      <c r="B324" s="131" t="s">
        <v>819</v>
      </c>
      <c r="C324" s="114" t="str">
        <f t="array" ref="C324">IF(D324="","",_xlfn.IFS(LEFT(D324,3)="VSI","Siti",LEFT(D324,2)="VH","Hardware",LEFT(D324,2)="VS","Software",LEFT(D324,2)="VN","Rete",LEFT(D324,2)="VP","Personale",LEFT(D324,2)="VO","Organizzazione"))</f>
        <v>Personale</v>
      </c>
      <c r="D324" s="131" t="s">
        <v>437</v>
      </c>
      <c r="E324" s="114" t="str">
        <f>_xlfn.XLOOKUP(D324,vulnerabilità!$B:$B,vulnerabilità!$C:$C,"NON TROVATO")</f>
        <v>Formazione insufficiente sull’uso corretto di ISaAC e sulla gestione delle segnalazioni</v>
      </c>
    </row>
    <row r="325" spans="1:5">
      <c r="A325" s="131" t="s">
        <v>544</v>
      </c>
      <c r="B325" s="131" t="s">
        <v>819</v>
      </c>
      <c r="C325" s="114" t="str">
        <f t="array" ref="C325">IF(D325="","",_xlfn.IFS(LEFT(D325,3)="VSI","Siti",LEFT(D325,2)="VH","Hardware",LEFT(D325,2)="VS","Software",LEFT(D325,2)="VN","Rete",LEFT(D325,2)="VP","Personale",LEFT(D325,2)="VO","Organizzazione"))</f>
        <v>Personale</v>
      </c>
      <c r="D325" s="131" t="s">
        <v>430</v>
      </c>
      <c r="E325" s="114" t="str">
        <f>_xlfn.XLOOKUP(D325,vulnerabilità!$B:$B,vulnerabilità!$C:$C,"NON TROVATO")</f>
        <v>Consapevolezza insufficiente in materia di sicurezza e protezione dei dati</v>
      </c>
    </row>
    <row r="326" spans="1:5">
      <c r="A326" s="131" t="s">
        <v>544</v>
      </c>
      <c r="B326" s="131" t="s">
        <v>819</v>
      </c>
      <c r="C326" s="114" t="str">
        <f t="array" ref="C326">IF(D326="","",_xlfn.IFS(LEFT(D326,3)="VSI","Siti",LEFT(D326,2)="VH","Hardware",LEFT(D326,2)="VS","Software",LEFT(D326,2)="VN","Rete",LEFT(D326,2)="VP","Personale",LEFT(D326,2)="VO","Organizzazione"))</f>
        <v>Organizzazione</v>
      </c>
      <c r="D326" s="131" t="s">
        <v>384</v>
      </c>
      <c r="E326" s="114" t="str">
        <f>_xlfn.XLOOKUP(D326,vulnerabilità!$B:$B,vulnerabilità!$C:$C,"NON TROVATO")</f>
        <v>Finalità di utilizzo e regole di accesso alle immagini e alle segnalazioni non adeguatamente definite</v>
      </c>
    </row>
    <row r="327" spans="1:5">
      <c r="A327" s="131" t="s">
        <v>544</v>
      </c>
      <c r="B327" s="131" t="s">
        <v>819</v>
      </c>
      <c r="C327" s="114" t="str">
        <f t="array" ref="C327">IF(D327="","",_xlfn.IFS(LEFT(D327,3)="VSI","Siti",LEFT(D327,2)="VH","Hardware",LEFT(D327,2)="VS","Software",LEFT(D327,2)="VN","Rete",LEFT(D327,2)="VP","Personale",LEFT(D327,2)="VO","Organizzazione"))</f>
        <v>Organizzazione</v>
      </c>
      <c r="D327" s="131" t="s">
        <v>382</v>
      </c>
      <c r="E327" s="114" t="str">
        <f>_xlfn.XLOOKUP(D327,vulnerabilità!$B:$B,vulnerabilità!$C:$C,"NON TROVATO")</f>
        <v>Procedura di verifica umana e gestione delle segnalazioni non definita o non applicata</v>
      </c>
    </row>
    <row r="328" spans="1:5">
      <c r="A328" s="131" t="s">
        <v>544</v>
      </c>
      <c r="B328" s="131" t="s">
        <v>543</v>
      </c>
      <c r="C328" s="114" t="str">
        <f t="array" ref="C328">IF(D328="","",_xlfn.IFS(LEFT(D328,3)="VSI","Siti",LEFT(D328,2)="VH","Hardware",LEFT(D328,2)="VS","Software",LEFT(D328,2)="VN","Rete",LEFT(D328,2)="VP","Personale",LEFT(D328,2)="VO","Organizzazione"))</f>
        <v>Personale</v>
      </c>
      <c r="D328" s="131" t="s">
        <v>432</v>
      </c>
      <c r="E328" s="114" t="str">
        <f>_xlfn.XLOOKUP(D328,vulnerabilità!$B:$B,vulnerabilità!$C:$C,"NON TROVATO")</f>
        <v>Ruolo della supervisione umana non compreso o applicato in modo non uniforme</v>
      </c>
    </row>
    <row r="329" spans="1:5">
      <c r="A329" s="131" t="s">
        <v>544</v>
      </c>
      <c r="B329" s="131" t="s">
        <v>543</v>
      </c>
      <c r="C329" s="114" t="str">
        <f t="array" ref="C329">IF(D329="","",_xlfn.IFS(LEFT(D329,3)="VSI","Siti",LEFT(D329,2)="VH","Hardware",LEFT(D329,2)="VS","Software",LEFT(D329,2)="VN","Rete",LEFT(D329,2)="VP","Personale",LEFT(D329,2)="VO","Organizzazione"))</f>
        <v>Organizzazione</v>
      </c>
      <c r="D329" s="131" t="s">
        <v>382</v>
      </c>
      <c r="E329" s="114" t="str">
        <f>_xlfn.XLOOKUP(D329,vulnerabilità!$B:$B,vulnerabilità!$C:$C,"NON TROVATO")</f>
        <v>Procedura di verifica umana e gestione delle segnalazioni non definita o non applicata</v>
      </c>
    </row>
    <row r="330" spans="1:5">
      <c r="A330" s="131" t="s">
        <v>544</v>
      </c>
      <c r="B330" s="131" t="s">
        <v>543</v>
      </c>
      <c r="C330" s="114" t="str">
        <f t="array" ref="C330">IF(D330="","",_xlfn.IFS(LEFT(D330,3)="VSI","Siti",LEFT(D330,2)="VH","Hardware",LEFT(D330,2)="VS","Software",LEFT(D330,2)="VN","Rete",LEFT(D330,2)="VP","Personale",LEFT(D330,2)="VO","Organizzazione"))</f>
        <v>Personale</v>
      </c>
      <c r="D330" s="131" t="s">
        <v>437</v>
      </c>
      <c r="E330" s="114" t="str">
        <f>_xlfn.XLOOKUP(D330,vulnerabilità!$B:$B,vulnerabilità!$C:$C,"NON TROVATO")</f>
        <v>Formazione insufficiente sull’uso corretto di ISaAC e sulla gestione delle segnalazioni</v>
      </c>
    </row>
    <row r="331" spans="1:5">
      <c r="A331" s="131" t="s">
        <v>544</v>
      </c>
      <c r="B331" s="131" t="s">
        <v>543</v>
      </c>
      <c r="C331" s="114" t="str">
        <f t="array" ref="C331">IF(D331="","",_xlfn.IFS(LEFT(D331,3)="VSI","Siti",LEFT(D331,2)="VH","Hardware",LEFT(D331,2)="VS","Software",LEFT(D331,2)="VN","Rete",LEFT(D331,2)="VP","Personale",LEFT(D331,2)="VO","Organizzazione"))</f>
        <v>Personale</v>
      </c>
      <c r="D331" s="131" t="s">
        <v>426</v>
      </c>
      <c r="E331" s="114" t="str">
        <f>_xlfn.XLOOKUP(D331,vulnerabilità!$B:$B,vulnerabilità!$C:$C,"NON TROVATO")</f>
        <v>Segnalazione tardiva o assente di anomalie, errori del modello e incidenti</v>
      </c>
    </row>
    <row r="332" spans="1:5">
      <c r="A332" s="131" t="s">
        <v>544</v>
      </c>
      <c r="B332" s="131" t="s">
        <v>542</v>
      </c>
      <c r="C332" s="114" t="str">
        <f t="array" ref="C332">IF(D332="","",_xlfn.IFS(LEFT(D332,3)="VSI","Siti",LEFT(D332,2)="VH","Hardware",LEFT(D332,2)="VS","Software",LEFT(D332,2)="VN","Rete",LEFT(D332,2)="VP","Personale",LEFT(D332,2)="VO","Organizzazione"))</f>
        <v>Personale</v>
      </c>
      <c r="D332" s="131" t="s">
        <v>432</v>
      </c>
      <c r="E332" s="114" t="str">
        <f>_xlfn.XLOOKUP(D332,vulnerabilità!$B:$B,vulnerabilità!$C:$C,"NON TROVATO")</f>
        <v>Ruolo della supervisione umana non compreso o applicato in modo non uniforme</v>
      </c>
    </row>
    <row r="333" spans="1:5">
      <c r="A333" s="131" t="s">
        <v>544</v>
      </c>
      <c r="B333" s="131" t="s">
        <v>542</v>
      </c>
      <c r="C333" s="114" t="str">
        <f t="array" ref="C333">IF(D333="","",_xlfn.IFS(LEFT(D333,3)="VSI","Siti",LEFT(D333,2)="VH","Hardware",LEFT(D333,2)="VS","Software",LEFT(D333,2)="VN","Rete",LEFT(D333,2)="VP","Personale",LEFT(D333,2)="VO","Organizzazione"))</f>
        <v>Organizzazione</v>
      </c>
      <c r="D333" s="131" t="s">
        <v>382</v>
      </c>
      <c r="E333" s="114" t="str">
        <f>_xlfn.XLOOKUP(D333,vulnerabilità!$B:$B,vulnerabilità!$C:$C,"NON TROVATO")</f>
        <v>Procedura di verifica umana e gestione delle segnalazioni non definita o non applicata</v>
      </c>
    </row>
    <row r="334" spans="1:5">
      <c r="A334" s="131" t="s">
        <v>544</v>
      </c>
      <c r="B334" s="131" t="s">
        <v>542</v>
      </c>
      <c r="C334" s="114" t="str">
        <f t="array" ref="C334">IF(D334="","",_xlfn.IFS(LEFT(D334,3)="VSI","Siti",LEFT(D334,2)="VH","Hardware",LEFT(D334,2)="VS","Software",LEFT(D334,2)="VN","Rete",LEFT(D334,2)="VP","Personale",LEFT(D334,2)="VO","Organizzazione"))</f>
        <v>Personale</v>
      </c>
      <c r="D334" s="131" t="s">
        <v>437</v>
      </c>
      <c r="E334" s="114" t="str">
        <f>_xlfn.XLOOKUP(D334,vulnerabilità!$B:$B,vulnerabilità!$C:$C,"NON TROVATO")</f>
        <v>Formazione insufficiente sull’uso corretto di ISaAC e sulla gestione delle segnalazioni</v>
      </c>
    </row>
    <row r="335" spans="1:5">
      <c r="A335" s="131" t="s">
        <v>544</v>
      </c>
      <c r="B335" s="131" t="s">
        <v>542</v>
      </c>
      <c r="C335" s="114" t="str">
        <f t="array" ref="C335">IF(D335="","",_xlfn.IFS(LEFT(D335,3)="VSI","Siti",LEFT(D335,2)="VH","Hardware",LEFT(D335,2)="VS","Software",LEFT(D335,2)="VN","Rete",LEFT(D335,2)="VP","Personale",LEFT(D335,2)="VO","Organizzazione"))</f>
        <v>Personale</v>
      </c>
      <c r="D335" s="131" t="s">
        <v>426</v>
      </c>
      <c r="E335" s="114" t="str">
        <f>_xlfn.XLOOKUP(D335,vulnerabilità!$B:$B,vulnerabilità!$C:$C,"NON TROVATO")</f>
        <v>Segnalazione tardiva o assente di anomalie, errori del modello e incidenti</v>
      </c>
    </row>
    <row r="336" spans="1:5">
      <c r="A336" s="131" t="s">
        <v>544</v>
      </c>
      <c r="B336" s="131" t="s">
        <v>541</v>
      </c>
      <c r="C336" s="114" t="str">
        <f t="array" ref="C336">IF(D336="","",_xlfn.IFS(LEFT(D336,3)="VSI","Siti",LEFT(D336,2)="VH","Hardware",LEFT(D336,2)="VS","Software",LEFT(D336,2)="VN","Rete",LEFT(D336,2)="VP","Personale",LEFT(D336,2)="VO","Organizzazione"))</f>
        <v>Personale</v>
      </c>
      <c r="D336" s="131" t="s">
        <v>439</v>
      </c>
      <c r="E336" s="114" t="str">
        <f>_xlfn.XLOOKUP(D336,vulnerabilità!$B:$B,vulnerabilità!$C:$C,"NON TROVATO")</f>
        <v>Carenza di personale con competenze adeguate sul sistema, sulla sicurezza o sui modelli di IA</v>
      </c>
    </row>
    <row r="337" spans="1:5">
      <c r="A337" s="131" t="s">
        <v>544</v>
      </c>
      <c r="B337" s="131" t="s">
        <v>541</v>
      </c>
      <c r="C337" s="114" t="str">
        <f t="array" ref="C337">IF(D337="","",_xlfn.IFS(LEFT(D337,3)="VSI","Siti",LEFT(D337,2)="VH","Hardware",LEFT(D337,2)="VS","Software",LEFT(D337,2)="VN","Rete",LEFT(D337,2)="VP","Personale",LEFT(D337,2)="VO","Organizzazione"))</f>
        <v>Personale</v>
      </c>
      <c r="D337" s="131" t="s">
        <v>437</v>
      </c>
      <c r="E337" s="114" t="str">
        <f>_xlfn.XLOOKUP(D337,vulnerabilità!$B:$B,vulnerabilità!$C:$C,"NON TROVATO")</f>
        <v>Formazione insufficiente sull’uso corretto di ISaAC e sulla gestione delle segnalazioni</v>
      </c>
    </row>
    <row r="338" spans="1:5">
      <c r="A338" s="131" t="s">
        <v>544</v>
      </c>
      <c r="B338" s="131" t="s">
        <v>541</v>
      </c>
      <c r="C338" s="114" t="str">
        <f t="array" ref="C338">IF(D338="","",_xlfn.IFS(LEFT(D338,3)="VSI","Siti",LEFT(D338,2)="VH","Hardware",LEFT(D338,2)="VS","Software",LEFT(D338,2)="VN","Rete",LEFT(D338,2)="VP","Personale",LEFT(D338,2)="VO","Organizzazione"))</f>
        <v>Personale</v>
      </c>
      <c r="D338" s="131" t="s">
        <v>430</v>
      </c>
      <c r="E338" s="114" t="str">
        <f>_xlfn.XLOOKUP(D338,vulnerabilità!$B:$B,vulnerabilità!$C:$C,"NON TROVATO")</f>
        <v>Consapevolezza insufficiente in materia di sicurezza e protezione dei dati</v>
      </c>
    </row>
    <row r="339" spans="1:5">
      <c r="A339" s="131" t="s">
        <v>544</v>
      </c>
      <c r="B339" s="131" t="s">
        <v>540</v>
      </c>
      <c r="C339" s="114" t="str">
        <f t="array" ref="C339">IF(D339="","",_xlfn.IFS(LEFT(D339,3)="VSI","Siti",LEFT(D339,2)="VH","Hardware",LEFT(D339,2)="VS","Software",LEFT(D339,2)="VN","Rete",LEFT(D339,2)="VP","Personale",LEFT(D339,2)="VO","Organizzazione"))</f>
        <v>Organizzazione</v>
      </c>
      <c r="D339" s="131" t="s">
        <v>386</v>
      </c>
      <c r="E339" s="114" t="str">
        <f>_xlfn.XLOOKUP(D339,vulnerabilità!$B:$B,vulnerabilità!$C:$C,"NON TROVATO")</f>
        <v>Tempi e modalità di conservazione o cancellazione di immagini e log non definiti</v>
      </c>
    </row>
    <row r="340" spans="1:5">
      <c r="A340" s="131" t="s">
        <v>544</v>
      </c>
      <c r="B340" s="131" t="s">
        <v>540</v>
      </c>
      <c r="C340" s="114" t="str">
        <f t="array" ref="C340">IF(D340="","",_xlfn.IFS(LEFT(D340,3)="VSI","Siti",LEFT(D340,2)="VH","Hardware",LEFT(D340,2)="VS","Software",LEFT(D340,2)="VN","Rete",LEFT(D340,2)="VP","Personale",LEFT(D340,2)="VO","Organizzazione"))</f>
        <v>Organizzazione</v>
      </c>
      <c r="D340" s="131" t="s">
        <v>384</v>
      </c>
      <c r="E340" s="114" t="str">
        <f>_xlfn.XLOOKUP(D340,vulnerabilità!$B:$B,vulnerabilità!$C:$C,"NON TROVATO")</f>
        <v>Finalità di utilizzo e regole di accesso alle immagini e alle segnalazioni non adeguatamente definite</v>
      </c>
    </row>
    <row r="341" spans="1:5">
      <c r="A341" s="131" t="s">
        <v>544</v>
      </c>
      <c r="B341" s="131" t="s">
        <v>540</v>
      </c>
      <c r="C341" s="114" t="str">
        <f t="array" ref="C341">IF(D341="","",_xlfn.IFS(LEFT(D341,3)="VSI","Siti",LEFT(D341,2)="VH","Hardware",LEFT(D341,2)="VS","Software",LEFT(D341,2)="VN","Rete",LEFT(D341,2)="VP","Personale",LEFT(D341,2)="VO","Organizzazione"))</f>
        <v>Hardware</v>
      </c>
      <c r="D341" s="131" t="s">
        <v>516</v>
      </c>
      <c r="E341" s="114" t="str">
        <f>_xlfn.XLOOKUP(D341,vulnerabilità!$B:$B,vulnerabilità!$C:$C,"NON TROVATO")</f>
        <v>Memorizzazione locale non cifrata o non adeguatamente protetta</v>
      </c>
    </row>
    <row r="342" spans="1:5">
      <c r="A342" s="131" t="s">
        <v>544</v>
      </c>
      <c r="B342" s="131" t="s">
        <v>540</v>
      </c>
      <c r="C342" s="114" t="str">
        <f t="array" ref="C342">IF(D342="","",_xlfn.IFS(LEFT(D342,3)="VSI","Siti",LEFT(D342,2)="VH","Hardware",LEFT(D342,2)="VS","Software",LEFT(D342,2)="VN","Rete",LEFT(D342,2)="VP","Personale",LEFT(D342,2)="VO","Organizzazione"))</f>
        <v>Hardware</v>
      </c>
      <c r="D342" s="131" t="s">
        <v>512</v>
      </c>
      <c r="E342" s="114" t="str">
        <f>_xlfn.XLOOKUP(D342,vulnerabilità!$B:$B,vulnerabilità!$C:$C,"NON TROVATO")</f>
        <v>Smaltimento o riutilizzo non sicuro di dispositivi e supporti</v>
      </c>
    </row>
    <row r="343" spans="1:5">
      <c r="A343" s="131" t="s">
        <v>544</v>
      </c>
      <c r="B343" s="131" t="s">
        <v>540</v>
      </c>
      <c r="C343" s="114" t="str">
        <f t="array" ref="C343">IF(D343="","",_xlfn.IFS(LEFT(D343,3)="VSI","Siti",LEFT(D343,2)="VH","Hardware",LEFT(D343,2)="VS","Software",LEFT(D343,2)="VN","Rete",LEFT(D343,2)="VP","Personale",LEFT(D343,2)="VO","Organizzazione"))</f>
        <v>Software</v>
      </c>
      <c r="D343" s="131" t="s">
        <v>493</v>
      </c>
      <c r="E343" s="114" t="str">
        <f>_xlfn.XLOOKUP(D343,vulnerabilità!$B:$B,vulnerabilità!$C:$C,"NON TROVATO")</f>
        <v>Configurazione insufficiente dei log o audit trail incompleti</v>
      </c>
    </row>
    <row r="344" spans="1:5">
      <c r="A344" s="131" t="s">
        <v>544</v>
      </c>
      <c r="B344" s="131" t="s">
        <v>539</v>
      </c>
      <c r="C344" s="114" t="str">
        <f t="array" ref="C344">IF(D344="","",_xlfn.IFS(LEFT(D344,3)="VSI","Siti",LEFT(D344,2)="VH","Hardware",LEFT(D344,2)="VS","Software",LEFT(D344,2)="VN","Rete",LEFT(D344,2)="VP","Personale",LEFT(D344,2)="VO","Organizzazione"))</f>
        <v>Organizzazione</v>
      </c>
      <c r="D344" s="131" t="s">
        <v>386</v>
      </c>
      <c r="E344" s="114" t="str">
        <f>_xlfn.XLOOKUP(D344,vulnerabilità!$B:$B,vulnerabilità!$C:$C,"NON TROVATO")</f>
        <v>Tempi e modalità di conservazione o cancellazione di immagini e log non definiti</v>
      </c>
    </row>
    <row r="345" spans="1:5">
      <c r="A345" s="131" t="s">
        <v>544</v>
      </c>
      <c r="B345" s="131" t="s">
        <v>539</v>
      </c>
      <c r="C345" s="114" t="str">
        <f t="array" ref="C345">IF(D345="","",_xlfn.IFS(LEFT(D345,3)="VSI","Siti",LEFT(D345,2)="VH","Hardware",LEFT(D345,2)="VS","Software",LEFT(D345,2)="VN","Rete",LEFT(D345,2)="VP","Personale",LEFT(D345,2)="VO","Organizzazione"))</f>
        <v>Organizzazione</v>
      </c>
      <c r="D345" s="131" t="s">
        <v>384</v>
      </c>
      <c r="E345" s="114" t="str">
        <f>_xlfn.XLOOKUP(D345,vulnerabilità!$B:$B,vulnerabilità!$C:$C,"NON TROVATO")</f>
        <v>Finalità di utilizzo e regole di accesso alle immagini e alle segnalazioni non adeguatamente definite</v>
      </c>
    </row>
    <row r="346" spans="1:5">
      <c r="A346" s="131" t="s">
        <v>544</v>
      </c>
      <c r="B346" s="131" t="s">
        <v>539</v>
      </c>
      <c r="C346" s="114" t="str">
        <f t="array" ref="C346">IF(D346="","",_xlfn.IFS(LEFT(D346,3)="VSI","Siti",LEFT(D346,2)="VH","Hardware",LEFT(D346,2)="VS","Software",LEFT(D346,2)="VN","Rete",LEFT(D346,2)="VP","Personale",LEFT(D346,2)="VO","Organizzazione"))</f>
        <v>Hardware</v>
      </c>
      <c r="D346" s="131" t="s">
        <v>516</v>
      </c>
      <c r="E346" s="114" t="str">
        <f>_xlfn.XLOOKUP(D346,vulnerabilità!$B:$B,vulnerabilità!$C:$C,"NON TROVATO")</f>
        <v>Memorizzazione locale non cifrata o non adeguatamente protetta</v>
      </c>
    </row>
    <row r="347" spans="1:5">
      <c r="A347" s="131" t="s">
        <v>544</v>
      </c>
      <c r="B347" s="131" t="s">
        <v>539</v>
      </c>
      <c r="C347" s="114" t="str">
        <f t="array" ref="C347">IF(D347="","",_xlfn.IFS(LEFT(D347,3)="VSI","Siti",LEFT(D347,2)="VH","Hardware",LEFT(D347,2)="VS","Software",LEFT(D347,2)="VN","Rete",LEFT(D347,2)="VP","Personale",LEFT(D347,2)="VO","Organizzazione"))</f>
        <v>Hardware</v>
      </c>
      <c r="D347" s="131" t="s">
        <v>512</v>
      </c>
      <c r="E347" s="114" t="str">
        <f>_xlfn.XLOOKUP(D347,vulnerabilità!$B:$B,vulnerabilità!$C:$C,"NON TROVATO")</f>
        <v>Smaltimento o riutilizzo non sicuro di dispositivi e supporti</v>
      </c>
    </row>
    <row r="348" spans="1:5">
      <c r="A348" s="131" t="s">
        <v>544</v>
      </c>
      <c r="B348" s="131" t="s">
        <v>539</v>
      </c>
      <c r="C348" s="114" t="str">
        <f t="array" ref="C348">IF(D348="","",_xlfn.IFS(LEFT(D348,3)="VSI","Siti",LEFT(D348,2)="VH","Hardware",LEFT(D348,2)="VS","Software",LEFT(D348,2)="VN","Rete",LEFT(D348,2)="VP","Personale",LEFT(D348,2)="VO","Organizzazione"))</f>
        <v>Software</v>
      </c>
      <c r="D348" s="131" t="s">
        <v>493</v>
      </c>
      <c r="E348" s="114" t="str">
        <f>_xlfn.XLOOKUP(D348,vulnerabilità!$B:$B,vulnerabilità!$C:$C,"NON TROVATO")</f>
        <v>Configurazione insufficiente dei log o audit trail incompleti</v>
      </c>
    </row>
    <row r="349" spans="1:5">
      <c r="A349" s="131" t="s">
        <v>544</v>
      </c>
      <c r="B349" s="131" t="s">
        <v>538</v>
      </c>
      <c r="C349" s="114" t="str">
        <f t="array" ref="C349">IF(D349="","",_xlfn.IFS(LEFT(D349,3)="VSI","Siti",LEFT(D349,2)="VH","Hardware",LEFT(D349,2)="VS","Software",LEFT(D349,2)="VN","Rete",LEFT(D349,2)="VP","Personale",LEFT(D349,2)="VO","Organizzazione"))</f>
        <v>Hardware</v>
      </c>
      <c r="D349" s="131" t="s">
        <v>528</v>
      </c>
      <c r="E349" s="114" t="str">
        <f>_xlfn.XLOOKUP(D349,vulnerabilità!$B:$B,vulnerabilità!$C:$C,"NON TROVATO")</f>
        <v>Installazione o configurazione fisica errata delle telecamere, dei dispositivi Edge o dei supporti di memorizzazione</v>
      </c>
    </row>
    <row r="350" spans="1:5">
      <c r="A350" s="131" t="s">
        <v>544</v>
      </c>
      <c r="B350" s="131" t="s">
        <v>538</v>
      </c>
      <c r="C350" s="114" t="str">
        <f t="array" ref="C350">IF(D350="","",_xlfn.IFS(LEFT(D350,3)="VSI","Siti",LEFT(D350,2)="VH","Hardware",LEFT(D350,2)="VS","Software",LEFT(D350,2)="VN","Rete",LEFT(D350,2)="VP","Personale",LEFT(D350,2)="VO","Organizzazione"))</f>
        <v>Software</v>
      </c>
      <c r="D350" s="131" t="s">
        <v>473</v>
      </c>
      <c r="E350" s="114" t="str">
        <f>_xlfn.XLOOKUP(D350,vulnerabilità!$B:$B,vulnerabilità!$C:$C,"NON TROVATO")</f>
        <v>Test del modello non estesi a dati fuori distribuzione, condizioni avverse o input manipolati</v>
      </c>
    </row>
    <row r="351" spans="1:5">
      <c r="A351" s="131" t="s">
        <v>544</v>
      </c>
      <c r="B351" s="131" t="s">
        <v>538</v>
      </c>
      <c r="C351" s="114" t="str">
        <f t="array" ref="C351">IF(D351="","",_xlfn.IFS(LEFT(D351,3)="VSI","Siti",LEFT(D351,2)="VH","Hardware",LEFT(D351,2)="VS","Software",LEFT(D351,2)="VN","Rete",LEFT(D351,2)="VP","Personale",LEFT(D351,2)="VO","Organizzazione"))</f>
        <v>Software</v>
      </c>
      <c r="D351" s="131" t="s">
        <v>469</v>
      </c>
      <c r="E351" s="114" t="str">
        <f>_xlfn.XLOOKUP(D351,vulnerabilità!$B:$B,vulnerabilità!$C:$C,"NON TROVATO")</f>
        <v>Logica di associazione tra persona e DPI insufficiente o non validata in tutti gli scenari rilevanti</v>
      </c>
    </row>
    <row r="352" spans="1:5">
      <c r="A352" s="131" t="s">
        <v>544</v>
      </c>
      <c r="B352" s="131" t="s">
        <v>538</v>
      </c>
      <c r="C352" s="114" t="str">
        <f t="array" ref="C352">IF(D352="","",_xlfn.IFS(LEFT(D352,3)="VSI","Siti",LEFT(D352,2)="VH","Hardware",LEFT(D352,2)="VS","Software",LEFT(D352,2)="VN","Rete",LEFT(D352,2)="VP","Personale",LEFT(D352,2)="VO","Organizzazione"))</f>
        <v>Software</v>
      </c>
      <c r="D352" s="131" t="s">
        <v>467</v>
      </c>
      <c r="E352" s="114" t="str">
        <f>_xlfn.XLOOKUP(D352,vulnerabilità!$B:$B,vulnerabilità!$C:$C,"NON TROVATO")</f>
        <v>Monitoraggio insufficiente di falsi positivi e falsi negativi durante l’esercizio</v>
      </c>
    </row>
    <row r="353" spans="1:5">
      <c r="A353" s="131" t="s">
        <v>544</v>
      </c>
      <c r="B353" s="131" t="s">
        <v>538</v>
      </c>
      <c r="C353" s="114" t="str">
        <f t="array" ref="C353">IF(D353="","",_xlfn.IFS(LEFT(D353,3)="VSI","Siti",LEFT(D353,2)="VH","Hardware",LEFT(D353,2)="VS","Software",LEFT(D353,2)="VN","Rete",LEFT(D353,2)="VP","Personale",LEFT(D353,2)="VO","Organizzazione"))</f>
        <v>Software</v>
      </c>
      <c r="D353" s="131" t="s">
        <v>509</v>
      </c>
      <c r="E353" s="114" t="str">
        <f>_xlfn.XLOOKUP(D353,vulnerabilità!$B:$B,vulnerabilità!$C:$C,"NON TROVATO")</f>
        <v>Test funzionali, di sicurezza o di robustezza assenti o insufficienti</v>
      </c>
    </row>
    <row r="354" spans="1:5">
      <c r="A354" s="131" t="s">
        <v>544</v>
      </c>
      <c r="B354" s="131" t="s">
        <v>537</v>
      </c>
      <c r="C354" s="114" t="str">
        <f t="array" ref="C354">IF(D354="","",_xlfn.IFS(LEFT(D354,3)="VSI","Siti",LEFT(D354,2)="VH","Hardware",LEFT(D354,2)="VS","Software",LEFT(D354,2)="VN","Rete",LEFT(D354,2)="VP","Personale",LEFT(D354,2)="VO","Organizzazione"))</f>
        <v>Software</v>
      </c>
      <c r="D354" s="131" t="s">
        <v>467</v>
      </c>
      <c r="E354" s="114" t="str">
        <f>_xlfn.XLOOKUP(D354,vulnerabilità!$B:$B,vulnerabilità!$C:$C,"NON TROVATO")</f>
        <v>Monitoraggio insufficiente di falsi positivi e falsi negativi durante l’esercizio</v>
      </c>
    </row>
    <row r="355" spans="1:5">
      <c r="A355" s="131" t="s">
        <v>544</v>
      </c>
      <c r="B355" s="131" t="s">
        <v>537</v>
      </c>
      <c r="C355" s="114" t="str">
        <f t="array" ref="C355">IF(D355="","",_xlfn.IFS(LEFT(D355,3)="VSI","Siti",LEFT(D355,2)="VH","Hardware",LEFT(D355,2)="VS","Software",LEFT(D355,2)="VN","Rete",LEFT(D355,2)="VP","Personale",LEFT(D355,2)="VO","Organizzazione"))</f>
        <v>Software</v>
      </c>
      <c r="D355" s="131" t="s">
        <v>465</v>
      </c>
      <c r="E355" s="114" t="str">
        <f>_xlfn.XLOOKUP(D355,vulnerabilità!$B:$B,vulnerabilità!$C:$C,"NON TROVATO")</f>
        <v>Assenza di monitoraggio del degrado delle prestazioni o del cambiamento del contesto operativo</v>
      </c>
    </row>
    <row r="356" spans="1:5">
      <c r="A356" s="131" t="s">
        <v>544</v>
      </c>
      <c r="B356" s="131" t="s">
        <v>537</v>
      </c>
      <c r="C356" s="114" t="str">
        <f t="array" ref="C356">IF(D356="","",_xlfn.IFS(LEFT(D356,3)="VSI","Siti",LEFT(D356,2)="VH","Hardware",LEFT(D356,2)="VS","Software",LEFT(D356,2)="VN","Rete",LEFT(D356,2)="VP","Personale",LEFT(D356,2)="VO","Organizzazione"))</f>
        <v>Organizzazione</v>
      </c>
      <c r="D356" s="131" t="s">
        <v>378</v>
      </c>
      <c r="E356" s="114" t="str">
        <f>_xlfn.XLOOKUP(D356,vulnerabilità!$B:$B,vulnerabilità!$C:$C,"NON TROVATO")</f>
        <v>Riesame periodico del modello e del contesto operativo assente o insufficiente</v>
      </c>
    </row>
    <row r="357" spans="1:5">
      <c r="A357" s="131" t="s">
        <v>544</v>
      </c>
      <c r="B357" s="131" t="s">
        <v>537</v>
      </c>
      <c r="C357" s="114" t="str">
        <f t="array" ref="C357">IF(D357="","",_xlfn.IFS(LEFT(D357,3)="VSI","Siti",LEFT(D357,2)="VH","Hardware",LEFT(D357,2)="VS","Software",LEFT(D357,2)="VN","Rete",LEFT(D357,2)="VP","Personale",LEFT(D357,2)="VO","Organizzazione"))</f>
        <v>Organizzazione</v>
      </c>
      <c r="D357" s="131" t="s">
        <v>380</v>
      </c>
      <c r="E357" s="114" t="str">
        <f>_xlfn.XLOOKUP(D357,vulnerabilità!$B:$B,vulnerabilità!$C:$C,"NON TROVATO")</f>
        <v>Criteri minimi di accettazione delle prestazioni e soglie operative non formalizzati</v>
      </c>
    </row>
    <row r="358" spans="1:5">
      <c r="A358" s="131" t="s">
        <v>544</v>
      </c>
      <c r="B358" s="131" t="s">
        <v>537</v>
      </c>
      <c r="C358" s="114" t="str">
        <f t="array" ref="C358">IF(D358="","",_xlfn.IFS(LEFT(D358,3)="VSI","Siti",LEFT(D358,2)="VH","Hardware",LEFT(D358,2)="VS","Software",LEFT(D358,2)="VN","Rete",LEFT(D358,2)="VP","Personale",LEFT(D358,2)="VO","Organizzazione"))</f>
        <v>Organizzazione</v>
      </c>
      <c r="D358" s="131" t="s">
        <v>395</v>
      </c>
      <c r="E358" s="114" t="str">
        <f>_xlfn.XLOOKUP(D358,vulnerabilità!$B:$B,vulnerabilità!$C:$C,"NON TROVATO")</f>
        <v>Change management non formalizzato per software, modelli, dataset, soglie e configurazioni</v>
      </c>
    </row>
    <row r="359" spans="1:5">
      <c r="A359" s="131" t="s">
        <v>544</v>
      </c>
      <c r="B359" s="131" t="s">
        <v>536</v>
      </c>
      <c r="C359" s="114" t="str">
        <f t="array" ref="C359">IF(D359="","",_xlfn.IFS(LEFT(D359,3)="VSI","Siti",LEFT(D359,2)="VH","Hardware",LEFT(D359,2)="VS","Software",LEFT(D359,2)="VN","Rete",LEFT(D359,2)="VP","Personale",LEFT(D359,2)="VO","Organizzazione"))</f>
        <v>Software</v>
      </c>
      <c r="D359" s="131" t="s">
        <v>501</v>
      </c>
      <c r="E359" s="114" t="str">
        <f>_xlfn.XLOOKUP(D359,vulnerabilità!$B:$B,vulnerabilità!$C:$C,"NON TROVATO")</f>
        <v>Meccanismi di autenticazione o identificazione utente insufficienti</v>
      </c>
    </row>
    <row r="360" spans="1:5">
      <c r="A360" s="131" t="s">
        <v>544</v>
      </c>
      <c r="B360" s="131" t="s">
        <v>536</v>
      </c>
      <c r="C360" s="114" t="str">
        <f t="array" ref="C360">IF(D360="","",_xlfn.IFS(LEFT(D360,3)="VSI","Siti",LEFT(D360,2)="VH","Hardware",LEFT(D360,2)="VS","Software",LEFT(D360,2)="VN","Rete",LEFT(D360,2)="VP","Personale",LEFT(D360,2)="VO","Organizzazione"))</f>
        <v>Software</v>
      </c>
      <c r="D360" s="131" t="s">
        <v>499</v>
      </c>
      <c r="E360" s="114" t="str">
        <f>_xlfn.XLOOKUP(D360,vulnerabilità!$B:$B,vulnerabilità!$C:$C,"NON TROVATO")</f>
        <v>Assegnazione errata dei privilegi e dei diritti di accesso</v>
      </c>
    </row>
    <row r="361" spans="1:5">
      <c r="A361" s="131" t="s">
        <v>544</v>
      </c>
      <c r="B361" s="131" t="s">
        <v>536</v>
      </c>
      <c r="C361" s="114" t="str">
        <f t="array" ref="C361">IF(D361="","",_xlfn.IFS(LEFT(D361,3)="VSI","Siti",LEFT(D361,2)="VH","Hardware",LEFT(D361,2)="VS","Software",LEFT(D361,2)="VN","Rete",LEFT(D361,2)="VP","Personale",LEFT(D361,2)="VO","Organizzazione"))</f>
        <v>Software</v>
      </c>
      <c r="D361" s="131" t="s">
        <v>497</v>
      </c>
      <c r="E361" s="114" t="str">
        <f>_xlfn.XLOOKUP(D361,vulnerabilità!$B:$B,vulnerabilità!$C:$C,"NON TROVATO")</f>
        <v>Credenziali, token o chiavi crittografiche archiviati in modo non sicuro</v>
      </c>
    </row>
    <row r="362" spans="1:5">
      <c r="A362" s="131" t="s">
        <v>544</v>
      </c>
      <c r="B362" s="131" t="s">
        <v>536</v>
      </c>
      <c r="C362" s="114" t="str">
        <f t="array" ref="C362">IF(D362="","",_xlfn.IFS(LEFT(D362,3)="VSI","Siti",LEFT(D362,2)="VH","Hardware",LEFT(D362,2)="VS","Software",LEFT(D362,2)="VN","Rete",LEFT(D362,2)="VP","Personale",LEFT(D362,2)="VO","Organizzazione"))</f>
        <v>Organizzazione</v>
      </c>
      <c r="D362" s="131" t="s">
        <v>406</v>
      </c>
      <c r="E362" s="114" t="str">
        <f>_xlfn.XLOOKUP(D362,vulnerabilità!$B:$B,vulnerabilità!$C:$C,"NON TROVATO")</f>
        <v>Procedure di abilitazione, modifica e revoca degli accessi non formalizzate o inefficaci</v>
      </c>
    </row>
    <row r="363" spans="1:5">
      <c r="A363" s="131" t="s">
        <v>544</v>
      </c>
      <c r="B363" s="131" t="s">
        <v>536</v>
      </c>
      <c r="C363" s="114" t="str">
        <f t="array" ref="C363">IF(D363="","",_xlfn.IFS(LEFT(D363,3)="VSI","Siti",LEFT(D363,2)="VH","Hardware",LEFT(D363,2)="VS","Software",LEFT(D363,2)="VN","Rete",LEFT(D363,2)="VP","Personale",LEFT(D363,2)="VO","Organizzazione"))</f>
        <v>Organizzazione</v>
      </c>
      <c r="D363" s="131" t="s">
        <v>404</v>
      </c>
      <c r="E363" s="114" t="str">
        <f>_xlfn.XLOOKUP(D363,vulnerabilità!$B:$B,vulnerabilità!$C:$C,"NON TROVATO")</f>
        <v>Revisione periodica dei privilegi e degli account tecnici assente o insufficiente</v>
      </c>
    </row>
    <row r="364" spans="1:5">
      <c r="A364" s="131" t="s">
        <v>544</v>
      </c>
      <c r="B364" s="131" t="s">
        <v>535</v>
      </c>
      <c r="C364" s="114" t="str">
        <f t="array" ref="C364">IF(D364="","",_xlfn.IFS(LEFT(D364,3)="VSI","Siti",LEFT(D364,2)="VH","Hardware",LEFT(D364,2)="VS","Software",LEFT(D364,2)="VN","Rete",LEFT(D364,2)="VP","Personale",LEFT(D364,2)="VO","Organizzazione"))</f>
        <v>Personale</v>
      </c>
      <c r="D364" s="131" t="s">
        <v>426</v>
      </c>
      <c r="E364" s="114" t="str">
        <f>_xlfn.XLOOKUP(D364,vulnerabilità!$B:$B,vulnerabilità!$C:$C,"NON TROVATO")</f>
        <v>Segnalazione tardiva o assente di anomalie, errori del modello e incidenti</v>
      </c>
    </row>
    <row r="365" spans="1:5">
      <c r="A365" s="131" t="s">
        <v>544</v>
      </c>
      <c r="B365" s="131" t="s">
        <v>535</v>
      </c>
      <c r="C365" s="114" t="str">
        <f t="array" ref="C365">IF(D365="","",_xlfn.IFS(LEFT(D365,3)="VSI","Siti",LEFT(D365,2)="VH","Hardware",LEFT(D365,2)="VS","Software",LEFT(D365,2)="VN","Rete",LEFT(D365,2)="VP","Personale",LEFT(D365,2)="VO","Organizzazione"))</f>
        <v>Organizzazione</v>
      </c>
      <c r="D365" s="131" t="s">
        <v>391</v>
      </c>
      <c r="E365" s="114" t="str">
        <f>_xlfn.XLOOKUP(D365,vulnerabilità!$B:$B,vulnerabilità!$C:$C,"NON TROVATO")</f>
        <v>Procedure di gestione, escalation e comunicazione degli incidenti non adeguate</v>
      </c>
    </row>
    <row r="366" spans="1:5">
      <c r="A366" s="131" t="s">
        <v>544</v>
      </c>
      <c r="B366" s="131" t="s">
        <v>535</v>
      </c>
      <c r="C366" s="114" t="str">
        <f t="array" ref="C366">IF(D366="","",_xlfn.IFS(LEFT(D366,3)="VSI","Siti",LEFT(D366,2)="VH","Hardware",LEFT(D366,2)="VS","Software",LEFT(D366,2)="VN","Rete",LEFT(D366,2)="VP","Personale",LEFT(D366,2)="VO","Organizzazione"))</f>
        <v>Software</v>
      </c>
      <c r="D366" s="131" t="s">
        <v>493</v>
      </c>
      <c r="E366" s="114" t="str">
        <f>_xlfn.XLOOKUP(D366,vulnerabilità!$B:$B,vulnerabilità!$C:$C,"NON TROVATO")</f>
        <v>Configurazione insufficiente dei log o audit trail incompleti</v>
      </c>
    </row>
  </sheetData>
  <pageMargins left="0.70000000000000007" right="0.70000000000000007" top="0.75" bottom="0.75" header="0.30000000000000004" footer="0.3000000000000000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CFE67-7530-3242-9F3B-21D5D99881E2}">
  <dimension ref="A1:CO83"/>
  <sheetViews>
    <sheetView topLeftCell="A11" zoomScale="50" workbookViewId="0">
      <selection activeCell="E25" sqref="E25"/>
    </sheetView>
  </sheetViews>
  <sheetFormatPr baseColWidth="10" defaultColWidth="10.6640625" defaultRowHeight="15"/>
  <cols>
    <col min="1" max="1" width="34.33203125" style="114" customWidth="1"/>
    <col min="2" max="2" width="53.6640625" style="114" customWidth="1"/>
    <col min="3" max="3" width="124.1640625" style="114" bestFit="1" customWidth="1"/>
    <col min="4" max="4" width="57.83203125" style="114" customWidth="1"/>
    <col min="5" max="5" width="41.6640625" style="114" customWidth="1"/>
    <col min="6" max="6" width="91.33203125" style="114" customWidth="1"/>
    <col min="7" max="7" width="88.83203125" style="114" customWidth="1"/>
    <col min="8" max="8" width="72" style="114" customWidth="1"/>
    <col min="9" max="9" width="77" style="114" customWidth="1"/>
    <col min="10" max="10" width="92.33203125" style="114" customWidth="1"/>
    <col min="11" max="11" width="57.33203125" style="114" customWidth="1"/>
    <col min="12" max="12" width="50.5" style="114" customWidth="1"/>
    <col min="13" max="13" width="52.5" style="114" customWidth="1"/>
    <col min="14" max="14" width="48.33203125" style="114" customWidth="1"/>
    <col min="15" max="15" width="26.33203125" style="114" customWidth="1"/>
    <col min="16" max="85" width="10.6640625" style="114" customWidth="1"/>
    <col min="86" max="86" width="89.1640625" style="114" customWidth="1"/>
    <col min="87" max="87" width="10.6640625" style="114" customWidth="1"/>
    <col min="88" max="88" width="100.83203125" style="114" customWidth="1"/>
    <col min="89" max="89" width="146.83203125" style="114" customWidth="1"/>
    <col min="90" max="90" width="57.83203125" style="114" customWidth="1"/>
    <col min="91" max="91" width="10.6640625" style="114" customWidth="1"/>
    <col min="92" max="16384" width="10.6640625" style="114"/>
  </cols>
  <sheetData>
    <row r="1" spans="1:93">
      <c r="D1" s="263" t="s">
        <v>634</v>
      </c>
      <c r="E1" s="264" t="s">
        <v>623</v>
      </c>
      <c r="F1" s="264"/>
      <c r="G1" s="264"/>
      <c r="H1" s="264"/>
      <c r="I1" s="264"/>
      <c r="J1" s="264"/>
      <c r="K1" s="264"/>
      <c r="L1" s="264"/>
      <c r="M1" s="264"/>
      <c r="N1" s="264"/>
      <c r="O1" s="265" t="s">
        <v>612</v>
      </c>
      <c r="P1" s="265"/>
      <c r="Q1" s="265"/>
      <c r="R1" s="265"/>
      <c r="S1" s="265"/>
      <c r="T1" s="265"/>
      <c r="U1" s="266" t="s">
        <v>605</v>
      </c>
      <c r="V1" s="266"/>
      <c r="W1" s="266"/>
      <c r="X1" s="266"/>
      <c r="Y1" s="266"/>
      <c r="Z1" s="266"/>
      <c r="AA1" s="266"/>
      <c r="AB1" s="266"/>
      <c r="AC1" s="266"/>
      <c r="AD1" s="266"/>
      <c r="AE1" s="267" t="s">
        <v>594</v>
      </c>
      <c r="AF1" s="267"/>
      <c r="AG1" s="267"/>
      <c r="AH1" s="267"/>
      <c r="AI1" s="267"/>
      <c r="AJ1" s="267"/>
      <c r="AK1" s="267"/>
      <c r="AL1" s="267"/>
      <c r="AM1" s="267"/>
      <c r="AN1" s="267"/>
      <c r="AO1" s="268" t="s">
        <v>583</v>
      </c>
      <c r="AP1" s="268"/>
      <c r="AQ1" s="268"/>
      <c r="AR1" s="268"/>
      <c r="AS1" s="268"/>
      <c r="AT1" s="268"/>
      <c r="AU1" s="268"/>
      <c r="AV1" s="268"/>
      <c r="AW1" s="268"/>
      <c r="AX1" s="268"/>
      <c r="AY1" s="259" t="s">
        <v>572</v>
      </c>
      <c r="AZ1" s="259"/>
      <c r="BA1" s="259"/>
      <c r="BB1" s="259"/>
      <c r="BC1" s="259"/>
      <c r="BD1" s="259"/>
      <c r="BE1" s="259"/>
      <c r="BF1" s="259"/>
      <c r="BG1" s="259"/>
      <c r="BH1" s="259"/>
      <c r="BI1" s="259"/>
      <c r="BJ1" s="259"/>
      <c r="BK1" s="259"/>
      <c r="BL1" s="260" t="s">
        <v>558</v>
      </c>
      <c r="BM1" s="260"/>
      <c r="BN1" s="260"/>
      <c r="BO1" s="260"/>
      <c r="BP1" s="260"/>
      <c r="BQ1" s="260"/>
      <c r="BR1" s="260"/>
      <c r="BS1" s="260"/>
      <c r="BT1" s="260"/>
      <c r="BU1" s="260"/>
      <c r="BV1" s="260"/>
      <c r="BW1" s="260"/>
      <c r="BX1" s="260"/>
      <c r="BY1" s="261" t="s">
        <v>544</v>
      </c>
      <c r="BZ1" s="261"/>
      <c r="CA1" s="261"/>
      <c r="CB1" s="261"/>
      <c r="CC1" s="261"/>
      <c r="CD1" s="261"/>
      <c r="CE1" s="261"/>
      <c r="CF1" s="261"/>
      <c r="CG1" s="261"/>
      <c r="CH1" s="261"/>
    </row>
    <row r="2" spans="1:93">
      <c r="D2" s="263"/>
      <c r="E2" s="114" t="s">
        <v>622</v>
      </c>
      <c r="F2" s="114" t="s">
        <v>621</v>
      </c>
      <c r="G2" s="114" t="s">
        <v>620</v>
      </c>
      <c r="H2" s="114" t="s">
        <v>619</v>
      </c>
      <c r="I2" s="114" t="s">
        <v>618</v>
      </c>
      <c r="J2" s="114" t="s">
        <v>617</v>
      </c>
      <c r="K2" s="114" t="s">
        <v>616</v>
      </c>
      <c r="L2" s="114" t="s">
        <v>615</v>
      </c>
      <c r="M2" s="114" t="s">
        <v>614</v>
      </c>
      <c r="N2" s="114" t="s">
        <v>613</v>
      </c>
      <c r="O2" s="114" t="s">
        <v>611</v>
      </c>
      <c r="P2" s="114" t="s">
        <v>610</v>
      </c>
      <c r="Q2" s="114" t="s">
        <v>609</v>
      </c>
      <c r="R2" s="114" t="s">
        <v>608</v>
      </c>
      <c r="S2" s="114" t="s">
        <v>607</v>
      </c>
      <c r="T2" s="126" t="s">
        <v>606</v>
      </c>
      <c r="U2" s="114" t="s">
        <v>604</v>
      </c>
      <c r="V2" s="114" t="s">
        <v>603</v>
      </c>
      <c r="W2" s="114" t="s">
        <v>602</v>
      </c>
      <c r="X2" s="114" t="s">
        <v>601</v>
      </c>
      <c r="Y2" s="114" t="s">
        <v>600</v>
      </c>
      <c r="Z2" s="114" t="s">
        <v>599</v>
      </c>
      <c r="AA2" s="114" t="s">
        <v>598</v>
      </c>
      <c r="AB2" s="114" t="s">
        <v>597</v>
      </c>
      <c r="AC2" s="114" t="s">
        <v>596</v>
      </c>
      <c r="AD2" s="126" t="s">
        <v>595</v>
      </c>
      <c r="AE2" s="114" t="s">
        <v>593</v>
      </c>
      <c r="AF2" s="114" t="s">
        <v>592</v>
      </c>
      <c r="AG2" s="114" t="s">
        <v>591</v>
      </c>
      <c r="AH2" s="114" t="s">
        <v>590</v>
      </c>
      <c r="AI2" s="114" t="s">
        <v>589</v>
      </c>
      <c r="AJ2" s="114" t="s">
        <v>588</v>
      </c>
      <c r="AK2" s="114" t="s">
        <v>587</v>
      </c>
      <c r="AL2" s="114" t="s">
        <v>586</v>
      </c>
      <c r="AM2" s="114" t="s">
        <v>585</v>
      </c>
      <c r="AN2" s="126" t="s">
        <v>584</v>
      </c>
      <c r="AO2" s="114" t="s">
        <v>582</v>
      </c>
      <c r="AP2" s="114" t="s">
        <v>581</v>
      </c>
      <c r="AQ2" s="114" t="s">
        <v>580</v>
      </c>
      <c r="AR2" s="114" t="s">
        <v>579</v>
      </c>
      <c r="AS2" s="114" t="s">
        <v>578</v>
      </c>
      <c r="AT2" s="114" t="s">
        <v>577</v>
      </c>
      <c r="AU2" s="114" t="s">
        <v>576</v>
      </c>
      <c r="AV2" s="114" t="s">
        <v>575</v>
      </c>
      <c r="AW2" s="114" t="s">
        <v>574</v>
      </c>
      <c r="AX2" s="114" t="s">
        <v>573</v>
      </c>
      <c r="AY2" s="114" t="s">
        <v>571</v>
      </c>
      <c r="AZ2" s="114" t="s">
        <v>570</v>
      </c>
      <c r="BA2" s="114" t="s">
        <v>569</v>
      </c>
      <c r="BB2" s="114" t="s">
        <v>568</v>
      </c>
      <c r="BC2" s="114" t="s">
        <v>567</v>
      </c>
      <c r="BD2" s="114" t="s">
        <v>566</v>
      </c>
      <c r="BE2" s="114" t="s">
        <v>565</v>
      </c>
      <c r="BF2" s="114" t="s">
        <v>564</v>
      </c>
      <c r="BG2" s="114" t="s">
        <v>563</v>
      </c>
      <c r="BH2" s="114" t="s">
        <v>562</v>
      </c>
      <c r="BI2" s="114" t="s">
        <v>561</v>
      </c>
      <c r="BJ2" s="114" t="s">
        <v>560</v>
      </c>
      <c r="BK2" s="126" t="s">
        <v>559</v>
      </c>
      <c r="BL2" s="114" t="s">
        <v>557</v>
      </c>
      <c r="BM2" s="114" t="s">
        <v>556</v>
      </c>
      <c r="BN2" s="114" t="s">
        <v>555</v>
      </c>
      <c r="BO2" s="114" t="s">
        <v>554</v>
      </c>
      <c r="BP2" s="114" t="s">
        <v>553</v>
      </c>
      <c r="BQ2" s="114" t="s">
        <v>552</v>
      </c>
      <c r="BR2" s="114" t="s">
        <v>551</v>
      </c>
      <c r="BS2" s="114" t="s">
        <v>550</v>
      </c>
      <c r="BT2" s="114" t="s">
        <v>549</v>
      </c>
      <c r="BU2" s="114" t="s">
        <v>548</v>
      </c>
      <c r="BV2" s="114" t="s">
        <v>547</v>
      </c>
      <c r="BW2" s="114" t="s">
        <v>546</v>
      </c>
      <c r="BX2" s="114" t="s">
        <v>545</v>
      </c>
      <c r="BY2" s="114" t="s">
        <v>819</v>
      </c>
      <c r="BZ2" s="114" t="s">
        <v>543</v>
      </c>
      <c r="CA2" s="114" t="s">
        <v>542</v>
      </c>
      <c r="CB2" s="114" t="s">
        <v>541</v>
      </c>
      <c r="CC2" s="114" t="s">
        <v>540</v>
      </c>
      <c r="CD2" s="114" t="s">
        <v>539</v>
      </c>
      <c r="CE2" s="114" t="s">
        <v>538</v>
      </c>
      <c r="CF2" s="114" t="s">
        <v>537</v>
      </c>
      <c r="CG2" s="114" t="s">
        <v>536</v>
      </c>
      <c r="CH2" s="114" t="s">
        <v>535</v>
      </c>
    </row>
    <row r="4" spans="1:93" ht="16">
      <c r="A4" s="130" t="s">
        <v>534</v>
      </c>
      <c r="B4" s="130" t="s">
        <v>533</v>
      </c>
      <c r="C4" s="129" t="s">
        <v>532</v>
      </c>
      <c r="CK4" s="114" t="e">
        <f>IF(COUNTIFS(#REF!,CK$2,#REF!,$B5)&gt;0,"X","")</f>
        <v>#REF!</v>
      </c>
      <c r="CN4" s="114" t="e">
        <f>IF(COUNTIFS(#REF!,CK$2,#REF!,$B5)&gt;0,"X","")</f>
        <v>#REF!</v>
      </c>
      <c r="CO4" s="114" t="e">
        <f>IF(COUNTIFS(#REF!,CK$2,#REF!,$B5)&gt;0,"X","")</f>
        <v>#REF!</v>
      </c>
    </row>
    <row r="5" spans="1:93" ht="16">
      <c r="A5" s="262" t="s">
        <v>531</v>
      </c>
      <c r="B5" s="122" t="s">
        <v>530</v>
      </c>
      <c r="C5" s="122" t="s">
        <v>529</v>
      </c>
      <c r="E5" s="114" t="str">
        <f>IF(COUNTIFS(mapping!$B:$B,E$2,mapping!$D:$D,$B5)&gt;0,"X","")</f>
        <v/>
      </c>
      <c r="F5" s="114" t="str">
        <f>IF(COUNTIFS(mapping!$B:$B,F$2,mapping!$D:$D,$B5)&gt;0,"X","")</f>
        <v>X</v>
      </c>
      <c r="G5" s="114" t="str">
        <f>IF(COUNTIFS(mapping!$B:$B,G$2,mapping!$D:$D,$B5)&gt;0,"X","")</f>
        <v/>
      </c>
      <c r="H5" s="114" t="str">
        <f>IF(COUNTIFS(mapping!$B:$B,H$2,mapping!$D:$D,$B5)&gt;0,"X","")</f>
        <v/>
      </c>
      <c r="I5" s="114" t="str">
        <f>IF(COUNTIFS(mapping!$B:$B,I$2,mapping!$D:$D,$B5)&gt;0,"X","")</f>
        <v/>
      </c>
      <c r="J5" s="114" t="str">
        <f>IF(COUNTIFS(mapping!$B:$B,J$2,mapping!$D:$D,$B5)&gt;0,"X","")</f>
        <v/>
      </c>
      <c r="K5" s="114" t="str">
        <f>IF(COUNTIFS(mapping!$B:$B,K$2,mapping!$D:$D,$B5)&gt;0,"X","")</f>
        <v/>
      </c>
      <c r="L5" s="114" t="str">
        <f>IF(COUNTIFS(mapping!$B:$B,L$2,mapping!$D:$D,$B5)&gt;0,"X","")</f>
        <v/>
      </c>
      <c r="M5" s="114" t="str">
        <f>IF(COUNTIFS(mapping!$B:$B,M$2,mapping!$D:$D,$B5)&gt;0,"X","")</f>
        <v/>
      </c>
      <c r="N5" s="114" t="str">
        <f>IF(COUNTIFS(mapping!$B:$B,N$2,mapping!$D:$D,$B5)&gt;0,"X","")</f>
        <v/>
      </c>
      <c r="O5" s="114" t="str">
        <f>IF(COUNTIFS(mapping!$B:$B,O$2,mapping!$D:$D,$B5)&gt;0,"X","")</f>
        <v/>
      </c>
      <c r="P5" s="114" t="str">
        <f>IF(COUNTIFS(mapping!$B:$B,P$2,mapping!$D:$D,$B5)&gt;0,"X","")</f>
        <v/>
      </c>
      <c r="Q5" s="114" t="str">
        <f>IF(COUNTIFS(mapping!$B:$B,Q$2,mapping!$D:$D,$B5)&gt;0,"X","")</f>
        <v/>
      </c>
      <c r="R5" s="114" t="str">
        <f>IF(COUNTIFS(mapping!$B:$B,R$2,mapping!$D:$D,$B5)&gt;0,"X","")</f>
        <v/>
      </c>
      <c r="S5" s="114" t="str">
        <f>IF(COUNTIFS(mapping!$B:$B,S$2,mapping!$D:$D,$B5)&gt;0,"X","")</f>
        <v>X</v>
      </c>
      <c r="T5" s="114" t="str">
        <f>IF(COUNTIFS(mapping!$B:$B,T$2,mapping!$D:$D,$B5)&gt;0,"X","")</f>
        <v/>
      </c>
      <c r="U5" s="114" t="str">
        <f>IF(COUNTIFS(mapping!$B:$B,U$2,mapping!$D:$D,$B5)&gt;0,"X","")</f>
        <v/>
      </c>
      <c r="V5" s="114" t="str">
        <f>IF(COUNTIFS(mapping!$B:$B,V$2,mapping!$D:$D,$B5)&gt;0,"X","")</f>
        <v/>
      </c>
      <c r="W5" s="114" t="str">
        <f>IF(COUNTIFS(mapping!$B:$B,W$2,mapping!$D:$D,$B5)&gt;0,"X","")</f>
        <v>X</v>
      </c>
      <c r="X5" s="114" t="str">
        <f>IF(COUNTIFS(mapping!$B:$B,X$2,mapping!$D:$D,$B5)&gt;0,"X","")</f>
        <v>X</v>
      </c>
      <c r="Y5" s="114" t="str">
        <f>IF(COUNTIFS(mapping!$B:$B,Y$2,mapping!$D:$D,$B5)&gt;0,"X","")</f>
        <v/>
      </c>
      <c r="Z5" s="114" t="str">
        <f>IF(COUNTIFS(mapping!$B:$B,Z$2,mapping!$D:$D,$B5)&gt;0,"X","")</f>
        <v/>
      </c>
      <c r="AA5" s="114" t="str">
        <f>IF(COUNTIFS(mapping!$B:$B,AA$2,mapping!$D:$D,$B5)&gt;0,"X","")</f>
        <v/>
      </c>
      <c r="AB5" s="114" t="str">
        <f>IF(COUNTIFS(mapping!$B:$B,AB$2,mapping!$D:$D,$B5)&gt;0,"X","")</f>
        <v/>
      </c>
      <c r="AC5" s="114" t="str">
        <f>IF(COUNTIFS(mapping!$B:$B,AC$2,mapping!$D:$D,$B5)&gt;0,"X","")</f>
        <v/>
      </c>
      <c r="AD5" s="114" t="str">
        <f>IF(COUNTIFS(mapping!$B:$B,AD$2,mapping!$D:$D,$B5)&gt;0,"X","")</f>
        <v/>
      </c>
      <c r="AE5" s="114" t="str">
        <f>IF(COUNTIFS(mapping!$B:$B,AE$2,mapping!$D:$D,$B5)&gt;0,"X","")</f>
        <v>X</v>
      </c>
      <c r="AF5" s="114" t="str">
        <f>IF(COUNTIFS(mapping!$B:$B,AF$2,mapping!$D:$D,$B5)&gt;0,"X","")</f>
        <v>X</v>
      </c>
      <c r="AG5" s="114" t="str">
        <f>IF(COUNTIFS(mapping!$B:$B,AG$2,mapping!$D:$D,$B5)&gt;0,"X","")</f>
        <v/>
      </c>
      <c r="AH5" s="114" t="str">
        <f>IF(COUNTIFS(mapping!$B:$B,AH$2,mapping!$D:$D,$B5)&gt;0,"X","")</f>
        <v>X</v>
      </c>
      <c r="AI5" s="114" t="str">
        <f>IF(COUNTIFS(mapping!$B:$B,AI$2,mapping!$D:$D,$B5)&gt;0,"X","")</f>
        <v/>
      </c>
      <c r="AJ5" s="114" t="str">
        <f>IF(COUNTIFS(mapping!$B:$B,AJ$2,mapping!$D:$D,$B5)&gt;0,"X","")</f>
        <v/>
      </c>
      <c r="AK5" s="114" t="str">
        <f>IF(COUNTIFS(mapping!$B:$B,AK$2,mapping!$D:$D,$B5)&gt;0,"X","")</f>
        <v/>
      </c>
      <c r="AL5" s="114" t="str">
        <f>IF(COUNTIFS(mapping!$B:$B,AL$2,mapping!$D:$D,$B5)&gt;0,"X","")</f>
        <v/>
      </c>
      <c r="AM5" s="114" t="str">
        <f>IF(COUNTIFS(mapping!$B:$B,AM$2,mapping!$D:$D,$B5)&gt;0,"X","")</f>
        <v/>
      </c>
      <c r="AN5" s="114" t="str">
        <f>IF(COUNTIFS(mapping!$B:$B,AN$2,mapping!$D:$D,$B5)&gt;0,"X","")</f>
        <v/>
      </c>
      <c r="AO5" s="114" t="str">
        <f>IF(COUNTIFS(mapping!$B:$B,AO$2,mapping!$D:$D,$B5)&gt;0,"X","")</f>
        <v>X</v>
      </c>
      <c r="AP5" s="114" t="str">
        <f>IF(COUNTIFS(mapping!$B:$B,AP$2,mapping!$D:$D,$B5)&gt;0,"X","")</f>
        <v/>
      </c>
      <c r="AQ5" s="114" t="str">
        <f>IF(COUNTIFS(mapping!$B:$B,AQ$2,mapping!$D:$D,$B5)&gt;0,"X","")</f>
        <v/>
      </c>
      <c r="AR5" s="114" t="str">
        <f>IF(COUNTIFS(mapping!$B:$B,AR$2,mapping!$D:$D,$B5)&gt;0,"X","")</f>
        <v/>
      </c>
      <c r="AS5" s="114" t="str">
        <f>IF(COUNTIFS(mapping!$B:$B,AS$2,mapping!$D:$D,$B5)&gt;0,"X","")</f>
        <v/>
      </c>
      <c r="AT5" s="114" t="str">
        <f>IF(COUNTIFS(mapping!$B:$B,AT$2,mapping!$D:$D,$B5)&gt;0,"X","")</f>
        <v/>
      </c>
      <c r="AU5" s="114" t="str">
        <f>IF(COUNTIFS(mapping!$B:$B,AU$2,mapping!$D:$D,$B5)&gt;0,"X","")</f>
        <v/>
      </c>
      <c r="AV5" s="114" t="str">
        <f>IF(COUNTIFS(mapping!$B:$B,AV$2,mapping!$D:$D,$B5)&gt;0,"X","")</f>
        <v/>
      </c>
      <c r="AW5" s="114" t="str">
        <f>IF(COUNTIFS(mapping!$B:$B,AW$2,mapping!$D:$D,$B5)&gt;0,"X","")</f>
        <v/>
      </c>
      <c r="AX5" s="114" t="str">
        <f>IF(COUNTIFS(mapping!$B:$B,AX$2,mapping!$D:$D,$B5)&gt;0,"X","")</f>
        <v/>
      </c>
      <c r="AY5" s="114" t="str">
        <f>IF(COUNTIFS(mapping!$B:$B,AY$2,mapping!$D:$D,$B5)&gt;0,"X","")</f>
        <v/>
      </c>
      <c r="AZ5" s="114" t="str">
        <f>IF(COUNTIFS(mapping!$B:$B,AZ$2,mapping!$D:$D,$B5)&gt;0,"X","")</f>
        <v/>
      </c>
      <c r="BA5" s="114" t="str">
        <f>IF(COUNTIFS(mapping!$B:$B,BA$2,mapping!$D:$D,$B5)&gt;0,"X","")</f>
        <v/>
      </c>
      <c r="BB5" s="114" t="str">
        <f>IF(COUNTIFS(mapping!$B:$B,BB$2,mapping!$D:$D,$B5)&gt;0,"X","")</f>
        <v/>
      </c>
      <c r="BC5" s="114" t="str">
        <f>IF(COUNTIFS(mapping!$B:$B,BC$2,mapping!$D:$D,$B5)&gt;0,"X","")</f>
        <v/>
      </c>
      <c r="BD5" s="114" t="str">
        <f>IF(COUNTIFS(mapping!$B:$B,BD$2,mapping!$D:$D,$B5)&gt;0,"X","")</f>
        <v/>
      </c>
      <c r="BE5" s="114" t="str">
        <f>IF(COUNTIFS(mapping!$B:$B,BE$2,mapping!$D:$D,$B5)&gt;0,"X","")</f>
        <v/>
      </c>
      <c r="BF5" s="114" t="str">
        <f>IF(COUNTIFS(mapping!$B:$B,BF$2,mapping!$D:$D,$B5)&gt;0,"X","")</f>
        <v/>
      </c>
      <c r="BG5" s="114" t="str">
        <f>IF(COUNTIFS(mapping!$B:$B,BG$2,mapping!$D:$D,$B5)&gt;0,"X","")</f>
        <v/>
      </c>
      <c r="BH5" s="114" t="str">
        <f>IF(COUNTIFS(mapping!$B:$B,BH$2,mapping!$D:$D,$B5)&gt;0,"X","")</f>
        <v/>
      </c>
      <c r="BI5" s="114" t="str">
        <f>IF(COUNTIFS(mapping!$B:$B,BI$2,mapping!$D:$D,$B5)&gt;0,"X","")</f>
        <v/>
      </c>
      <c r="BJ5" s="114" t="str">
        <f>IF(COUNTIFS(mapping!$B:$B,BJ$2,mapping!$D:$D,$B5)&gt;0,"X","")</f>
        <v/>
      </c>
      <c r="BK5" s="114" t="str">
        <f>IF(COUNTIFS(mapping!$B:$B,BK$2,mapping!$D:$D,$B5)&gt;0,"X","")</f>
        <v/>
      </c>
      <c r="BL5" s="114" t="str">
        <f>IF(COUNTIFS(mapping!$B:$B,BL$2,mapping!$D:$D,$B5)&gt;0,"X","")</f>
        <v/>
      </c>
      <c r="BM5" s="114" t="str">
        <f>IF(COUNTIFS(mapping!$B:$B,BM$2,mapping!$D:$D,$B5)&gt;0,"X","")</f>
        <v>X</v>
      </c>
      <c r="BN5" s="114" t="str">
        <f>IF(COUNTIFS(mapping!$B:$B,BN$2,mapping!$D:$D,$B5)&gt;0,"X","")</f>
        <v>X</v>
      </c>
      <c r="BO5" s="114" t="str">
        <f>IF(COUNTIFS(mapping!$B:$B,BO$2,mapping!$D:$D,$B5)&gt;0,"X","")</f>
        <v/>
      </c>
      <c r="BP5" s="114" t="str">
        <f>IF(COUNTIFS(mapping!$B:$B,BP$2,mapping!$D:$D,$B5)&gt;0,"X","")</f>
        <v/>
      </c>
      <c r="BQ5" s="114" t="str">
        <f>IF(COUNTIFS(mapping!$B:$B,BQ$2,mapping!$D:$D,$B5)&gt;0,"X","")</f>
        <v/>
      </c>
      <c r="BR5" s="114" t="str">
        <f>IF(COUNTIFS(mapping!$B:$B,BR$2,mapping!$D:$D,$B5)&gt;0,"X","")</f>
        <v/>
      </c>
      <c r="BS5" s="114" t="str">
        <f>IF(COUNTIFS(mapping!$B:$B,BS$2,mapping!$D:$D,$B5)&gt;0,"X","")</f>
        <v/>
      </c>
      <c r="BT5" s="114" t="str">
        <f>IF(COUNTIFS(mapping!$B:$B,BT$2,mapping!$D:$D,$B5)&gt;0,"X","")</f>
        <v/>
      </c>
      <c r="BU5" s="114" t="str">
        <f>IF(COUNTIFS(mapping!$B:$B,BU$2,mapping!$D:$D,$B5)&gt;0,"X","")</f>
        <v/>
      </c>
      <c r="BV5" s="114" t="str">
        <f>IF(COUNTIFS(mapping!$B:$B,BV$2,mapping!$D:$D,$B5)&gt;0,"X","")</f>
        <v/>
      </c>
      <c r="BW5" s="114" t="str">
        <f>IF(COUNTIFS(mapping!$B:$B,BW$2,mapping!$D:$D,$B5)&gt;0,"X","")</f>
        <v/>
      </c>
      <c r="BX5" s="114" t="str">
        <f>IF(COUNTIFS(mapping!$B:$B,BX$2,mapping!$D:$D,$B5)&gt;0,"X","")</f>
        <v/>
      </c>
      <c r="BY5" s="114" t="str">
        <f>IF(COUNTIFS(mapping!$B:$B,BY$2,mapping!$D:$D,$B5)&gt;0,"X","")</f>
        <v/>
      </c>
      <c r="BZ5" s="114" t="str">
        <f>IF(COUNTIFS(mapping!$B:$B,BZ$2,mapping!$D:$D,$B5)&gt;0,"X","")</f>
        <v/>
      </c>
      <c r="CA5" s="114" t="str">
        <f>IF(COUNTIFS(mapping!$B:$B,CA$2,mapping!$D:$D,$B5)&gt;0,"X","")</f>
        <v/>
      </c>
      <c r="CB5" s="114" t="str">
        <f>IF(COUNTIFS(mapping!$B:$B,CB$2,mapping!$D:$D,$B5)&gt;0,"X","")</f>
        <v/>
      </c>
      <c r="CC5" s="114" t="str">
        <f>IF(COUNTIFS(mapping!$B:$B,CC$2,mapping!$D:$D,$B5)&gt;0,"X","")</f>
        <v/>
      </c>
      <c r="CD5" s="114" t="str">
        <f>IF(COUNTIFS(mapping!$B:$B,CD$2,mapping!$D:$D,$B5)&gt;0,"X","")</f>
        <v/>
      </c>
      <c r="CE5" s="114" t="str">
        <f>IF(COUNTIFS(mapping!$B:$B,CE$2,mapping!$D:$D,$B5)&gt;0,"X","")</f>
        <v/>
      </c>
      <c r="CF5" s="114" t="str">
        <f>IF(COUNTIFS(mapping!$B:$B,CF$2,mapping!$D:$D,$B5)&gt;0,"X","")</f>
        <v/>
      </c>
      <c r="CG5" s="114" t="str">
        <f>IF(COUNTIFS(mapping!$B:$B,CG$2,mapping!$D:$D,$B5)&gt;0,"X","")</f>
        <v/>
      </c>
      <c r="CH5" s="114" t="str">
        <f>IF(COUNTIFS(mapping!$B:$B,CH$2,mapping!$D:$D,$B5)&gt;0,"X","")</f>
        <v/>
      </c>
    </row>
    <row r="6" spans="1:93" ht="16">
      <c r="A6" s="262"/>
      <c r="B6" s="122" t="s">
        <v>528</v>
      </c>
      <c r="C6" s="122" t="s">
        <v>527</v>
      </c>
      <c r="E6" s="114" t="str">
        <f>IF(COUNTIFS(mapping!$B:$B,E$2,mapping!$D:$D,$B6)&gt;0,"X","")</f>
        <v/>
      </c>
      <c r="F6" s="114" t="str">
        <f>IF(COUNTIFS(mapping!$B:$B,F$2,mapping!$D:$D,$B6)&gt;0,"X","")</f>
        <v/>
      </c>
      <c r="G6" s="114" t="str">
        <f>IF(COUNTIFS(mapping!$B:$B,G$2,mapping!$D:$D,$B6)&gt;0,"X","")</f>
        <v/>
      </c>
      <c r="H6" s="114" t="str">
        <f>IF(COUNTIFS(mapping!$B:$B,H$2,mapping!$D:$D,$B6)&gt;0,"X","")</f>
        <v/>
      </c>
      <c r="I6" s="114" t="str">
        <f>IF(COUNTIFS(mapping!$B:$B,I$2,mapping!$D:$D,$B6)&gt;0,"X","")</f>
        <v/>
      </c>
      <c r="J6" s="114" t="str">
        <f>IF(COUNTIFS(mapping!$B:$B,J$2,mapping!$D:$D,$B6)&gt;0,"X","")</f>
        <v/>
      </c>
      <c r="K6" s="114" t="str">
        <f>IF(COUNTIFS(mapping!$B:$B,K$2,mapping!$D:$D,$B6)&gt;0,"X","")</f>
        <v/>
      </c>
      <c r="L6" s="114" t="str">
        <f>IF(COUNTIFS(mapping!$B:$B,L$2,mapping!$D:$D,$B6)&gt;0,"X","")</f>
        <v/>
      </c>
      <c r="M6" s="114" t="str">
        <f>IF(COUNTIFS(mapping!$B:$B,M$2,mapping!$D:$D,$B6)&gt;0,"X","")</f>
        <v/>
      </c>
      <c r="N6" s="114" t="str">
        <f>IF(COUNTIFS(mapping!$B:$B,N$2,mapping!$D:$D,$B6)&gt;0,"X","")</f>
        <v/>
      </c>
      <c r="O6" s="114" t="str">
        <f>IF(COUNTIFS(mapping!$B:$B,O$2,mapping!$D:$D,$B6)&gt;0,"X","")</f>
        <v/>
      </c>
      <c r="P6" s="114" t="str">
        <f>IF(COUNTIFS(mapping!$B:$B,P$2,mapping!$D:$D,$B6)&gt;0,"X","")</f>
        <v/>
      </c>
      <c r="Q6" s="114" t="str">
        <f>IF(COUNTIFS(mapping!$B:$B,Q$2,mapping!$D:$D,$B6)&gt;0,"X","")</f>
        <v/>
      </c>
      <c r="R6" s="114" t="str">
        <f>IF(COUNTIFS(mapping!$B:$B,R$2,mapping!$D:$D,$B6)&gt;0,"X","")</f>
        <v/>
      </c>
      <c r="S6" s="114" t="str">
        <f>IF(COUNTIFS(mapping!$B:$B,S$2,mapping!$D:$D,$B6)&gt;0,"X","")</f>
        <v/>
      </c>
      <c r="T6" s="114" t="str">
        <f>IF(COUNTIFS(mapping!$B:$B,T$2,mapping!$D:$D,$B6)&gt;0,"X","")</f>
        <v/>
      </c>
      <c r="U6" s="114" t="str">
        <f>IF(COUNTIFS(mapping!$B:$B,U$2,mapping!$D:$D,$B6)&gt;0,"X","")</f>
        <v/>
      </c>
      <c r="V6" s="114" t="str">
        <f>IF(COUNTIFS(mapping!$B:$B,V$2,mapping!$D:$D,$B6)&gt;0,"X","")</f>
        <v/>
      </c>
      <c r="W6" s="114" t="str">
        <f>IF(COUNTIFS(mapping!$B:$B,W$2,mapping!$D:$D,$B6)&gt;0,"X","")</f>
        <v>X</v>
      </c>
      <c r="X6" s="114" t="str">
        <f>IF(COUNTIFS(mapping!$B:$B,X$2,mapping!$D:$D,$B6)&gt;0,"X","")</f>
        <v/>
      </c>
      <c r="Y6" s="114" t="str">
        <f>IF(COUNTIFS(mapping!$B:$B,Y$2,mapping!$D:$D,$B6)&gt;0,"X","")</f>
        <v/>
      </c>
      <c r="Z6" s="114" t="str">
        <f>IF(COUNTIFS(mapping!$B:$B,Z$2,mapping!$D:$D,$B6)&gt;0,"X","")</f>
        <v/>
      </c>
      <c r="AA6" s="114" t="str">
        <f>IF(COUNTIFS(mapping!$B:$B,AA$2,mapping!$D:$D,$B6)&gt;0,"X","")</f>
        <v/>
      </c>
      <c r="AB6" s="114" t="str">
        <f>IF(COUNTIFS(mapping!$B:$B,AB$2,mapping!$D:$D,$B6)&gt;0,"X","")</f>
        <v/>
      </c>
      <c r="AC6" s="114" t="str">
        <f>IF(COUNTIFS(mapping!$B:$B,AC$2,mapping!$D:$D,$B6)&gt;0,"X","")</f>
        <v/>
      </c>
      <c r="AD6" s="114" t="str">
        <f>IF(COUNTIFS(mapping!$B:$B,AD$2,mapping!$D:$D,$B6)&gt;0,"X","")</f>
        <v/>
      </c>
      <c r="AE6" s="114" t="str">
        <f>IF(COUNTIFS(mapping!$B:$B,AE$2,mapping!$D:$D,$B6)&gt;0,"X","")</f>
        <v/>
      </c>
      <c r="AF6" s="114" t="str">
        <f>IF(COUNTIFS(mapping!$B:$B,AF$2,mapping!$D:$D,$B6)&gt;0,"X","")</f>
        <v/>
      </c>
      <c r="AG6" s="114" t="str">
        <f>IF(COUNTIFS(mapping!$B:$B,AG$2,mapping!$D:$D,$B6)&gt;0,"X","")</f>
        <v/>
      </c>
      <c r="AH6" s="114" t="str">
        <f>IF(COUNTIFS(mapping!$B:$B,AH$2,mapping!$D:$D,$B6)&gt;0,"X","")</f>
        <v/>
      </c>
      <c r="AI6" s="114" t="str">
        <f>IF(COUNTIFS(mapping!$B:$B,AI$2,mapping!$D:$D,$B6)&gt;0,"X","")</f>
        <v/>
      </c>
      <c r="AJ6" s="114" t="str">
        <f>IF(COUNTIFS(mapping!$B:$B,AJ$2,mapping!$D:$D,$B6)&gt;0,"X","")</f>
        <v/>
      </c>
      <c r="AK6" s="114" t="str">
        <f>IF(COUNTIFS(mapping!$B:$B,AK$2,mapping!$D:$D,$B6)&gt;0,"X","")</f>
        <v/>
      </c>
      <c r="AL6" s="114" t="str">
        <f>IF(COUNTIFS(mapping!$B:$B,AL$2,mapping!$D:$D,$B6)&gt;0,"X","")</f>
        <v/>
      </c>
      <c r="AM6" s="114" t="str">
        <f>IF(COUNTIFS(mapping!$B:$B,AM$2,mapping!$D:$D,$B6)&gt;0,"X","")</f>
        <v/>
      </c>
      <c r="AN6" s="114" t="str">
        <f>IF(COUNTIFS(mapping!$B:$B,AN$2,mapping!$D:$D,$B6)&gt;0,"X","")</f>
        <v/>
      </c>
      <c r="AO6" s="114" t="str">
        <f>IF(COUNTIFS(mapping!$B:$B,AO$2,mapping!$D:$D,$B6)&gt;0,"X","")</f>
        <v>X</v>
      </c>
      <c r="AP6" s="114" t="str">
        <f>IF(COUNTIFS(mapping!$B:$B,AP$2,mapping!$D:$D,$B6)&gt;0,"X","")</f>
        <v/>
      </c>
      <c r="AQ6" s="114" t="str">
        <f>IF(COUNTIFS(mapping!$B:$B,AQ$2,mapping!$D:$D,$B6)&gt;0,"X","")</f>
        <v/>
      </c>
      <c r="AR6" s="114" t="str">
        <f>IF(COUNTIFS(mapping!$B:$B,AR$2,mapping!$D:$D,$B6)&gt;0,"X","")</f>
        <v/>
      </c>
      <c r="AS6" s="114" t="str">
        <f>IF(COUNTIFS(mapping!$B:$B,AS$2,mapping!$D:$D,$B6)&gt;0,"X","")</f>
        <v/>
      </c>
      <c r="AT6" s="114" t="str">
        <f>IF(COUNTIFS(mapping!$B:$B,AT$2,mapping!$D:$D,$B6)&gt;0,"X","")</f>
        <v/>
      </c>
      <c r="AU6" s="114" t="str">
        <f>IF(COUNTIFS(mapping!$B:$B,AU$2,mapping!$D:$D,$B6)&gt;0,"X","")</f>
        <v/>
      </c>
      <c r="AV6" s="114" t="str">
        <f>IF(COUNTIFS(mapping!$B:$B,AV$2,mapping!$D:$D,$B6)&gt;0,"X","")</f>
        <v/>
      </c>
      <c r="AW6" s="114" t="str">
        <f>IF(COUNTIFS(mapping!$B:$B,AW$2,mapping!$D:$D,$B6)&gt;0,"X","")</f>
        <v/>
      </c>
      <c r="AX6" s="114" t="str">
        <f>IF(COUNTIFS(mapping!$B:$B,AX$2,mapping!$D:$D,$B6)&gt;0,"X","")</f>
        <v>X</v>
      </c>
      <c r="AY6" s="114" t="str">
        <f>IF(COUNTIFS(mapping!$B:$B,AY$2,mapping!$D:$D,$B6)&gt;0,"X","")</f>
        <v/>
      </c>
      <c r="AZ6" s="114" t="str">
        <f>IF(COUNTIFS(mapping!$B:$B,AZ$2,mapping!$D:$D,$B6)&gt;0,"X","")</f>
        <v/>
      </c>
      <c r="BA6" s="114" t="str">
        <f>IF(COUNTIFS(mapping!$B:$B,BA$2,mapping!$D:$D,$B6)&gt;0,"X","")</f>
        <v/>
      </c>
      <c r="BB6" s="114" t="str">
        <f>IF(COUNTIFS(mapping!$B:$B,BB$2,mapping!$D:$D,$B6)&gt;0,"X","")</f>
        <v/>
      </c>
      <c r="BC6" s="114" t="str">
        <f>IF(COUNTIFS(mapping!$B:$B,BC$2,mapping!$D:$D,$B6)&gt;0,"X","")</f>
        <v/>
      </c>
      <c r="BD6" s="114" t="str">
        <f>IF(COUNTIFS(mapping!$B:$B,BD$2,mapping!$D:$D,$B6)&gt;0,"X","")</f>
        <v/>
      </c>
      <c r="BE6" s="114" t="str">
        <f>IF(COUNTIFS(mapping!$B:$B,BE$2,mapping!$D:$D,$B6)&gt;0,"X","")</f>
        <v/>
      </c>
      <c r="BF6" s="114" t="str">
        <f>IF(COUNTIFS(mapping!$B:$B,BF$2,mapping!$D:$D,$B6)&gt;0,"X","")</f>
        <v/>
      </c>
      <c r="BG6" s="114" t="str">
        <f>IF(COUNTIFS(mapping!$B:$B,BG$2,mapping!$D:$D,$B6)&gt;0,"X","")</f>
        <v/>
      </c>
      <c r="BH6" s="114" t="str">
        <f>IF(COUNTIFS(mapping!$B:$B,BH$2,mapping!$D:$D,$B6)&gt;0,"X","")</f>
        <v/>
      </c>
      <c r="BI6" s="114" t="str">
        <f>IF(COUNTIFS(mapping!$B:$B,BI$2,mapping!$D:$D,$B6)&gt;0,"X","")</f>
        <v/>
      </c>
      <c r="BJ6" s="114" t="str">
        <f>IF(COUNTIFS(mapping!$B:$B,BJ$2,mapping!$D:$D,$B6)&gt;0,"X","")</f>
        <v/>
      </c>
      <c r="BK6" s="114" t="str">
        <f>IF(COUNTIFS(mapping!$B:$B,BK$2,mapping!$D:$D,$B6)&gt;0,"X","")</f>
        <v/>
      </c>
      <c r="BL6" s="114" t="str">
        <f>IF(COUNTIFS(mapping!$B:$B,BL$2,mapping!$D:$D,$B6)&gt;0,"X","")</f>
        <v/>
      </c>
      <c r="BM6" s="114" t="str">
        <f>IF(COUNTIFS(mapping!$B:$B,BM$2,mapping!$D:$D,$B6)&gt;0,"X","")</f>
        <v/>
      </c>
      <c r="BN6" s="114" t="str">
        <f>IF(COUNTIFS(mapping!$B:$B,BN$2,mapping!$D:$D,$B6)&gt;0,"X","")</f>
        <v/>
      </c>
      <c r="BO6" s="114" t="str">
        <f>IF(COUNTIFS(mapping!$B:$B,BO$2,mapping!$D:$D,$B6)&gt;0,"X","")</f>
        <v/>
      </c>
      <c r="BP6" s="114" t="str">
        <f>IF(COUNTIFS(mapping!$B:$B,BP$2,mapping!$D:$D,$B6)&gt;0,"X","")</f>
        <v/>
      </c>
      <c r="BQ6" s="114" t="str">
        <f>IF(COUNTIFS(mapping!$B:$B,BQ$2,mapping!$D:$D,$B6)&gt;0,"X","")</f>
        <v/>
      </c>
      <c r="BR6" s="114" t="str">
        <f>IF(COUNTIFS(mapping!$B:$B,BR$2,mapping!$D:$D,$B6)&gt;0,"X","")</f>
        <v/>
      </c>
      <c r="BS6" s="114" t="str">
        <f>IF(COUNTIFS(mapping!$B:$B,BS$2,mapping!$D:$D,$B6)&gt;0,"X","")</f>
        <v/>
      </c>
      <c r="BT6" s="114" t="str">
        <f>IF(COUNTIFS(mapping!$B:$B,BT$2,mapping!$D:$D,$B6)&gt;0,"X","")</f>
        <v/>
      </c>
      <c r="BU6" s="114" t="str">
        <f>IF(COUNTIFS(mapping!$B:$B,BU$2,mapping!$D:$D,$B6)&gt;0,"X","")</f>
        <v/>
      </c>
      <c r="BV6" s="114" t="str">
        <f>IF(COUNTIFS(mapping!$B:$B,BV$2,mapping!$D:$D,$B6)&gt;0,"X","")</f>
        <v/>
      </c>
      <c r="BW6" s="114" t="str">
        <f>IF(COUNTIFS(mapping!$B:$B,BW$2,mapping!$D:$D,$B6)&gt;0,"X","")</f>
        <v/>
      </c>
      <c r="BX6" s="114" t="str">
        <f>IF(COUNTIFS(mapping!$B:$B,BX$2,mapping!$D:$D,$B6)&gt;0,"X","")</f>
        <v/>
      </c>
      <c r="BY6" s="114" t="str">
        <f>IF(COUNTIFS(mapping!$B:$B,BY$2,mapping!$D:$D,$B6)&gt;0,"X","")</f>
        <v/>
      </c>
      <c r="BZ6" s="114" t="str">
        <f>IF(COUNTIFS(mapping!$B:$B,BZ$2,mapping!$D:$D,$B6)&gt;0,"X","")</f>
        <v/>
      </c>
      <c r="CA6" s="114" t="str">
        <f>IF(COUNTIFS(mapping!$B:$B,CA$2,mapping!$D:$D,$B6)&gt;0,"X","")</f>
        <v/>
      </c>
      <c r="CB6" s="114" t="str">
        <f>IF(COUNTIFS(mapping!$B:$B,CB$2,mapping!$D:$D,$B6)&gt;0,"X","")</f>
        <v/>
      </c>
      <c r="CC6" s="114" t="str">
        <f>IF(COUNTIFS(mapping!$B:$B,CC$2,mapping!$D:$D,$B6)&gt;0,"X","")</f>
        <v/>
      </c>
      <c r="CD6" s="114" t="str">
        <f>IF(COUNTIFS(mapping!$B:$B,CD$2,mapping!$D:$D,$B6)&gt;0,"X","")</f>
        <v/>
      </c>
      <c r="CE6" s="114" t="str">
        <f>IF(COUNTIFS(mapping!$B:$B,CE$2,mapping!$D:$D,$B6)&gt;0,"X","")</f>
        <v>X</v>
      </c>
      <c r="CF6" s="114" t="str">
        <f>IF(COUNTIFS(mapping!$B:$B,CF$2,mapping!$D:$D,$B6)&gt;0,"X","")</f>
        <v/>
      </c>
      <c r="CG6" s="114" t="str">
        <f>IF(COUNTIFS(mapping!$B:$B,CG$2,mapping!$D:$D,$B6)&gt;0,"X","")</f>
        <v/>
      </c>
      <c r="CH6" s="114" t="str">
        <f>IF(COUNTIFS(mapping!$B:$B,CH$2,mapping!$D:$D,$B6)&gt;0,"X","")</f>
        <v/>
      </c>
    </row>
    <row r="7" spans="1:93" ht="16">
      <c r="A7" s="262"/>
      <c r="B7" s="122" t="s">
        <v>526</v>
      </c>
      <c r="C7" s="122" t="s">
        <v>525</v>
      </c>
      <c r="E7" s="114" t="str">
        <f>IF(COUNTIFS(mapping!$B:$B,E$2,mapping!$D:$D,$B7)&gt;0,"X","")</f>
        <v/>
      </c>
      <c r="F7" s="114" t="str">
        <f>IF(COUNTIFS(mapping!$B:$B,F$2,mapping!$D:$D,$B7)&gt;0,"X","")</f>
        <v/>
      </c>
      <c r="G7" s="114" t="str">
        <f>IF(COUNTIFS(mapping!$B:$B,G$2,mapping!$D:$D,$B7)&gt;0,"X","")</f>
        <v/>
      </c>
      <c r="H7" s="114" t="str">
        <f>IF(COUNTIFS(mapping!$B:$B,H$2,mapping!$D:$D,$B7)&gt;0,"X","")</f>
        <v/>
      </c>
      <c r="I7" s="114" t="str">
        <f>IF(COUNTIFS(mapping!$B:$B,I$2,mapping!$D:$D,$B7)&gt;0,"X","")</f>
        <v/>
      </c>
      <c r="J7" s="114" t="str">
        <f>IF(COUNTIFS(mapping!$B:$B,J$2,mapping!$D:$D,$B7)&gt;0,"X","")</f>
        <v/>
      </c>
      <c r="K7" s="114" t="str">
        <f>IF(COUNTIFS(mapping!$B:$B,K$2,mapping!$D:$D,$B7)&gt;0,"X","")</f>
        <v/>
      </c>
      <c r="L7" s="114" t="str">
        <f>IF(COUNTIFS(mapping!$B:$B,L$2,mapping!$D:$D,$B7)&gt;0,"X","")</f>
        <v/>
      </c>
      <c r="M7" s="114" t="str">
        <f>IF(COUNTIFS(mapping!$B:$B,M$2,mapping!$D:$D,$B7)&gt;0,"X","")</f>
        <v/>
      </c>
      <c r="N7" s="114" t="str">
        <f>IF(COUNTIFS(mapping!$B:$B,N$2,mapping!$D:$D,$B7)&gt;0,"X","")</f>
        <v/>
      </c>
      <c r="O7" s="114" t="str">
        <f>IF(COUNTIFS(mapping!$B:$B,O$2,mapping!$D:$D,$B7)&gt;0,"X","")</f>
        <v>X</v>
      </c>
      <c r="P7" s="114" t="str">
        <f>IF(COUNTIFS(mapping!$B:$B,P$2,mapping!$D:$D,$B7)&gt;0,"X","")</f>
        <v>X</v>
      </c>
      <c r="Q7" s="114" t="str">
        <f>IF(COUNTIFS(mapping!$B:$B,Q$2,mapping!$D:$D,$B7)&gt;0,"X","")</f>
        <v>X</v>
      </c>
      <c r="R7" s="114" t="str">
        <f>IF(COUNTIFS(mapping!$B:$B,R$2,mapping!$D:$D,$B7)&gt;0,"X","")</f>
        <v>X</v>
      </c>
      <c r="S7" s="114" t="str">
        <f>IF(COUNTIFS(mapping!$B:$B,S$2,mapping!$D:$D,$B7)&gt;0,"X","")</f>
        <v>X</v>
      </c>
      <c r="T7" s="114" t="str">
        <f>IF(COUNTIFS(mapping!$B:$B,T$2,mapping!$D:$D,$B7)&gt;0,"X","")</f>
        <v/>
      </c>
      <c r="U7" s="114" t="str">
        <f>IF(COUNTIFS(mapping!$B:$B,U$2,mapping!$D:$D,$B7)&gt;0,"X","")</f>
        <v/>
      </c>
      <c r="V7" s="114" t="str">
        <f>IF(COUNTIFS(mapping!$B:$B,V$2,mapping!$D:$D,$B7)&gt;0,"X","")</f>
        <v/>
      </c>
      <c r="W7" s="114" t="str">
        <f>IF(COUNTIFS(mapping!$B:$B,W$2,mapping!$D:$D,$B7)&gt;0,"X","")</f>
        <v/>
      </c>
      <c r="X7" s="114" t="str">
        <f>IF(COUNTIFS(mapping!$B:$B,X$2,mapping!$D:$D,$B7)&gt;0,"X","")</f>
        <v/>
      </c>
      <c r="Y7" s="114" t="str">
        <f>IF(COUNTIFS(mapping!$B:$B,Y$2,mapping!$D:$D,$B7)&gt;0,"X","")</f>
        <v/>
      </c>
      <c r="Z7" s="114" t="str">
        <f>IF(COUNTIFS(mapping!$B:$B,Z$2,mapping!$D:$D,$B7)&gt;0,"X","")</f>
        <v/>
      </c>
      <c r="AA7" s="114" t="str">
        <f>IF(COUNTIFS(mapping!$B:$B,AA$2,mapping!$D:$D,$B7)&gt;0,"X","")</f>
        <v/>
      </c>
      <c r="AB7" s="114" t="str">
        <f>IF(COUNTIFS(mapping!$B:$B,AB$2,mapping!$D:$D,$B7)&gt;0,"X","")</f>
        <v/>
      </c>
      <c r="AC7" s="114" t="str">
        <f>IF(COUNTIFS(mapping!$B:$B,AC$2,mapping!$D:$D,$B7)&gt;0,"X","")</f>
        <v/>
      </c>
      <c r="AD7" s="114" t="str">
        <f>IF(COUNTIFS(mapping!$B:$B,AD$2,mapping!$D:$D,$B7)&gt;0,"X","")</f>
        <v/>
      </c>
      <c r="AE7" s="114" t="str">
        <f>IF(COUNTIFS(mapping!$B:$B,AE$2,mapping!$D:$D,$B7)&gt;0,"X","")</f>
        <v/>
      </c>
      <c r="AF7" s="114" t="str">
        <f>IF(COUNTIFS(mapping!$B:$B,AF$2,mapping!$D:$D,$B7)&gt;0,"X","")</f>
        <v/>
      </c>
      <c r="AG7" s="114" t="str">
        <f>IF(COUNTIFS(mapping!$B:$B,AG$2,mapping!$D:$D,$B7)&gt;0,"X","")</f>
        <v/>
      </c>
      <c r="AH7" s="114" t="str">
        <f>IF(COUNTIFS(mapping!$B:$B,AH$2,mapping!$D:$D,$B7)&gt;0,"X","")</f>
        <v/>
      </c>
      <c r="AI7" s="114" t="str">
        <f>IF(COUNTIFS(mapping!$B:$B,AI$2,mapping!$D:$D,$B7)&gt;0,"X","")</f>
        <v/>
      </c>
      <c r="AJ7" s="114" t="str">
        <f>IF(COUNTIFS(mapping!$B:$B,AJ$2,mapping!$D:$D,$B7)&gt;0,"X","")</f>
        <v/>
      </c>
      <c r="AK7" s="114" t="str">
        <f>IF(COUNTIFS(mapping!$B:$B,AK$2,mapping!$D:$D,$B7)&gt;0,"X","")</f>
        <v/>
      </c>
      <c r="AL7" s="114" t="str">
        <f>IF(COUNTIFS(mapping!$B:$B,AL$2,mapping!$D:$D,$B7)&gt;0,"X","")</f>
        <v/>
      </c>
      <c r="AM7" s="114" t="str">
        <f>IF(COUNTIFS(mapping!$B:$B,AM$2,mapping!$D:$D,$B7)&gt;0,"X","")</f>
        <v/>
      </c>
      <c r="AN7" s="114" t="str">
        <f>IF(COUNTIFS(mapping!$B:$B,AN$2,mapping!$D:$D,$B7)&gt;0,"X","")</f>
        <v/>
      </c>
      <c r="AO7" s="114" t="str">
        <f>IF(COUNTIFS(mapping!$B:$B,AO$2,mapping!$D:$D,$B7)&gt;0,"X","")</f>
        <v/>
      </c>
      <c r="AP7" s="114" t="str">
        <f>IF(COUNTIFS(mapping!$B:$B,AP$2,mapping!$D:$D,$B7)&gt;0,"X","")</f>
        <v/>
      </c>
      <c r="AQ7" s="114" t="str">
        <f>IF(COUNTIFS(mapping!$B:$B,AQ$2,mapping!$D:$D,$B7)&gt;0,"X","")</f>
        <v/>
      </c>
      <c r="AR7" s="114" t="str">
        <f>IF(COUNTIFS(mapping!$B:$B,AR$2,mapping!$D:$D,$B7)&gt;0,"X","")</f>
        <v/>
      </c>
      <c r="AS7" s="114" t="str">
        <f>IF(COUNTIFS(mapping!$B:$B,AS$2,mapping!$D:$D,$B7)&gt;0,"X","")</f>
        <v/>
      </c>
      <c r="AT7" s="114" t="str">
        <f>IF(COUNTIFS(mapping!$B:$B,AT$2,mapping!$D:$D,$B7)&gt;0,"X","")</f>
        <v/>
      </c>
      <c r="AU7" s="114" t="str">
        <f>IF(COUNTIFS(mapping!$B:$B,AU$2,mapping!$D:$D,$B7)&gt;0,"X","")</f>
        <v/>
      </c>
      <c r="AV7" s="114" t="str">
        <f>IF(COUNTIFS(mapping!$B:$B,AV$2,mapping!$D:$D,$B7)&gt;0,"X","")</f>
        <v/>
      </c>
      <c r="AW7" s="114" t="str">
        <f>IF(COUNTIFS(mapping!$B:$B,AW$2,mapping!$D:$D,$B7)&gt;0,"X","")</f>
        <v/>
      </c>
      <c r="AX7" s="114" t="str">
        <f>IF(COUNTIFS(mapping!$B:$B,AX$2,mapping!$D:$D,$B7)&gt;0,"X","")</f>
        <v/>
      </c>
      <c r="AY7" s="114" t="str">
        <f>IF(COUNTIFS(mapping!$B:$B,AY$2,mapping!$D:$D,$B7)&gt;0,"X","")</f>
        <v/>
      </c>
      <c r="AZ7" s="114" t="str">
        <f>IF(COUNTIFS(mapping!$B:$B,AZ$2,mapping!$D:$D,$B7)&gt;0,"X","")</f>
        <v/>
      </c>
      <c r="BA7" s="114" t="str">
        <f>IF(COUNTIFS(mapping!$B:$B,BA$2,mapping!$D:$D,$B7)&gt;0,"X","")</f>
        <v/>
      </c>
      <c r="BB7" s="114" t="str">
        <f>IF(COUNTIFS(mapping!$B:$B,BB$2,mapping!$D:$D,$B7)&gt;0,"X","")</f>
        <v/>
      </c>
      <c r="BC7" s="114" t="str">
        <f>IF(COUNTIFS(mapping!$B:$B,BC$2,mapping!$D:$D,$B7)&gt;0,"X","")</f>
        <v/>
      </c>
      <c r="BD7" s="114" t="str">
        <f>IF(COUNTIFS(mapping!$B:$B,BD$2,mapping!$D:$D,$B7)&gt;0,"X","")</f>
        <v/>
      </c>
      <c r="BE7" s="114" t="str">
        <f>IF(COUNTIFS(mapping!$B:$B,BE$2,mapping!$D:$D,$B7)&gt;0,"X","")</f>
        <v/>
      </c>
      <c r="BF7" s="114" t="str">
        <f>IF(COUNTIFS(mapping!$B:$B,BF$2,mapping!$D:$D,$B7)&gt;0,"X","")</f>
        <v/>
      </c>
      <c r="BG7" s="114" t="str">
        <f>IF(COUNTIFS(mapping!$B:$B,BG$2,mapping!$D:$D,$B7)&gt;0,"X","")</f>
        <v/>
      </c>
      <c r="BH7" s="114" t="str">
        <f>IF(COUNTIFS(mapping!$B:$B,BH$2,mapping!$D:$D,$B7)&gt;0,"X","")</f>
        <v/>
      </c>
      <c r="BI7" s="114" t="str">
        <f>IF(COUNTIFS(mapping!$B:$B,BI$2,mapping!$D:$D,$B7)&gt;0,"X","")</f>
        <v/>
      </c>
      <c r="BJ7" s="114" t="str">
        <f>IF(COUNTIFS(mapping!$B:$B,BJ$2,mapping!$D:$D,$B7)&gt;0,"X","")</f>
        <v/>
      </c>
      <c r="BK7" s="114" t="str">
        <f>IF(COUNTIFS(mapping!$B:$B,BK$2,mapping!$D:$D,$B7)&gt;0,"X","")</f>
        <v/>
      </c>
      <c r="BL7" s="114" t="str">
        <f>IF(COUNTIFS(mapping!$B:$B,BL$2,mapping!$D:$D,$B7)&gt;0,"X","")</f>
        <v/>
      </c>
      <c r="BM7" s="114" t="str">
        <f>IF(COUNTIFS(mapping!$B:$B,BM$2,mapping!$D:$D,$B7)&gt;0,"X","")</f>
        <v/>
      </c>
      <c r="BN7" s="114" t="str">
        <f>IF(COUNTIFS(mapping!$B:$B,BN$2,mapping!$D:$D,$B7)&gt;0,"X","")</f>
        <v/>
      </c>
      <c r="BO7" s="114" t="str">
        <f>IF(COUNTIFS(mapping!$B:$B,BO$2,mapping!$D:$D,$B7)&gt;0,"X","")</f>
        <v/>
      </c>
      <c r="BP7" s="114" t="str">
        <f>IF(COUNTIFS(mapping!$B:$B,BP$2,mapping!$D:$D,$B7)&gt;0,"X","")</f>
        <v/>
      </c>
      <c r="BQ7" s="114" t="str">
        <f>IF(COUNTIFS(mapping!$B:$B,BQ$2,mapping!$D:$D,$B7)&gt;0,"X","")</f>
        <v/>
      </c>
      <c r="BR7" s="114" t="str">
        <f>IF(COUNTIFS(mapping!$B:$B,BR$2,mapping!$D:$D,$B7)&gt;0,"X","")</f>
        <v/>
      </c>
      <c r="BS7" s="114" t="str">
        <f>IF(COUNTIFS(mapping!$B:$B,BS$2,mapping!$D:$D,$B7)&gt;0,"X","")</f>
        <v/>
      </c>
      <c r="BT7" s="114" t="str">
        <f>IF(COUNTIFS(mapping!$B:$B,BT$2,mapping!$D:$D,$B7)&gt;0,"X","")</f>
        <v/>
      </c>
      <c r="BU7" s="114" t="str">
        <f>IF(COUNTIFS(mapping!$B:$B,BU$2,mapping!$D:$D,$B7)&gt;0,"X","")</f>
        <v/>
      </c>
      <c r="BV7" s="114" t="str">
        <f>IF(COUNTIFS(mapping!$B:$B,BV$2,mapping!$D:$D,$B7)&gt;0,"X","")</f>
        <v/>
      </c>
      <c r="BW7" s="114" t="str">
        <f>IF(COUNTIFS(mapping!$B:$B,BW$2,mapping!$D:$D,$B7)&gt;0,"X","")</f>
        <v/>
      </c>
      <c r="BX7" s="114" t="str">
        <f>IF(COUNTIFS(mapping!$B:$B,BX$2,mapping!$D:$D,$B7)&gt;0,"X","")</f>
        <v/>
      </c>
      <c r="BY7" s="114" t="str">
        <f>IF(COUNTIFS(mapping!$B:$B,BY$2,mapping!$D:$D,$B7)&gt;0,"X","")</f>
        <v/>
      </c>
      <c r="BZ7" s="114" t="str">
        <f>IF(COUNTIFS(mapping!$B:$B,BZ$2,mapping!$D:$D,$B7)&gt;0,"X","")</f>
        <v/>
      </c>
      <c r="CA7" s="114" t="str">
        <f>IF(COUNTIFS(mapping!$B:$B,CA$2,mapping!$D:$D,$B7)&gt;0,"X","")</f>
        <v/>
      </c>
      <c r="CB7" s="114" t="str">
        <f>IF(COUNTIFS(mapping!$B:$B,CB$2,mapping!$D:$D,$B7)&gt;0,"X","")</f>
        <v/>
      </c>
      <c r="CC7" s="114" t="str">
        <f>IF(COUNTIFS(mapping!$B:$B,CC$2,mapping!$D:$D,$B7)&gt;0,"X","")</f>
        <v/>
      </c>
      <c r="CD7" s="114" t="str">
        <f>IF(COUNTIFS(mapping!$B:$B,CD$2,mapping!$D:$D,$B7)&gt;0,"X","")</f>
        <v/>
      </c>
      <c r="CE7" s="114" t="str">
        <f>IF(COUNTIFS(mapping!$B:$B,CE$2,mapping!$D:$D,$B7)&gt;0,"X","")</f>
        <v/>
      </c>
      <c r="CF7" s="114" t="str">
        <f>IF(COUNTIFS(mapping!$B:$B,CF$2,mapping!$D:$D,$B7)&gt;0,"X","")</f>
        <v/>
      </c>
      <c r="CG7" s="114" t="str">
        <f>IF(COUNTIFS(mapping!$B:$B,CG$2,mapping!$D:$D,$B7)&gt;0,"X","")</f>
        <v/>
      </c>
      <c r="CH7" s="114" t="str">
        <f>IF(COUNTIFS(mapping!$B:$B,CH$2,mapping!$D:$D,$B7)&gt;0,"X","")</f>
        <v/>
      </c>
    </row>
    <row r="8" spans="1:93" ht="16">
      <c r="A8" s="262"/>
      <c r="B8" s="122" t="s">
        <v>524</v>
      </c>
      <c r="C8" s="122" t="s">
        <v>523</v>
      </c>
      <c r="E8" s="114" t="str">
        <f>IF(COUNTIFS(mapping!$B:$B,E$2,mapping!$D:$D,$B8)&gt;0,"X","")</f>
        <v/>
      </c>
      <c r="F8" s="114" t="str">
        <f>IF(COUNTIFS(mapping!$B:$B,F$2,mapping!$D:$D,$B8)&gt;0,"X","")</f>
        <v/>
      </c>
      <c r="G8" s="114" t="str">
        <f>IF(COUNTIFS(mapping!$B:$B,G$2,mapping!$D:$D,$B8)&gt;0,"X","")</f>
        <v/>
      </c>
      <c r="H8" s="114" t="str">
        <f>IF(COUNTIFS(mapping!$B:$B,H$2,mapping!$D:$D,$B8)&gt;0,"X","")</f>
        <v/>
      </c>
      <c r="I8" s="114" t="str">
        <f>IF(COUNTIFS(mapping!$B:$B,I$2,mapping!$D:$D,$B8)&gt;0,"X","")</f>
        <v/>
      </c>
      <c r="J8" s="114" t="str">
        <f>IF(COUNTIFS(mapping!$B:$B,J$2,mapping!$D:$D,$B8)&gt;0,"X","")</f>
        <v/>
      </c>
      <c r="K8" s="114" t="str">
        <f>IF(COUNTIFS(mapping!$B:$B,K$2,mapping!$D:$D,$B8)&gt;0,"X","")</f>
        <v/>
      </c>
      <c r="L8" s="114" t="str">
        <f>IF(COUNTIFS(mapping!$B:$B,L$2,mapping!$D:$D,$B8)&gt;0,"X","")</f>
        <v/>
      </c>
      <c r="M8" s="114" t="str">
        <f>IF(COUNTIFS(mapping!$B:$B,M$2,mapping!$D:$D,$B8)&gt;0,"X","")</f>
        <v/>
      </c>
      <c r="N8" s="114" t="str">
        <f>IF(COUNTIFS(mapping!$B:$B,N$2,mapping!$D:$D,$B8)&gt;0,"X","")</f>
        <v/>
      </c>
      <c r="O8" s="114" t="str">
        <f>IF(COUNTIFS(mapping!$B:$B,O$2,mapping!$D:$D,$B8)&gt;0,"X","")</f>
        <v/>
      </c>
      <c r="P8" s="114" t="str">
        <f>IF(COUNTIFS(mapping!$B:$B,P$2,mapping!$D:$D,$B8)&gt;0,"X","")</f>
        <v/>
      </c>
      <c r="Q8" s="114" t="str">
        <f>IF(COUNTIFS(mapping!$B:$B,Q$2,mapping!$D:$D,$B8)&gt;0,"X","")</f>
        <v/>
      </c>
      <c r="R8" s="114" t="str">
        <f>IF(COUNTIFS(mapping!$B:$B,R$2,mapping!$D:$D,$B8)&gt;0,"X","")</f>
        <v/>
      </c>
      <c r="S8" s="114" t="str">
        <f>IF(COUNTIFS(mapping!$B:$B,S$2,mapping!$D:$D,$B8)&gt;0,"X","")</f>
        <v/>
      </c>
      <c r="T8" s="114" t="str">
        <f>IF(COUNTIFS(mapping!$B:$B,T$2,mapping!$D:$D,$B8)&gt;0,"X","")</f>
        <v/>
      </c>
      <c r="U8" s="114" t="str">
        <f>IF(COUNTIFS(mapping!$B:$B,U$2,mapping!$D:$D,$B8)&gt;0,"X","")</f>
        <v>X</v>
      </c>
      <c r="V8" s="114" t="str">
        <f>IF(COUNTIFS(mapping!$B:$B,V$2,mapping!$D:$D,$B8)&gt;0,"X","")</f>
        <v/>
      </c>
      <c r="W8" s="114" t="str">
        <f>IF(COUNTIFS(mapping!$B:$B,W$2,mapping!$D:$D,$B8)&gt;0,"X","")</f>
        <v/>
      </c>
      <c r="X8" s="114" t="str">
        <f>IF(COUNTIFS(mapping!$B:$B,X$2,mapping!$D:$D,$B8)&gt;0,"X","")</f>
        <v/>
      </c>
      <c r="Y8" s="114" t="str">
        <f>IF(COUNTIFS(mapping!$B:$B,Y$2,mapping!$D:$D,$B8)&gt;0,"X","")</f>
        <v/>
      </c>
      <c r="Z8" s="114" t="str">
        <f>IF(COUNTIFS(mapping!$B:$B,Z$2,mapping!$D:$D,$B8)&gt;0,"X","")</f>
        <v/>
      </c>
      <c r="AA8" s="114" t="str">
        <f>IF(COUNTIFS(mapping!$B:$B,AA$2,mapping!$D:$D,$B8)&gt;0,"X","")</f>
        <v/>
      </c>
      <c r="AB8" s="114" t="str">
        <f>IF(COUNTIFS(mapping!$B:$B,AB$2,mapping!$D:$D,$B8)&gt;0,"X","")</f>
        <v/>
      </c>
      <c r="AC8" s="114" t="str">
        <f>IF(COUNTIFS(mapping!$B:$B,AC$2,mapping!$D:$D,$B8)&gt;0,"X","")</f>
        <v/>
      </c>
      <c r="AD8" s="114" t="str">
        <f>IF(COUNTIFS(mapping!$B:$B,AD$2,mapping!$D:$D,$B8)&gt;0,"X","")</f>
        <v/>
      </c>
      <c r="AE8" s="114" t="str">
        <f>IF(COUNTIFS(mapping!$B:$B,AE$2,mapping!$D:$D,$B8)&gt;0,"X","")</f>
        <v/>
      </c>
      <c r="AF8" s="114" t="str">
        <f>IF(COUNTIFS(mapping!$B:$B,AF$2,mapping!$D:$D,$B8)&gt;0,"X","")</f>
        <v/>
      </c>
      <c r="AG8" s="114" t="str">
        <f>IF(COUNTIFS(mapping!$B:$B,AG$2,mapping!$D:$D,$B8)&gt;0,"X","")</f>
        <v/>
      </c>
      <c r="AH8" s="114" t="str">
        <f>IF(COUNTIFS(mapping!$B:$B,AH$2,mapping!$D:$D,$B8)&gt;0,"X","")</f>
        <v/>
      </c>
      <c r="AI8" s="114" t="str">
        <f>IF(COUNTIFS(mapping!$B:$B,AI$2,mapping!$D:$D,$B8)&gt;0,"X","")</f>
        <v/>
      </c>
      <c r="AJ8" s="114" t="str">
        <f>IF(COUNTIFS(mapping!$B:$B,AJ$2,mapping!$D:$D,$B8)&gt;0,"X","")</f>
        <v/>
      </c>
      <c r="AK8" s="114" t="str">
        <f>IF(COUNTIFS(mapping!$B:$B,AK$2,mapping!$D:$D,$B8)&gt;0,"X","")</f>
        <v/>
      </c>
      <c r="AL8" s="114" t="str">
        <f>IF(COUNTIFS(mapping!$B:$B,AL$2,mapping!$D:$D,$B8)&gt;0,"X","")</f>
        <v/>
      </c>
      <c r="AM8" s="114" t="str">
        <f>IF(COUNTIFS(mapping!$B:$B,AM$2,mapping!$D:$D,$B8)&gt;0,"X","")</f>
        <v/>
      </c>
      <c r="AN8" s="114" t="str">
        <f>IF(COUNTIFS(mapping!$B:$B,AN$2,mapping!$D:$D,$B8)&gt;0,"X","")</f>
        <v/>
      </c>
      <c r="AO8" s="114" t="str">
        <f>IF(COUNTIFS(mapping!$B:$B,AO$2,mapping!$D:$D,$B8)&gt;0,"X","")</f>
        <v/>
      </c>
      <c r="AP8" s="114" t="str">
        <f>IF(COUNTIFS(mapping!$B:$B,AP$2,mapping!$D:$D,$B8)&gt;0,"X","")</f>
        <v/>
      </c>
      <c r="AQ8" s="114" t="str">
        <f>IF(COUNTIFS(mapping!$B:$B,AQ$2,mapping!$D:$D,$B8)&gt;0,"X","")</f>
        <v/>
      </c>
      <c r="AR8" s="114" t="str">
        <f>IF(COUNTIFS(mapping!$B:$B,AR$2,mapping!$D:$D,$B8)&gt;0,"X","")</f>
        <v/>
      </c>
      <c r="AS8" s="114" t="str">
        <f>IF(COUNTIFS(mapping!$B:$B,AS$2,mapping!$D:$D,$B8)&gt;0,"X","")</f>
        <v/>
      </c>
      <c r="AT8" s="114" t="str">
        <f>IF(COUNTIFS(mapping!$B:$B,AT$2,mapping!$D:$D,$B8)&gt;0,"X","")</f>
        <v/>
      </c>
      <c r="AU8" s="114" t="str">
        <f>IF(COUNTIFS(mapping!$B:$B,AU$2,mapping!$D:$D,$B8)&gt;0,"X","")</f>
        <v/>
      </c>
      <c r="AV8" s="114" t="str">
        <f>IF(COUNTIFS(mapping!$B:$B,AV$2,mapping!$D:$D,$B8)&gt;0,"X","")</f>
        <v/>
      </c>
      <c r="AW8" s="114" t="str">
        <f>IF(COUNTIFS(mapping!$B:$B,AW$2,mapping!$D:$D,$B8)&gt;0,"X","")</f>
        <v/>
      </c>
      <c r="AX8" s="114" t="str">
        <f>IF(COUNTIFS(mapping!$B:$B,AX$2,mapping!$D:$D,$B8)&gt;0,"X","")</f>
        <v/>
      </c>
      <c r="AY8" s="114" t="str">
        <f>IF(COUNTIFS(mapping!$B:$B,AY$2,mapping!$D:$D,$B8)&gt;0,"X","")</f>
        <v/>
      </c>
      <c r="AZ8" s="114" t="str">
        <f>IF(COUNTIFS(mapping!$B:$B,AZ$2,mapping!$D:$D,$B8)&gt;0,"X","")</f>
        <v/>
      </c>
      <c r="BA8" s="114" t="str">
        <f>IF(COUNTIFS(mapping!$B:$B,BA$2,mapping!$D:$D,$B8)&gt;0,"X","")</f>
        <v/>
      </c>
      <c r="BB8" s="114" t="str">
        <f>IF(COUNTIFS(mapping!$B:$B,BB$2,mapping!$D:$D,$B8)&gt;0,"X","")</f>
        <v/>
      </c>
      <c r="BC8" s="114" t="str">
        <f>IF(COUNTIFS(mapping!$B:$B,BC$2,mapping!$D:$D,$B8)&gt;0,"X","")</f>
        <v/>
      </c>
      <c r="BD8" s="114" t="str">
        <f>IF(COUNTIFS(mapping!$B:$B,BD$2,mapping!$D:$D,$B8)&gt;0,"X","")</f>
        <v/>
      </c>
      <c r="BE8" s="114" t="str">
        <f>IF(COUNTIFS(mapping!$B:$B,BE$2,mapping!$D:$D,$B8)&gt;0,"X","")</f>
        <v/>
      </c>
      <c r="BF8" s="114" t="str">
        <f>IF(COUNTIFS(mapping!$B:$B,BF$2,mapping!$D:$D,$B8)&gt;0,"X","")</f>
        <v/>
      </c>
      <c r="BG8" s="114" t="str">
        <f>IF(COUNTIFS(mapping!$B:$B,BG$2,mapping!$D:$D,$B8)&gt;0,"X","")</f>
        <v/>
      </c>
      <c r="BH8" s="114" t="str">
        <f>IF(COUNTIFS(mapping!$B:$B,BH$2,mapping!$D:$D,$B8)&gt;0,"X","")</f>
        <v/>
      </c>
      <c r="BI8" s="114" t="str">
        <f>IF(COUNTIFS(mapping!$B:$B,BI$2,mapping!$D:$D,$B8)&gt;0,"X","")</f>
        <v/>
      </c>
      <c r="BJ8" s="114" t="str">
        <f>IF(COUNTIFS(mapping!$B:$B,BJ$2,mapping!$D:$D,$B8)&gt;0,"X","")</f>
        <v/>
      </c>
      <c r="BK8" s="114" t="str">
        <f>IF(COUNTIFS(mapping!$B:$B,BK$2,mapping!$D:$D,$B8)&gt;0,"X","")</f>
        <v/>
      </c>
      <c r="BL8" s="114" t="str">
        <f>IF(COUNTIFS(mapping!$B:$B,BL$2,mapping!$D:$D,$B8)&gt;0,"X","")</f>
        <v/>
      </c>
      <c r="BM8" s="114" t="str">
        <f>IF(COUNTIFS(mapping!$B:$B,BM$2,mapping!$D:$D,$B8)&gt;0,"X","")</f>
        <v/>
      </c>
      <c r="BN8" s="114" t="str">
        <f>IF(COUNTIFS(mapping!$B:$B,BN$2,mapping!$D:$D,$B8)&gt;0,"X","")</f>
        <v/>
      </c>
      <c r="BO8" s="114" t="str">
        <f>IF(COUNTIFS(mapping!$B:$B,BO$2,mapping!$D:$D,$B8)&gt;0,"X","")</f>
        <v/>
      </c>
      <c r="BP8" s="114" t="str">
        <f>IF(COUNTIFS(mapping!$B:$B,BP$2,mapping!$D:$D,$B8)&gt;0,"X","")</f>
        <v/>
      </c>
      <c r="BQ8" s="114" t="str">
        <f>IF(COUNTIFS(mapping!$B:$B,BQ$2,mapping!$D:$D,$B8)&gt;0,"X","")</f>
        <v/>
      </c>
      <c r="BR8" s="114" t="str">
        <f>IF(COUNTIFS(mapping!$B:$B,BR$2,mapping!$D:$D,$B8)&gt;0,"X","")</f>
        <v/>
      </c>
      <c r="BS8" s="114" t="str">
        <f>IF(COUNTIFS(mapping!$B:$B,BS$2,mapping!$D:$D,$B8)&gt;0,"X","")</f>
        <v/>
      </c>
      <c r="BT8" s="114" t="str">
        <f>IF(COUNTIFS(mapping!$B:$B,BT$2,mapping!$D:$D,$B8)&gt;0,"X","")</f>
        <v/>
      </c>
      <c r="BU8" s="114" t="str">
        <f>IF(COUNTIFS(mapping!$B:$B,BU$2,mapping!$D:$D,$B8)&gt;0,"X","")</f>
        <v/>
      </c>
      <c r="BV8" s="114" t="str">
        <f>IF(COUNTIFS(mapping!$B:$B,BV$2,mapping!$D:$D,$B8)&gt;0,"X","")</f>
        <v/>
      </c>
      <c r="BW8" s="114" t="str">
        <f>IF(COUNTIFS(mapping!$B:$B,BW$2,mapping!$D:$D,$B8)&gt;0,"X","")</f>
        <v/>
      </c>
      <c r="BX8" s="114" t="str">
        <f>IF(COUNTIFS(mapping!$B:$B,BX$2,mapping!$D:$D,$B8)&gt;0,"X","")</f>
        <v/>
      </c>
      <c r="BY8" s="114" t="str">
        <f>IF(COUNTIFS(mapping!$B:$B,BY$2,mapping!$D:$D,$B8)&gt;0,"X","")</f>
        <v/>
      </c>
      <c r="BZ8" s="114" t="str">
        <f>IF(COUNTIFS(mapping!$B:$B,BZ$2,mapping!$D:$D,$B8)&gt;0,"X","")</f>
        <v/>
      </c>
      <c r="CA8" s="114" t="str">
        <f>IF(COUNTIFS(mapping!$B:$B,CA$2,mapping!$D:$D,$B8)&gt;0,"X","")</f>
        <v/>
      </c>
      <c r="CB8" s="114" t="str">
        <f>IF(COUNTIFS(mapping!$B:$B,CB$2,mapping!$D:$D,$B8)&gt;0,"X","")</f>
        <v/>
      </c>
      <c r="CC8" s="114" t="str">
        <f>IF(COUNTIFS(mapping!$B:$B,CC$2,mapping!$D:$D,$B8)&gt;0,"X","")</f>
        <v/>
      </c>
      <c r="CD8" s="114" t="str">
        <f>IF(COUNTIFS(mapping!$B:$B,CD$2,mapping!$D:$D,$B8)&gt;0,"X","")</f>
        <v/>
      </c>
      <c r="CE8" s="114" t="str">
        <f>IF(COUNTIFS(mapping!$B:$B,CE$2,mapping!$D:$D,$B8)&gt;0,"X","")</f>
        <v/>
      </c>
      <c r="CF8" s="114" t="str">
        <f>IF(COUNTIFS(mapping!$B:$B,CF$2,mapping!$D:$D,$B8)&gt;0,"X","")</f>
        <v/>
      </c>
      <c r="CG8" s="114" t="str">
        <f>IF(COUNTIFS(mapping!$B:$B,CG$2,mapping!$D:$D,$B8)&gt;0,"X","")</f>
        <v/>
      </c>
      <c r="CH8" s="114" t="str">
        <f>IF(COUNTIFS(mapping!$B:$B,CH$2,mapping!$D:$D,$B8)&gt;0,"X","")</f>
        <v/>
      </c>
    </row>
    <row r="9" spans="1:93" ht="16">
      <c r="A9" s="262"/>
      <c r="B9" s="122" t="s">
        <v>522</v>
      </c>
      <c r="C9" s="122" t="s">
        <v>521</v>
      </c>
      <c r="E9" s="114" t="str">
        <f>IF(COUNTIFS(mapping!$B:$B,E$2,mapping!$D:$D,$B9)&gt;0,"X","")</f>
        <v/>
      </c>
      <c r="F9" s="114" t="str">
        <f>IF(COUNTIFS(mapping!$B:$B,F$2,mapping!$D:$D,$B9)&gt;0,"X","")</f>
        <v/>
      </c>
      <c r="G9" s="114" t="str">
        <f>IF(COUNTIFS(mapping!$B:$B,G$2,mapping!$D:$D,$B9)&gt;0,"X","")</f>
        <v/>
      </c>
      <c r="H9" s="114" t="str">
        <f>IF(COUNTIFS(mapping!$B:$B,H$2,mapping!$D:$D,$B9)&gt;0,"X","")</f>
        <v/>
      </c>
      <c r="I9" s="114" t="str">
        <f>IF(COUNTIFS(mapping!$B:$B,I$2,mapping!$D:$D,$B9)&gt;0,"X","")</f>
        <v/>
      </c>
      <c r="J9" s="114" t="str">
        <f>IF(COUNTIFS(mapping!$B:$B,J$2,mapping!$D:$D,$B9)&gt;0,"X","")</f>
        <v/>
      </c>
      <c r="K9" s="114" t="str">
        <f>IF(COUNTIFS(mapping!$B:$B,K$2,mapping!$D:$D,$B9)&gt;0,"X","")</f>
        <v/>
      </c>
      <c r="L9" s="114" t="str">
        <f>IF(COUNTIFS(mapping!$B:$B,L$2,mapping!$D:$D,$B9)&gt;0,"X","")</f>
        <v/>
      </c>
      <c r="M9" s="114" t="str">
        <f>IF(COUNTIFS(mapping!$B:$B,M$2,mapping!$D:$D,$B9)&gt;0,"X","")</f>
        <v/>
      </c>
      <c r="N9" s="114" t="str">
        <f>IF(COUNTIFS(mapping!$B:$B,N$2,mapping!$D:$D,$B9)&gt;0,"X","")</f>
        <v/>
      </c>
      <c r="O9" s="114" t="str">
        <f>IF(COUNTIFS(mapping!$B:$B,O$2,mapping!$D:$D,$B9)&gt;0,"X","")</f>
        <v/>
      </c>
      <c r="P9" s="114" t="str">
        <f>IF(COUNTIFS(mapping!$B:$B,P$2,mapping!$D:$D,$B9)&gt;0,"X","")</f>
        <v/>
      </c>
      <c r="Q9" s="114" t="str">
        <f>IF(COUNTIFS(mapping!$B:$B,Q$2,mapping!$D:$D,$B9)&gt;0,"X","")</f>
        <v/>
      </c>
      <c r="R9" s="114" t="str">
        <f>IF(COUNTIFS(mapping!$B:$B,R$2,mapping!$D:$D,$B9)&gt;0,"X","")</f>
        <v/>
      </c>
      <c r="S9" s="114" t="str">
        <f>IF(COUNTIFS(mapping!$B:$B,S$2,mapping!$D:$D,$B9)&gt;0,"X","")</f>
        <v/>
      </c>
      <c r="T9" s="114" t="str">
        <f>IF(COUNTIFS(mapping!$B:$B,T$2,mapping!$D:$D,$B9)&gt;0,"X","")</f>
        <v/>
      </c>
      <c r="U9" s="114" t="str">
        <f>IF(COUNTIFS(mapping!$B:$B,U$2,mapping!$D:$D,$B9)&gt;0,"X","")</f>
        <v/>
      </c>
      <c r="V9" s="114" t="str">
        <f>IF(COUNTIFS(mapping!$B:$B,V$2,mapping!$D:$D,$B9)&gt;0,"X","")</f>
        <v/>
      </c>
      <c r="W9" s="114" t="str">
        <f>IF(COUNTIFS(mapping!$B:$B,W$2,mapping!$D:$D,$B9)&gt;0,"X","")</f>
        <v/>
      </c>
      <c r="X9" s="114" t="str">
        <f>IF(COUNTIFS(mapping!$B:$B,X$2,mapping!$D:$D,$B9)&gt;0,"X","")</f>
        <v>X</v>
      </c>
      <c r="Y9" s="114" t="str">
        <f>IF(COUNTIFS(mapping!$B:$B,Y$2,mapping!$D:$D,$B9)&gt;0,"X","")</f>
        <v/>
      </c>
      <c r="Z9" s="114" t="str">
        <f>IF(COUNTIFS(mapping!$B:$B,Z$2,mapping!$D:$D,$B9)&gt;0,"X","")</f>
        <v/>
      </c>
      <c r="AA9" s="114" t="str">
        <f>IF(COUNTIFS(mapping!$B:$B,AA$2,mapping!$D:$D,$B9)&gt;0,"X","")</f>
        <v/>
      </c>
      <c r="AB9" s="114" t="str">
        <f>IF(COUNTIFS(mapping!$B:$B,AB$2,mapping!$D:$D,$B9)&gt;0,"X","")</f>
        <v>X</v>
      </c>
      <c r="AC9" s="114" t="str">
        <f>IF(COUNTIFS(mapping!$B:$B,AC$2,mapping!$D:$D,$B9)&gt;0,"X","")</f>
        <v/>
      </c>
      <c r="AD9" s="114" t="str">
        <f>IF(COUNTIFS(mapping!$B:$B,AD$2,mapping!$D:$D,$B9)&gt;0,"X","")</f>
        <v/>
      </c>
      <c r="AE9" s="114" t="str">
        <f>IF(COUNTIFS(mapping!$B:$B,AE$2,mapping!$D:$D,$B9)&gt;0,"X","")</f>
        <v>X</v>
      </c>
      <c r="AF9" s="114" t="str">
        <f>IF(COUNTIFS(mapping!$B:$B,AF$2,mapping!$D:$D,$B9)&gt;0,"X","")</f>
        <v>X</v>
      </c>
      <c r="AG9" s="114" t="str">
        <f>IF(COUNTIFS(mapping!$B:$B,AG$2,mapping!$D:$D,$B9)&gt;0,"X","")</f>
        <v/>
      </c>
      <c r="AH9" s="114" t="str">
        <f>IF(COUNTIFS(mapping!$B:$B,AH$2,mapping!$D:$D,$B9)&gt;0,"X","")</f>
        <v/>
      </c>
      <c r="AI9" s="114" t="str">
        <f>IF(COUNTIFS(mapping!$B:$B,AI$2,mapping!$D:$D,$B9)&gt;0,"X","")</f>
        <v/>
      </c>
      <c r="AJ9" s="114" t="str">
        <f>IF(COUNTIFS(mapping!$B:$B,AJ$2,mapping!$D:$D,$B9)&gt;0,"X","")</f>
        <v/>
      </c>
      <c r="AK9" s="114" t="str">
        <f>IF(COUNTIFS(mapping!$B:$B,AK$2,mapping!$D:$D,$B9)&gt;0,"X","")</f>
        <v/>
      </c>
      <c r="AL9" s="114" t="str">
        <f>IF(COUNTIFS(mapping!$B:$B,AL$2,mapping!$D:$D,$B9)&gt;0,"X","")</f>
        <v/>
      </c>
      <c r="AM9" s="114" t="str">
        <f>IF(COUNTIFS(mapping!$B:$B,AM$2,mapping!$D:$D,$B9)&gt;0,"X","")</f>
        <v/>
      </c>
      <c r="AN9" s="114" t="str">
        <f>IF(COUNTIFS(mapping!$B:$B,AN$2,mapping!$D:$D,$B9)&gt;0,"X","")</f>
        <v/>
      </c>
      <c r="AO9" s="114" t="str">
        <f>IF(COUNTIFS(mapping!$B:$B,AO$2,mapping!$D:$D,$B9)&gt;0,"X","")</f>
        <v/>
      </c>
      <c r="AP9" s="114" t="str">
        <f>IF(COUNTIFS(mapping!$B:$B,AP$2,mapping!$D:$D,$B9)&gt;0,"X","")</f>
        <v/>
      </c>
      <c r="AQ9" s="114" t="str">
        <f>IF(COUNTIFS(mapping!$B:$B,AQ$2,mapping!$D:$D,$B9)&gt;0,"X","")</f>
        <v/>
      </c>
      <c r="AR9" s="114" t="str">
        <f>IF(COUNTIFS(mapping!$B:$B,AR$2,mapping!$D:$D,$B9)&gt;0,"X","")</f>
        <v/>
      </c>
      <c r="AS9" s="114" t="str">
        <f>IF(COUNTIFS(mapping!$B:$B,AS$2,mapping!$D:$D,$B9)&gt;0,"X","")</f>
        <v/>
      </c>
      <c r="AT9" s="114" t="str">
        <f>IF(COUNTIFS(mapping!$B:$B,AT$2,mapping!$D:$D,$B9)&gt;0,"X","")</f>
        <v/>
      </c>
      <c r="AU9" s="114" t="str">
        <f>IF(COUNTIFS(mapping!$B:$B,AU$2,mapping!$D:$D,$B9)&gt;0,"X","")</f>
        <v/>
      </c>
      <c r="AV9" s="114" t="str">
        <f>IF(COUNTIFS(mapping!$B:$B,AV$2,mapping!$D:$D,$B9)&gt;0,"X","")</f>
        <v/>
      </c>
      <c r="AW9" s="114" t="str">
        <f>IF(COUNTIFS(mapping!$B:$B,AW$2,mapping!$D:$D,$B9)&gt;0,"X","")</f>
        <v/>
      </c>
      <c r="AX9" s="114" t="str">
        <f>IF(COUNTIFS(mapping!$B:$B,AX$2,mapping!$D:$D,$B9)&gt;0,"X","")</f>
        <v/>
      </c>
      <c r="AY9" s="114" t="str">
        <f>IF(COUNTIFS(mapping!$B:$B,AY$2,mapping!$D:$D,$B9)&gt;0,"X","")</f>
        <v/>
      </c>
      <c r="AZ9" s="114" t="str">
        <f>IF(COUNTIFS(mapping!$B:$B,AZ$2,mapping!$D:$D,$B9)&gt;0,"X","")</f>
        <v/>
      </c>
      <c r="BA9" s="114" t="str">
        <f>IF(COUNTIFS(mapping!$B:$B,BA$2,mapping!$D:$D,$B9)&gt;0,"X","")</f>
        <v/>
      </c>
      <c r="BB9" s="114" t="str">
        <f>IF(COUNTIFS(mapping!$B:$B,BB$2,mapping!$D:$D,$B9)&gt;0,"X","")</f>
        <v/>
      </c>
      <c r="BC9" s="114" t="str">
        <f>IF(COUNTIFS(mapping!$B:$B,BC$2,mapping!$D:$D,$B9)&gt;0,"X","")</f>
        <v/>
      </c>
      <c r="BD9" s="114" t="str">
        <f>IF(COUNTIFS(mapping!$B:$B,BD$2,mapping!$D:$D,$B9)&gt;0,"X","")</f>
        <v/>
      </c>
      <c r="BE9" s="114" t="str">
        <f>IF(COUNTIFS(mapping!$B:$B,BE$2,mapping!$D:$D,$B9)&gt;0,"X","")</f>
        <v/>
      </c>
      <c r="BF9" s="114" t="str">
        <f>IF(COUNTIFS(mapping!$B:$B,BF$2,mapping!$D:$D,$B9)&gt;0,"X","")</f>
        <v/>
      </c>
      <c r="BG9" s="114" t="str">
        <f>IF(COUNTIFS(mapping!$B:$B,BG$2,mapping!$D:$D,$B9)&gt;0,"X","")</f>
        <v/>
      </c>
      <c r="BH9" s="114" t="str">
        <f>IF(COUNTIFS(mapping!$B:$B,BH$2,mapping!$D:$D,$B9)&gt;0,"X","")</f>
        <v>X</v>
      </c>
      <c r="BI9" s="114" t="str">
        <f>IF(COUNTIFS(mapping!$B:$B,BI$2,mapping!$D:$D,$B9)&gt;0,"X","")</f>
        <v/>
      </c>
      <c r="BJ9" s="114" t="str">
        <f>IF(COUNTIFS(mapping!$B:$B,BJ$2,mapping!$D:$D,$B9)&gt;0,"X","")</f>
        <v/>
      </c>
      <c r="BK9" s="114" t="str">
        <f>IF(COUNTIFS(mapping!$B:$B,BK$2,mapping!$D:$D,$B9)&gt;0,"X","")</f>
        <v/>
      </c>
      <c r="BL9" s="114" t="str">
        <f>IF(COUNTIFS(mapping!$B:$B,BL$2,mapping!$D:$D,$B9)&gt;0,"X","")</f>
        <v/>
      </c>
      <c r="BM9" s="114" t="str">
        <f>IF(COUNTIFS(mapping!$B:$B,BM$2,mapping!$D:$D,$B9)&gt;0,"X","")</f>
        <v/>
      </c>
      <c r="BN9" s="114" t="str">
        <f>IF(COUNTIFS(mapping!$B:$B,BN$2,mapping!$D:$D,$B9)&gt;0,"X","")</f>
        <v/>
      </c>
      <c r="BO9" s="114" t="str">
        <f>IF(COUNTIFS(mapping!$B:$B,BO$2,mapping!$D:$D,$B9)&gt;0,"X","")</f>
        <v/>
      </c>
      <c r="BP9" s="114" t="str">
        <f>IF(COUNTIFS(mapping!$B:$B,BP$2,mapping!$D:$D,$B9)&gt;0,"X","")</f>
        <v/>
      </c>
      <c r="BQ9" s="114" t="str">
        <f>IF(COUNTIFS(mapping!$B:$B,BQ$2,mapping!$D:$D,$B9)&gt;0,"X","")</f>
        <v/>
      </c>
      <c r="BR9" s="114" t="str">
        <f>IF(COUNTIFS(mapping!$B:$B,BR$2,mapping!$D:$D,$B9)&gt;0,"X","")</f>
        <v>X</v>
      </c>
      <c r="BS9" s="114" t="str">
        <f>IF(COUNTIFS(mapping!$B:$B,BS$2,mapping!$D:$D,$B9)&gt;0,"X","")</f>
        <v/>
      </c>
      <c r="BT9" s="114" t="str">
        <f>IF(COUNTIFS(mapping!$B:$B,BT$2,mapping!$D:$D,$B9)&gt;0,"X","")</f>
        <v/>
      </c>
      <c r="BU9" s="114" t="str">
        <f>IF(COUNTIFS(mapping!$B:$B,BU$2,mapping!$D:$D,$B9)&gt;0,"X","")</f>
        <v/>
      </c>
      <c r="BV9" s="114" t="str">
        <f>IF(COUNTIFS(mapping!$B:$B,BV$2,mapping!$D:$D,$B9)&gt;0,"X","")</f>
        <v/>
      </c>
      <c r="BW9" s="114" t="str">
        <f>IF(COUNTIFS(mapping!$B:$B,BW$2,mapping!$D:$D,$B9)&gt;0,"X","")</f>
        <v/>
      </c>
      <c r="BX9" s="114" t="str">
        <f>IF(COUNTIFS(mapping!$B:$B,BX$2,mapping!$D:$D,$B9)&gt;0,"X","")</f>
        <v/>
      </c>
      <c r="BY9" s="114" t="str">
        <f>IF(COUNTIFS(mapping!$B:$B,BY$2,mapping!$D:$D,$B9)&gt;0,"X","")</f>
        <v/>
      </c>
      <c r="BZ9" s="114" t="str">
        <f>IF(COUNTIFS(mapping!$B:$B,BZ$2,mapping!$D:$D,$B9)&gt;0,"X","")</f>
        <v/>
      </c>
      <c r="CA9" s="114" t="str">
        <f>IF(COUNTIFS(mapping!$B:$B,CA$2,mapping!$D:$D,$B9)&gt;0,"X","")</f>
        <v/>
      </c>
      <c r="CB9" s="114" t="str">
        <f>IF(COUNTIFS(mapping!$B:$B,CB$2,mapping!$D:$D,$B9)&gt;0,"X","")</f>
        <v/>
      </c>
      <c r="CC9" s="114" t="str">
        <f>IF(COUNTIFS(mapping!$B:$B,CC$2,mapping!$D:$D,$B9)&gt;0,"X","")</f>
        <v/>
      </c>
      <c r="CD9" s="114" t="str">
        <f>IF(COUNTIFS(mapping!$B:$B,CD$2,mapping!$D:$D,$B9)&gt;0,"X","")</f>
        <v/>
      </c>
      <c r="CE9" s="114" t="str">
        <f>IF(COUNTIFS(mapping!$B:$B,CE$2,mapping!$D:$D,$B9)&gt;0,"X","")</f>
        <v/>
      </c>
      <c r="CF9" s="114" t="str">
        <f>IF(COUNTIFS(mapping!$B:$B,CF$2,mapping!$D:$D,$B9)&gt;0,"X","")</f>
        <v/>
      </c>
      <c r="CG9" s="114" t="str">
        <f>IF(COUNTIFS(mapping!$B:$B,CG$2,mapping!$D:$D,$B9)&gt;0,"X","")</f>
        <v/>
      </c>
      <c r="CH9" s="114" t="str">
        <f>IF(COUNTIFS(mapping!$B:$B,CH$2,mapping!$D:$D,$B9)&gt;0,"X","")</f>
        <v/>
      </c>
    </row>
    <row r="10" spans="1:93" ht="16">
      <c r="A10" s="262"/>
      <c r="B10" s="122" t="s">
        <v>520</v>
      </c>
      <c r="C10" s="122" t="s">
        <v>519</v>
      </c>
      <c r="E10" s="114" t="str">
        <f>IF(COUNTIFS(mapping!$B:$B,E$2,mapping!$D:$D,$B10)&gt;0,"X","")</f>
        <v/>
      </c>
      <c r="F10" s="114" t="str">
        <f>IF(COUNTIFS(mapping!$B:$B,F$2,mapping!$D:$D,$B10)&gt;0,"X","")</f>
        <v/>
      </c>
      <c r="G10" s="114" t="str">
        <f>IF(COUNTIFS(mapping!$B:$B,G$2,mapping!$D:$D,$B10)&gt;0,"X","")</f>
        <v/>
      </c>
      <c r="H10" s="114" t="str">
        <f>IF(COUNTIFS(mapping!$B:$B,H$2,mapping!$D:$D,$B10)&gt;0,"X","")</f>
        <v/>
      </c>
      <c r="I10" s="114" t="str">
        <f>IF(COUNTIFS(mapping!$B:$B,I$2,mapping!$D:$D,$B10)&gt;0,"X","")</f>
        <v/>
      </c>
      <c r="J10" s="114" t="str">
        <f>IF(COUNTIFS(mapping!$B:$B,J$2,mapping!$D:$D,$B10)&gt;0,"X","")</f>
        <v/>
      </c>
      <c r="K10" s="114" t="str">
        <f>IF(COUNTIFS(mapping!$B:$B,K$2,mapping!$D:$D,$B10)&gt;0,"X","")</f>
        <v/>
      </c>
      <c r="L10" s="114" t="str">
        <f>IF(COUNTIFS(mapping!$B:$B,L$2,mapping!$D:$D,$B10)&gt;0,"X","")</f>
        <v/>
      </c>
      <c r="M10" s="114" t="str">
        <f>IF(COUNTIFS(mapping!$B:$B,M$2,mapping!$D:$D,$B10)&gt;0,"X","")</f>
        <v/>
      </c>
      <c r="N10" s="114" t="str">
        <f>IF(COUNTIFS(mapping!$B:$B,N$2,mapping!$D:$D,$B10)&gt;0,"X","")</f>
        <v/>
      </c>
      <c r="O10" s="114" t="str">
        <f>IF(COUNTIFS(mapping!$B:$B,O$2,mapping!$D:$D,$B10)&gt;0,"X","")</f>
        <v/>
      </c>
      <c r="P10" s="114" t="str">
        <f>IF(COUNTIFS(mapping!$B:$B,P$2,mapping!$D:$D,$B10)&gt;0,"X","")</f>
        <v/>
      </c>
      <c r="Q10" s="114" t="str">
        <f>IF(COUNTIFS(mapping!$B:$B,Q$2,mapping!$D:$D,$B10)&gt;0,"X","")</f>
        <v/>
      </c>
      <c r="R10" s="114" t="str">
        <f>IF(COUNTIFS(mapping!$B:$B,R$2,mapping!$D:$D,$B10)&gt;0,"X","")</f>
        <v/>
      </c>
      <c r="S10" s="114" t="str">
        <f>IF(COUNTIFS(mapping!$B:$B,S$2,mapping!$D:$D,$B10)&gt;0,"X","")</f>
        <v/>
      </c>
      <c r="T10" s="114" t="str">
        <f>IF(COUNTIFS(mapping!$B:$B,T$2,mapping!$D:$D,$B10)&gt;0,"X","")</f>
        <v/>
      </c>
      <c r="U10" s="114" t="str">
        <f>IF(COUNTIFS(mapping!$B:$B,U$2,mapping!$D:$D,$B10)&gt;0,"X","")</f>
        <v/>
      </c>
      <c r="V10" s="114" t="str">
        <f>IF(COUNTIFS(mapping!$B:$B,V$2,mapping!$D:$D,$B10)&gt;0,"X","")</f>
        <v/>
      </c>
      <c r="W10" s="114" t="str">
        <f>IF(COUNTIFS(mapping!$B:$B,W$2,mapping!$D:$D,$B10)&gt;0,"X","")</f>
        <v>X</v>
      </c>
      <c r="X10" s="114" t="str">
        <f>IF(COUNTIFS(mapping!$B:$B,X$2,mapping!$D:$D,$B10)&gt;0,"X","")</f>
        <v>X</v>
      </c>
      <c r="Y10" s="114" t="str">
        <f>IF(COUNTIFS(mapping!$B:$B,Y$2,mapping!$D:$D,$B10)&gt;0,"X","")</f>
        <v/>
      </c>
      <c r="Z10" s="114" t="str">
        <f>IF(COUNTIFS(mapping!$B:$B,Z$2,mapping!$D:$D,$B10)&gt;0,"X","")</f>
        <v/>
      </c>
      <c r="AA10" s="114" t="str">
        <f>IF(COUNTIFS(mapping!$B:$B,AA$2,mapping!$D:$D,$B10)&gt;0,"X","")</f>
        <v>X</v>
      </c>
      <c r="AB10" s="114" t="str">
        <f>IF(COUNTIFS(mapping!$B:$B,AB$2,mapping!$D:$D,$B10)&gt;0,"X","")</f>
        <v/>
      </c>
      <c r="AC10" s="114" t="str">
        <f>IF(COUNTIFS(mapping!$B:$B,AC$2,mapping!$D:$D,$B10)&gt;0,"X","")</f>
        <v/>
      </c>
      <c r="AD10" s="114" t="str">
        <f>IF(COUNTIFS(mapping!$B:$B,AD$2,mapping!$D:$D,$B10)&gt;0,"X","")</f>
        <v/>
      </c>
      <c r="AE10" s="114" t="str">
        <f>IF(COUNTIFS(mapping!$B:$B,AE$2,mapping!$D:$D,$B10)&gt;0,"X","")</f>
        <v>X</v>
      </c>
      <c r="AF10" s="114" t="str">
        <f>IF(COUNTIFS(mapping!$B:$B,AF$2,mapping!$D:$D,$B10)&gt;0,"X","")</f>
        <v>X</v>
      </c>
      <c r="AG10" s="114" t="str">
        <f>IF(COUNTIFS(mapping!$B:$B,AG$2,mapping!$D:$D,$B10)&gt;0,"X","")</f>
        <v/>
      </c>
      <c r="AH10" s="114" t="str">
        <f>IF(COUNTIFS(mapping!$B:$B,AH$2,mapping!$D:$D,$B10)&gt;0,"X","")</f>
        <v/>
      </c>
      <c r="AI10" s="114" t="str">
        <f>IF(COUNTIFS(mapping!$B:$B,AI$2,mapping!$D:$D,$B10)&gt;0,"X","")</f>
        <v/>
      </c>
      <c r="AJ10" s="114" t="str">
        <f>IF(COUNTIFS(mapping!$B:$B,AJ$2,mapping!$D:$D,$B10)&gt;0,"X","")</f>
        <v/>
      </c>
      <c r="AK10" s="114" t="str">
        <f>IF(COUNTIFS(mapping!$B:$B,AK$2,mapping!$D:$D,$B10)&gt;0,"X","")</f>
        <v/>
      </c>
      <c r="AL10" s="114" t="str">
        <f>IF(COUNTIFS(mapping!$B:$B,AL$2,mapping!$D:$D,$B10)&gt;0,"X","")</f>
        <v/>
      </c>
      <c r="AM10" s="114" t="str">
        <f>IF(COUNTIFS(mapping!$B:$B,AM$2,mapping!$D:$D,$B10)&gt;0,"X","")</f>
        <v/>
      </c>
      <c r="AN10" s="114" t="str">
        <f>IF(COUNTIFS(mapping!$B:$B,AN$2,mapping!$D:$D,$B10)&gt;0,"X","")</f>
        <v/>
      </c>
      <c r="AO10" s="114" t="str">
        <f>IF(COUNTIFS(mapping!$B:$B,AO$2,mapping!$D:$D,$B10)&gt;0,"X","")</f>
        <v>X</v>
      </c>
      <c r="AP10" s="114" t="str">
        <f>IF(COUNTIFS(mapping!$B:$B,AP$2,mapping!$D:$D,$B10)&gt;0,"X","")</f>
        <v/>
      </c>
      <c r="AQ10" s="114" t="str">
        <f>IF(COUNTIFS(mapping!$B:$B,AQ$2,mapping!$D:$D,$B10)&gt;0,"X","")</f>
        <v/>
      </c>
      <c r="AR10" s="114" t="str">
        <f>IF(COUNTIFS(mapping!$B:$B,AR$2,mapping!$D:$D,$B10)&gt;0,"X","")</f>
        <v/>
      </c>
      <c r="AS10" s="114" t="str">
        <f>IF(COUNTIFS(mapping!$B:$B,AS$2,mapping!$D:$D,$B10)&gt;0,"X","")</f>
        <v/>
      </c>
      <c r="AT10" s="114" t="str">
        <f>IF(COUNTIFS(mapping!$B:$B,AT$2,mapping!$D:$D,$B10)&gt;0,"X","")</f>
        <v/>
      </c>
      <c r="AU10" s="114" t="str">
        <f>IF(COUNTIFS(mapping!$B:$B,AU$2,mapping!$D:$D,$B10)&gt;0,"X","")</f>
        <v/>
      </c>
      <c r="AV10" s="114" t="str">
        <f>IF(COUNTIFS(mapping!$B:$B,AV$2,mapping!$D:$D,$B10)&gt;0,"X","")</f>
        <v/>
      </c>
      <c r="AW10" s="114" t="str">
        <f>IF(COUNTIFS(mapping!$B:$B,AW$2,mapping!$D:$D,$B10)&gt;0,"X","")</f>
        <v/>
      </c>
      <c r="AX10" s="114" t="str">
        <f>IF(COUNTIFS(mapping!$B:$B,AX$2,mapping!$D:$D,$B10)&gt;0,"X","")</f>
        <v/>
      </c>
      <c r="AY10" s="114" t="str">
        <f>IF(COUNTIFS(mapping!$B:$B,AY$2,mapping!$D:$D,$B10)&gt;0,"X","")</f>
        <v/>
      </c>
      <c r="AZ10" s="114" t="str">
        <f>IF(COUNTIFS(mapping!$B:$B,AZ$2,mapping!$D:$D,$B10)&gt;0,"X","")</f>
        <v/>
      </c>
      <c r="BA10" s="114" t="str">
        <f>IF(COUNTIFS(mapping!$B:$B,BA$2,mapping!$D:$D,$B10)&gt;0,"X","")</f>
        <v/>
      </c>
      <c r="BB10" s="114" t="str">
        <f>IF(COUNTIFS(mapping!$B:$B,BB$2,mapping!$D:$D,$B10)&gt;0,"X","")</f>
        <v/>
      </c>
      <c r="BC10" s="114" t="str">
        <f>IF(COUNTIFS(mapping!$B:$B,BC$2,mapping!$D:$D,$B10)&gt;0,"X","")</f>
        <v/>
      </c>
      <c r="BD10" s="114" t="str">
        <f>IF(COUNTIFS(mapping!$B:$B,BD$2,mapping!$D:$D,$B10)&gt;0,"X","")</f>
        <v/>
      </c>
      <c r="BE10" s="114" t="str">
        <f>IF(COUNTIFS(mapping!$B:$B,BE$2,mapping!$D:$D,$B10)&gt;0,"X","")</f>
        <v/>
      </c>
      <c r="BF10" s="114" t="str">
        <f>IF(COUNTIFS(mapping!$B:$B,BF$2,mapping!$D:$D,$B10)&gt;0,"X","")</f>
        <v/>
      </c>
      <c r="BG10" s="114" t="str">
        <f>IF(COUNTIFS(mapping!$B:$B,BG$2,mapping!$D:$D,$B10)&gt;0,"X","")</f>
        <v/>
      </c>
      <c r="BH10" s="114" t="str">
        <f>IF(COUNTIFS(mapping!$B:$B,BH$2,mapping!$D:$D,$B10)&gt;0,"X","")</f>
        <v/>
      </c>
      <c r="BI10" s="114" t="str">
        <f>IF(COUNTIFS(mapping!$B:$B,BI$2,mapping!$D:$D,$B10)&gt;0,"X","")</f>
        <v/>
      </c>
      <c r="BJ10" s="114" t="str">
        <f>IF(COUNTIFS(mapping!$B:$B,BJ$2,mapping!$D:$D,$B10)&gt;0,"X","")</f>
        <v/>
      </c>
      <c r="BK10" s="114" t="str">
        <f>IF(COUNTIFS(mapping!$B:$B,BK$2,mapping!$D:$D,$B10)&gt;0,"X","")</f>
        <v/>
      </c>
      <c r="BL10" s="114" t="str">
        <f>IF(COUNTIFS(mapping!$B:$B,BL$2,mapping!$D:$D,$B10)&gt;0,"X","")</f>
        <v/>
      </c>
      <c r="BM10" s="114" t="str">
        <f>IF(COUNTIFS(mapping!$B:$B,BM$2,mapping!$D:$D,$B10)&gt;0,"X","")</f>
        <v/>
      </c>
      <c r="BN10" s="114" t="str">
        <f>IF(COUNTIFS(mapping!$B:$B,BN$2,mapping!$D:$D,$B10)&gt;0,"X","")</f>
        <v/>
      </c>
      <c r="BO10" s="114" t="str">
        <f>IF(COUNTIFS(mapping!$B:$B,BO$2,mapping!$D:$D,$B10)&gt;0,"X","")</f>
        <v/>
      </c>
      <c r="BP10" s="114" t="str">
        <f>IF(COUNTIFS(mapping!$B:$B,BP$2,mapping!$D:$D,$B10)&gt;0,"X","")</f>
        <v/>
      </c>
      <c r="BQ10" s="114" t="str">
        <f>IF(COUNTIFS(mapping!$B:$B,BQ$2,mapping!$D:$D,$B10)&gt;0,"X","")</f>
        <v/>
      </c>
      <c r="BR10" s="114" t="str">
        <f>IF(COUNTIFS(mapping!$B:$B,BR$2,mapping!$D:$D,$B10)&gt;0,"X","")</f>
        <v/>
      </c>
      <c r="BS10" s="114" t="str">
        <f>IF(COUNTIFS(mapping!$B:$B,BS$2,mapping!$D:$D,$B10)&gt;0,"X","")</f>
        <v>X</v>
      </c>
      <c r="BT10" s="114" t="str">
        <f>IF(COUNTIFS(mapping!$B:$B,BT$2,mapping!$D:$D,$B10)&gt;0,"X","")</f>
        <v>X</v>
      </c>
      <c r="BU10" s="114" t="str">
        <f>IF(COUNTIFS(mapping!$B:$B,BU$2,mapping!$D:$D,$B10)&gt;0,"X","")</f>
        <v/>
      </c>
      <c r="BV10" s="114" t="str">
        <f>IF(COUNTIFS(mapping!$B:$B,BV$2,mapping!$D:$D,$B10)&gt;0,"X","")</f>
        <v/>
      </c>
      <c r="BW10" s="114" t="str">
        <f>IF(COUNTIFS(mapping!$B:$B,BW$2,mapping!$D:$D,$B10)&gt;0,"X","")</f>
        <v/>
      </c>
      <c r="BX10" s="114" t="str">
        <f>IF(COUNTIFS(mapping!$B:$B,BX$2,mapping!$D:$D,$B10)&gt;0,"X","")</f>
        <v/>
      </c>
      <c r="BY10" s="114" t="str">
        <f>IF(COUNTIFS(mapping!$B:$B,BY$2,mapping!$D:$D,$B10)&gt;0,"X","")</f>
        <v/>
      </c>
      <c r="BZ10" s="114" t="str">
        <f>IF(COUNTIFS(mapping!$B:$B,BZ$2,mapping!$D:$D,$B10)&gt;0,"X","")</f>
        <v/>
      </c>
      <c r="CA10" s="114" t="str">
        <f>IF(COUNTIFS(mapping!$B:$B,CA$2,mapping!$D:$D,$B10)&gt;0,"X","")</f>
        <v/>
      </c>
      <c r="CB10" s="114" t="str">
        <f>IF(COUNTIFS(mapping!$B:$B,CB$2,mapping!$D:$D,$B10)&gt;0,"X","")</f>
        <v/>
      </c>
      <c r="CC10" s="114" t="str">
        <f>IF(COUNTIFS(mapping!$B:$B,CC$2,mapping!$D:$D,$B10)&gt;0,"X","")</f>
        <v/>
      </c>
      <c r="CD10" s="114" t="str">
        <f>IF(COUNTIFS(mapping!$B:$B,CD$2,mapping!$D:$D,$B10)&gt;0,"X","")</f>
        <v/>
      </c>
      <c r="CE10" s="114" t="str">
        <f>IF(COUNTIFS(mapping!$B:$B,CE$2,mapping!$D:$D,$B10)&gt;0,"X","")</f>
        <v/>
      </c>
      <c r="CF10" s="114" t="str">
        <f>IF(COUNTIFS(mapping!$B:$B,CF$2,mapping!$D:$D,$B10)&gt;0,"X","")</f>
        <v/>
      </c>
      <c r="CG10" s="114" t="str">
        <f>IF(COUNTIFS(mapping!$B:$B,CG$2,mapping!$D:$D,$B10)&gt;0,"X","")</f>
        <v/>
      </c>
      <c r="CH10" s="114" t="str">
        <f>IF(COUNTIFS(mapping!$B:$B,CH$2,mapping!$D:$D,$B10)&gt;0,"X","")</f>
        <v/>
      </c>
    </row>
    <row r="11" spans="1:93" ht="16">
      <c r="A11" s="262"/>
      <c r="B11" s="122" t="s">
        <v>518</v>
      </c>
      <c r="C11" s="122" t="s">
        <v>517</v>
      </c>
      <c r="E11" s="114" t="str">
        <f>IF(COUNTIFS(mapping!$B:$B,E$2,mapping!$D:$D,$B11)&gt;0,"X","")</f>
        <v/>
      </c>
      <c r="F11" s="114" t="str">
        <f>IF(COUNTIFS(mapping!$B:$B,F$2,mapping!$D:$D,$B11)&gt;0,"X","")</f>
        <v/>
      </c>
      <c r="G11" s="114" t="str">
        <f>IF(COUNTIFS(mapping!$B:$B,G$2,mapping!$D:$D,$B11)&gt;0,"X","")</f>
        <v/>
      </c>
      <c r="H11" s="114" t="str">
        <f>IF(COUNTIFS(mapping!$B:$B,H$2,mapping!$D:$D,$B11)&gt;0,"X","")</f>
        <v/>
      </c>
      <c r="I11" s="114" t="str">
        <f>IF(COUNTIFS(mapping!$B:$B,I$2,mapping!$D:$D,$B11)&gt;0,"X","")</f>
        <v/>
      </c>
      <c r="J11" s="114" t="str">
        <f>IF(COUNTIFS(mapping!$B:$B,J$2,mapping!$D:$D,$B11)&gt;0,"X","")</f>
        <v/>
      </c>
      <c r="K11" s="114" t="str">
        <f>IF(COUNTIFS(mapping!$B:$B,K$2,mapping!$D:$D,$B11)&gt;0,"X","")</f>
        <v/>
      </c>
      <c r="L11" s="114" t="str">
        <f>IF(COUNTIFS(mapping!$B:$B,L$2,mapping!$D:$D,$B11)&gt;0,"X","")</f>
        <v/>
      </c>
      <c r="M11" s="114" t="str">
        <f>IF(COUNTIFS(mapping!$B:$B,M$2,mapping!$D:$D,$B11)&gt;0,"X","")</f>
        <v>X</v>
      </c>
      <c r="N11" s="114" t="str">
        <f>IF(COUNTIFS(mapping!$B:$B,N$2,mapping!$D:$D,$B11)&gt;0,"X","")</f>
        <v/>
      </c>
      <c r="O11" s="114" t="str">
        <f>IF(COUNTIFS(mapping!$B:$B,O$2,mapping!$D:$D,$B11)&gt;0,"X","")</f>
        <v/>
      </c>
      <c r="P11" s="114" t="str">
        <f>IF(COUNTIFS(mapping!$B:$B,P$2,mapping!$D:$D,$B11)&gt;0,"X","")</f>
        <v/>
      </c>
      <c r="Q11" s="114" t="str">
        <f>IF(COUNTIFS(mapping!$B:$B,Q$2,mapping!$D:$D,$B11)&gt;0,"X","")</f>
        <v/>
      </c>
      <c r="R11" s="114" t="str">
        <f>IF(COUNTIFS(mapping!$B:$B,R$2,mapping!$D:$D,$B11)&gt;0,"X","")</f>
        <v/>
      </c>
      <c r="S11" s="114" t="str">
        <f>IF(COUNTIFS(mapping!$B:$B,S$2,mapping!$D:$D,$B11)&gt;0,"X","")</f>
        <v/>
      </c>
      <c r="T11" s="114" t="str">
        <f>IF(COUNTIFS(mapping!$B:$B,T$2,mapping!$D:$D,$B11)&gt;0,"X","")</f>
        <v/>
      </c>
      <c r="U11" s="114" t="str">
        <f>IF(COUNTIFS(mapping!$B:$B,U$2,mapping!$D:$D,$B11)&gt;0,"X","")</f>
        <v/>
      </c>
      <c r="V11" s="114" t="str">
        <f>IF(COUNTIFS(mapping!$B:$B,V$2,mapping!$D:$D,$B11)&gt;0,"X","")</f>
        <v/>
      </c>
      <c r="W11" s="114" t="str">
        <f>IF(COUNTIFS(mapping!$B:$B,W$2,mapping!$D:$D,$B11)&gt;0,"X","")</f>
        <v/>
      </c>
      <c r="X11" s="114" t="str">
        <f>IF(COUNTIFS(mapping!$B:$B,X$2,mapping!$D:$D,$B11)&gt;0,"X","")</f>
        <v/>
      </c>
      <c r="Y11" s="114" t="str">
        <f>IF(COUNTIFS(mapping!$B:$B,Y$2,mapping!$D:$D,$B11)&gt;0,"X","")</f>
        <v>X</v>
      </c>
      <c r="Z11" s="114" t="str">
        <f>IF(COUNTIFS(mapping!$B:$B,Z$2,mapping!$D:$D,$B11)&gt;0,"X","")</f>
        <v/>
      </c>
      <c r="AA11" s="114" t="str">
        <f>IF(COUNTIFS(mapping!$B:$B,AA$2,mapping!$D:$D,$B11)&gt;0,"X","")</f>
        <v/>
      </c>
      <c r="AB11" s="114" t="str">
        <f>IF(COUNTIFS(mapping!$B:$B,AB$2,mapping!$D:$D,$B11)&gt;0,"X","")</f>
        <v/>
      </c>
      <c r="AC11" s="114" t="str">
        <f>IF(COUNTIFS(mapping!$B:$B,AC$2,mapping!$D:$D,$B11)&gt;0,"X","")</f>
        <v/>
      </c>
      <c r="AD11" s="114" t="str">
        <f>IF(COUNTIFS(mapping!$B:$B,AD$2,mapping!$D:$D,$B11)&gt;0,"X","")</f>
        <v/>
      </c>
      <c r="AE11" s="114" t="str">
        <f>IF(COUNTIFS(mapping!$B:$B,AE$2,mapping!$D:$D,$B11)&gt;0,"X","")</f>
        <v/>
      </c>
      <c r="AF11" s="114" t="str">
        <f>IF(COUNTIFS(mapping!$B:$B,AF$2,mapping!$D:$D,$B11)&gt;0,"X","")</f>
        <v/>
      </c>
      <c r="AG11" s="114" t="str">
        <f>IF(COUNTIFS(mapping!$B:$B,AG$2,mapping!$D:$D,$B11)&gt;0,"X","")</f>
        <v/>
      </c>
      <c r="AH11" s="114" t="str">
        <f>IF(COUNTIFS(mapping!$B:$B,AH$2,mapping!$D:$D,$B11)&gt;0,"X","")</f>
        <v/>
      </c>
      <c r="AI11" s="114" t="str">
        <f>IF(COUNTIFS(mapping!$B:$B,AI$2,mapping!$D:$D,$B11)&gt;0,"X","")</f>
        <v/>
      </c>
      <c r="AJ11" s="114" t="str">
        <f>IF(COUNTIFS(mapping!$B:$B,AJ$2,mapping!$D:$D,$B11)&gt;0,"X","")</f>
        <v/>
      </c>
      <c r="AK11" s="114" t="str">
        <f>IF(COUNTIFS(mapping!$B:$B,AK$2,mapping!$D:$D,$B11)&gt;0,"X","")</f>
        <v/>
      </c>
      <c r="AL11" s="114" t="str">
        <f>IF(COUNTIFS(mapping!$B:$B,AL$2,mapping!$D:$D,$B11)&gt;0,"X","")</f>
        <v/>
      </c>
      <c r="AM11" s="114" t="str">
        <f>IF(COUNTIFS(mapping!$B:$B,AM$2,mapping!$D:$D,$B11)&gt;0,"X","")</f>
        <v>X</v>
      </c>
      <c r="AN11" s="114" t="str">
        <f>IF(COUNTIFS(mapping!$B:$B,AN$2,mapping!$D:$D,$B11)&gt;0,"X","")</f>
        <v/>
      </c>
      <c r="AO11" s="114" t="str">
        <f>IF(COUNTIFS(mapping!$B:$B,AO$2,mapping!$D:$D,$B11)&gt;0,"X","")</f>
        <v/>
      </c>
      <c r="AP11" s="114" t="str">
        <f>IF(COUNTIFS(mapping!$B:$B,AP$2,mapping!$D:$D,$B11)&gt;0,"X","")</f>
        <v/>
      </c>
      <c r="AQ11" s="114" t="str">
        <f>IF(COUNTIFS(mapping!$B:$B,AQ$2,mapping!$D:$D,$B11)&gt;0,"X","")</f>
        <v/>
      </c>
      <c r="AR11" s="114" t="str">
        <f>IF(COUNTIFS(mapping!$B:$B,AR$2,mapping!$D:$D,$B11)&gt;0,"X","")</f>
        <v/>
      </c>
      <c r="AS11" s="114" t="str">
        <f>IF(COUNTIFS(mapping!$B:$B,AS$2,mapping!$D:$D,$B11)&gt;0,"X","")</f>
        <v/>
      </c>
      <c r="AT11" s="114" t="str">
        <f>IF(COUNTIFS(mapping!$B:$B,AT$2,mapping!$D:$D,$B11)&gt;0,"X","")</f>
        <v/>
      </c>
      <c r="AU11" s="114" t="str">
        <f>IF(COUNTIFS(mapping!$B:$B,AU$2,mapping!$D:$D,$B11)&gt;0,"X","")</f>
        <v/>
      </c>
      <c r="AV11" s="114" t="str">
        <f>IF(COUNTIFS(mapping!$B:$B,AV$2,mapping!$D:$D,$B11)&gt;0,"X","")</f>
        <v/>
      </c>
      <c r="AW11" s="114" t="str">
        <f>IF(COUNTIFS(mapping!$B:$B,AW$2,mapping!$D:$D,$B11)&gt;0,"X","")</f>
        <v/>
      </c>
      <c r="AX11" s="114" t="str">
        <f>IF(COUNTIFS(mapping!$B:$B,AX$2,mapping!$D:$D,$B11)&gt;0,"X","")</f>
        <v/>
      </c>
      <c r="AY11" s="114" t="str">
        <f>IF(COUNTIFS(mapping!$B:$B,AY$2,mapping!$D:$D,$B11)&gt;0,"X","")</f>
        <v/>
      </c>
      <c r="AZ11" s="114" t="str">
        <f>IF(COUNTIFS(mapping!$B:$B,AZ$2,mapping!$D:$D,$B11)&gt;0,"X","")</f>
        <v/>
      </c>
      <c r="BA11" s="114" t="str">
        <f>IF(COUNTIFS(mapping!$B:$B,BA$2,mapping!$D:$D,$B11)&gt;0,"X","")</f>
        <v/>
      </c>
      <c r="BB11" s="114" t="str">
        <f>IF(COUNTIFS(mapping!$B:$B,BB$2,mapping!$D:$D,$B11)&gt;0,"X","")</f>
        <v/>
      </c>
      <c r="BC11" s="114" t="str">
        <f>IF(COUNTIFS(mapping!$B:$B,BC$2,mapping!$D:$D,$B11)&gt;0,"X","")</f>
        <v/>
      </c>
      <c r="BD11" s="114" t="str">
        <f>IF(COUNTIFS(mapping!$B:$B,BD$2,mapping!$D:$D,$B11)&gt;0,"X","")</f>
        <v/>
      </c>
      <c r="BE11" s="114" t="str">
        <f>IF(COUNTIFS(mapping!$B:$B,BE$2,mapping!$D:$D,$B11)&gt;0,"X","")</f>
        <v/>
      </c>
      <c r="BF11" s="114" t="str">
        <f>IF(COUNTIFS(mapping!$B:$B,BF$2,mapping!$D:$D,$B11)&gt;0,"X","")</f>
        <v/>
      </c>
      <c r="BG11" s="114" t="str">
        <f>IF(COUNTIFS(mapping!$B:$B,BG$2,mapping!$D:$D,$B11)&gt;0,"X","")</f>
        <v/>
      </c>
      <c r="BH11" s="114" t="str">
        <f>IF(COUNTIFS(mapping!$B:$B,BH$2,mapping!$D:$D,$B11)&gt;0,"X","")</f>
        <v/>
      </c>
      <c r="BI11" s="114" t="str">
        <f>IF(COUNTIFS(mapping!$B:$B,BI$2,mapping!$D:$D,$B11)&gt;0,"X","")</f>
        <v/>
      </c>
      <c r="BJ11" s="114" t="str">
        <f>IF(COUNTIFS(mapping!$B:$B,BJ$2,mapping!$D:$D,$B11)&gt;0,"X","")</f>
        <v/>
      </c>
      <c r="BK11" s="114" t="str">
        <f>IF(COUNTIFS(mapping!$B:$B,BK$2,mapping!$D:$D,$B11)&gt;0,"X","")</f>
        <v/>
      </c>
      <c r="BL11" s="114" t="str">
        <f>IF(COUNTIFS(mapping!$B:$B,BL$2,mapping!$D:$D,$B11)&gt;0,"X","")</f>
        <v>X</v>
      </c>
      <c r="BM11" s="114" t="str">
        <f>IF(COUNTIFS(mapping!$B:$B,BM$2,mapping!$D:$D,$B11)&gt;0,"X","")</f>
        <v/>
      </c>
      <c r="BN11" s="114" t="str">
        <f>IF(COUNTIFS(mapping!$B:$B,BN$2,mapping!$D:$D,$B11)&gt;0,"X","")</f>
        <v/>
      </c>
      <c r="BO11" s="114" t="str">
        <f>IF(COUNTIFS(mapping!$B:$B,BO$2,mapping!$D:$D,$B11)&gt;0,"X","")</f>
        <v/>
      </c>
      <c r="BP11" s="114" t="str">
        <f>IF(COUNTIFS(mapping!$B:$B,BP$2,mapping!$D:$D,$B11)&gt;0,"X","")</f>
        <v/>
      </c>
      <c r="BQ11" s="114" t="str">
        <f>IF(COUNTIFS(mapping!$B:$B,BQ$2,mapping!$D:$D,$B11)&gt;0,"X","")</f>
        <v/>
      </c>
      <c r="BR11" s="114" t="str">
        <f>IF(COUNTIFS(mapping!$B:$B,BR$2,mapping!$D:$D,$B11)&gt;0,"X","")</f>
        <v/>
      </c>
      <c r="BS11" s="114" t="str">
        <f>IF(COUNTIFS(mapping!$B:$B,BS$2,mapping!$D:$D,$B11)&gt;0,"X","")</f>
        <v/>
      </c>
      <c r="BT11" s="114" t="str">
        <f>IF(COUNTIFS(mapping!$B:$B,BT$2,mapping!$D:$D,$B11)&gt;0,"X","")</f>
        <v/>
      </c>
      <c r="BU11" s="114" t="str">
        <f>IF(COUNTIFS(mapping!$B:$B,BU$2,mapping!$D:$D,$B11)&gt;0,"X","")</f>
        <v/>
      </c>
      <c r="BV11" s="114" t="str">
        <f>IF(COUNTIFS(mapping!$B:$B,BV$2,mapping!$D:$D,$B11)&gt;0,"X","")</f>
        <v/>
      </c>
      <c r="BW11" s="114" t="str">
        <f>IF(COUNTIFS(mapping!$B:$B,BW$2,mapping!$D:$D,$B11)&gt;0,"X","")</f>
        <v/>
      </c>
      <c r="BX11" s="114" t="str">
        <f>IF(COUNTIFS(mapping!$B:$B,BX$2,mapping!$D:$D,$B11)&gt;0,"X","")</f>
        <v/>
      </c>
      <c r="BY11" s="114" t="str">
        <f>IF(COUNTIFS(mapping!$B:$B,BY$2,mapping!$D:$D,$B11)&gt;0,"X","")</f>
        <v/>
      </c>
      <c r="BZ11" s="114" t="str">
        <f>IF(COUNTIFS(mapping!$B:$B,BZ$2,mapping!$D:$D,$B11)&gt;0,"X","")</f>
        <v/>
      </c>
      <c r="CA11" s="114" t="str">
        <f>IF(COUNTIFS(mapping!$B:$B,CA$2,mapping!$D:$D,$B11)&gt;0,"X","")</f>
        <v/>
      </c>
      <c r="CB11" s="114" t="str">
        <f>IF(COUNTIFS(mapping!$B:$B,CB$2,mapping!$D:$D,$B11)&gt;0,"X","")</f>
        <v/>
      </c>
      <c r="CC11" s="114" t="str">
        <f>IF(COUNTIFS(mapping!$B:$B,CC$2,mapping!$D:$D,$B11)&gt;0,"X","")</f>
        <v/>
      </c>
      <c r="CD11" s="114" t="str">
        <f>IF(COUNTIFS(mapping!$B:$B,CD$2,mapping!$D:$D,$B11)&gt;0,"X","")</f>
        <v/>
      </c>
      <c r="CE11" s="114" t="str">
        <f>IF(COUNTIFS(mapping!$B:$B,CE$2,mapping!$D:$D,$B11)&gt;0,"X","")</f>
        <v/>
      </c>
      <c r="CF11" s="114" t="str">
        <f>IF(COUNTIFS(mapping!$B:$B,CF$2,mapping!$D:$D,$B11)&gt;0,"X","")</f>
        <v/>
      </c>
      <c r="CG11" s="114" t="str">
        <f>IF(COUNTIFS(mapping!$B:$B,CG$2,mapping!$D:$D,$B11)&gt;0,"X","")</f>
        <v/>
      </c>
      <c r="CH11" s="114" t="str">
        <f>IF(COUNTIFS(mapping!$B:$B,CH$2,mapping!$D:$D,$B11)&gt;0,"X","")</f>
        <v/>
      </c>
    </row>
    <row r="12" spans="1:93" ht="16">
      <c r="A12" s="262"/>
      <c r="B12" s="122" t="s">
        <v>516</v>
      </c>
      <c r="C12" s="122" t="s">
        <v>515</v>
      </c>
      <c r="E12" s="114" t="str">
        <f>IF(COUNTIFS(mapping!$B:$B,E$2,mapping!$D:$D,$B12)&gt;0,"X","")</f>
        <v/>
      </c>
      <c r="F12" s="114" t="str">
        <f>IF(COUNTIFS(mapping!$B:$B,F$2,mapping!$D:$D,$B12)&gt;0,"X","")</f>
        <v/>
      </c>
      <c r="G12" s="114" t="str">
        <f>IF(COUNTIFS(mapping!$B:$B,G$2,mapping!$D:$D,$B12)&gt;0,"X","")</f>
        <v/>
      </c>
      <c r="H12" s="114" t="str">
        <f>IF(COUNTIFS(mapping!$B:$B,H$2,mapping!$D:$D,$B12)&gt;0,"X","")</f>
        <v/>
      </c>
      <c r="I12" s="114" t="str">
        <f>IF(COUNTIFS(mapping!$B:$B,I$2,mapping!$D:$D,$B12)&gt;0,"X","")</f>
        <v/>
      </c>
      <c r="J12" s="114" t="str">
        <f>IF(COUNTIFS(mapping!$B:$B,J$2,mapping!$D:$D,$B12)&gt;0,"X","")</f>
        <v/>
      </c>
      <c r="K12" s="114" t="str">
        <f>IF(COUNTIFS(mapping!$B:$B,K$2,mapping!$D:$D,$B12)&gt;0,"X","")</f>
        <v/>
      </c>
      <c r="L12" s="114" t="str">
        <f>IF(COUNTIFS(mapping!$B:$B,L$2,mapping!$D:$D,$B12)&gt;0,"X","")</f>
        <v/>
      </c>
      <c r="M12" s="114" t="str">
        <f>IF(COUNTIFS(mapping!$B:$B,M$2,mapping!$D:$D,$B12)&gt;0,"X","")</f>
        <v/>
      </c>
      <c r="N12" s="114" t="str">
        <f>IF(COUNTIFS(mapping!$B:$B,N$2,mapping!$D:$D,$B12)&gt;0,"X","")</f>
        <v>X</v>
      </c>
      <c r="O12" s="114" t="str">
        <f>IF(COUNTIFS(mapping!$B:$B,O$2,mapping!$D:$D,$B12)&gt;0,"X","")</f>
        <v/>
      </c>
      <c r="P12" s="114" t="str">
        <f>IF(COUNTIFS(mapping!$B:$B,P$2,mapping!$D:$D,$B12)&gt;0,"X","")</f>
        <v/>
      </c>
      <c r="Q12" s="114" t="str">
        <f>IF(COUNTIFS(mapping!$B:$B,Q$2,mapping!$D:$D,$B12)&gt;0,"X","")</f>
        <v/>
      </c>
      <c r="R12" s="114" t="str">
        <f>IF(COUNTIFS(mapping!$B:$B,R$2,mapping!$D:$D,$B12)&gt;0,"X","")</f>
        <v/>
      </c>
      <c r="S12" s="114" t="str">
        <f>IF(COUNTIFS(mapping!$B:$B,S$2,mapping!$D:$D,$B12)&gt;0,"X","")</f>
        <v/>
      </c>
      <c r="T12" s="114" t="str">
        <f>IF(COUNTIFS(mapping!$B:$B,T$2,mapping!$D:$D,$B12)&gt;0,"X","")</f>
        <v/>
      </c>
      <c r="U12" s="114" t="str">
        <f>IF(COUNTIFS(mapping!$B:$B,U$2,mapping!$D:$D,$B12)&gt;0,"X","")</f>
        <v/>
      </c>
      <c r="V12" s="114" t="str">
        <f>IF(COUNTIFS(mapping!$B:$B,V$2,mapping!$D:$D,$B12)&gt;0,"X","")</f>
        <v/>
      </c>
      <c r="W12" s="114" t="str">
        <f>IF(COUNTIFS(mapping!$B:$B,W$2,mapping!$D:$D,$B12)&gt;0,"X","")</f>
        <v/>
      </c>
      <c r="X12" s="114" t="str">
        <f>IF(COUNTIFS(mapping!$B:$B,X$2,mapping!$D:$D,$B12)&gt;0,"X","")</f>
        <v/>
      </c>
      <c r="Y12" s="114" t="str">
        <f>IF(COUNTIFS(mapping!$B:$B,Y$2,mapping!$D:$D,$B12)&gt;0,"X","")</f>
        <v/>
      </c>
      <c r="Z12" s="114" t="str">
        <f>IF(COUNTIFS(mapping!$B:$B,Z$2,mapping!$D:$D,$B12)&gt;0,"X","")</f>
        <v/>
      </c>
      <c r="AA12" s="114" t="str">
        <f>IF(COUNTIFS(mapping!$B:$B,AA$2,mapping!$D:$D,$B12)&gt;0,"X","")</f>
        <v/>
      </c>
      <c r="AB12" s="114" t="str">
        <f>IF(COUNTIFS(mapping!$B:$B,AB$2,mapping!$D:$D,$B12)&gt;0,"X","")</f>
        <v/>
      </c>
      <c r="AC12" s="114" t="str">
        <f>IF(COUNTIFS(mapping!$B:$B,AC$2,mapping!$D:$D,$B12)&gt;0,"X","")</f>
        <v/>
      </c>
      <c r="AD12" s="114" t="str">
        <f>IF(COUNTIFS(mapping!$B:$B,AD$2,mapping!$D:$D,$B12)&gt;0,"X","")</f>
        <v/>
      </c>
      <c r="AE12" s="114" t="str">
        <f>IF(COUNTIFS(mapping!$B:$B,AE$2,mapping!$D:$D,$B12)&gt;0,"X","")</f>
        <v/>
      </c>
      <c r="AF12" s="114" t="str">
        <f>IF(COUNTIFS(mapping!$B:$B,AF$2,mapping!$D:$D,$B12)&gt;0,"X","")</f>
        <v/>
      </c>
      <c r="AG12" s="114" t="str">
        <f>IF(COUNTIFS(mapping!$B:$B,AG$2,mapping!$D:$D,$B12)&gt;0,"X","")</f>
        <v/>
      </c>
      <c r="AH12" s="114" t="str">
        <f>IF(COUNTIFS(mapping!$B:$B,AH$2,mapping!$D:$D,$B12)&gt;0,"X","")</f>
        <v/>
      </c>
      <c r="AI12" s="114" t="str">
        <f>IF(COUNTIFS(mapping!$B:$B,AI$2,mapping!$D:$D,$B12)&gt;0,"X","")</f>
        <v>X</v>
      </c>
      <c r="AJ12" s="114" t="str">
        <f>IF(COUNTIFS(mapping!$B:$B,AJ$2,mapping!$D:$D,$B12)&gt;0,"X","")</f>
        <v/>
      </c>
      <c r="AK12" s="114" t="str">
        <f>IF(COUNTIFS(mapping!$B:$B,AK$2,mapping!$D:$D,$B12)&gt;0,"X","")</f>
        <v/>
      </c>
      <c r="AL12" s="114" t="str">
        <f>IF(COUNTIFS(mapping!$B:$B,AL$2,mapping!$D:$D,$B12)&gt;0,"X","")</f>
        <v/>
      </c>
      <c r="AM12" s="114" t="str">
        <f>IF(COUNTIFS(mapping!$B:$B,AM$2,mapping!$D:$D,$B12)&gt;0,"X","")</f>
        <v/>
      </c>
      <c r="AN12" s="114" t="str">
        <f>IF(COUNTIFS(mapping!$B:$B,AN$2,mapping!$D:$D,$B12)&gt;0,"X","")</f>
        <v/>
      </c>
      <c r="AO12" s="114" t="str">
        <f>IF(COUNTIFS(mapping!$B:$B,AO$2,mapping!$D:$D,$B12)&gt;0,"X","")</f>
        <v/>
      </c>
      <c r="AP12" s="114" t="str">
        <f>IF(COUNTIFS(mapping!$B:$B,AP$2,mapping!$D:$D,$B12)&gt;0,"X","")</f>
        <v/>
      </c>
      <c r="AQ12" s="114" t="str">
        <f>IF(COUNTIFS(mapping!$B:$B,AQ$2,mapping!$D:$D,$B12)&gt;0,"X","")</f>
        <v/>
      </c>
      <c r="AR12" s="114" t="str">
        <f>IF(COUNTIFS(mapping!$B:$B,AR$2,mapping!$D:$D,$B12)&gt;0,"X","")</f>
        <v/>
      </c>
      <c r="AS12" s="114" t="str">
        <f>IF(COUNTIFS(mapping!$B:$B,AS$2,mapping!$D:$D,$B12)&gt;0,"X","")</f>
        <v/>
      </c>
      <c r="AT12" s="114" t="str">
        <f>IF(COUNTIFS(mapping!$B:$B,AT$2,mapping!$D:$D,$B12)&gt;0,"X","")</f>
        <v/>
      </c>
      <c r="AU12" s="114" t="str">
        <f>IF(COUNTIFS(mapping!$B:$B,AU$2,mapping!$D:$D,$B12)&gt;0,"X","")</f>
        <v/>
      </c>
      <c r="AV12" s="114" t="str">
        <f>IF(COUNTIFS(mapping!$B:$B,AV$2,mapping!$D:$D,$B12)&gt;0,"X","")</f>
        <v/>
      </c>
      <c r="AW12" s="114" t="str">
        <f>IF(COUNTIFS(mapping!$B:$B,AW$2,mapping!$D:$D,$B12)&gt;0,"X","")</f>
        <v/>
      </c>
      <c r="AX12" s="114" t="str">
        <f>IF(COUNTIFS(mapping!$B:$B,AX$2,mapping!$D:$D,$B12)&gt;0,"X","")</f>
        <v/>
      </c>
      <c r="AY12" s="114" t="str">
        <f>IF(COUNTIFS(mapping!$B:$B,AY$2,mapping!$D:$D,$B12)&gt;0,"X","")</f>
        <v/>
      </c>
      <c r="AZ12" s="114" t="str">
        <f>IF(COUNTIFS(mapping!$B:$B,AZ$2,mapping!$D:$D,$B12)&gt;0,"X","")</f>
        <v/>
      </c>
      <c r="BA12" s="114" t="str">
        <f>IF(COUNTIFS(mapping!$B:$B,BA$2,mapping!$D:$D,$B12)&gt;0,"X","")</f>
        <v/>
      </c>
      <c r="BB12" s="114" t="str">
        <f>IF(COUNTIFS(mapping!$B:$B,BB$2,mapping!$D:$D,$B12)&gt;0,"X","")</f>
        <v/>
      </c>
      <c r="BC12" s="114" t="str">
        <f>IF(COUNTIFS(mapping!$B:$B,BC$2,mapping!$D:$D,$B12)&gt;0,"X","")</f>
        <v/>
      </c>
      <c r="BD12" s="114" t="str">
        <f>IF(COUNTIFS(mapping!$B:$B,BD$2,mapping!$D:$D,$B12)&gt;0,"X","")</f>
        <v/>
      </c>
      <c r="BE12" s="114" t="str">
        <f>IF(COUNTIFS(mapping!$B:$B,BE$2,mapping!$D:$D,$B12)&gt;0,"X","")</f>
        <v/>
      </c>
      <c r="BF12" s="114" t="str">
        <f>IF(COUNTIFS(mapping!$B:$B,BF$2,mapping!$D:$D,$B12)&gt;0,"X","")</f>
        <v/>
      </c>
      <c r="BG12" s="114" t="str">
        <f>IF(COUNTIFS(mapping!$B:$B,BG$2,mapping!$D:$D,$B12)&gt;0,"X","")</f>
        <v/>
      </c>
      <c r="BH12" s="114" t="str">
        <f>IF(COUNTIFS(mapping!$B:$B,BH$2,mapping!$D:$D,$B12)&gt;0,"X","")</f>
        <v/>
      </c>
      <c r="BI12" s="114" t="str">
        <f>IF(COUNTIFS(mapping!$B:$B,BI$2,mapping!$D:$D,$B12)&gt;0,"X","")</f>
        <v/>
      </c>
      <c r="BJ12" s="114" t="str">
        <f>IF(COUNTIFS(mapping!$B:$B,BJ$2,mapping!$D:$D,$B12)&gt;0,"X","")</f>
        <v>X</v>
      </c>
      <c r="BK12" s="114" t="str">
        <f>IF(COUNTIFS(mapping!$B:$B,BK$2,mapping!$D:$D,$B12)&gt;0,"X","")</f>
        <v/>
      </c>
      <c r="BL12" s="114" t="str">
        <f>IF(COUNTIFS(mapping!$B:$B,BL$2,mapping!$D:$D,$B12)&gt;0,"X","")</f>
        <v/>
      </c>
      <c r="BM12" s="114" t="str">
        <f>IF(COUNTIFS(mapping!$B:$B,BM$2,mapping!$D:$D,$B12)&gt;0,"X","")</f>
        <v/>
      </c>
      <c r="BN12" s="114" t="str">
        <f>IF(COUNTIFS(mapping!$B:$B,BN$2,mapping!$D:$D,$B12)&gt;0,"X","")</f>
        <v/>
      </c>
      <c r="BO12" s="114" t="str">
        <f>IF(COUNTIFS(mapping!$B:$B,BO$2,mapping!$D:$D,$B12)&gt;0,"X","")</f>
        <v/>
      </c>
      <c r="BP12" s="114" t="str">
        <f>IF(COUNTIFS(mapping!$B:$B,BP$2,mapping!$D:$D,$B12)&gt;0,"X","")</f>
        <v/>
      </c>
      <c r="BQ12" s="114" t="str">
        <f>IF(COUNTIFS(mapping!$B:$B,BQ$2,mapping!$D:$D,$B12)&gt;0,"X","")</f>
        <v>X</v>
      </c>
      <c r="BR12" s="114" t="str">
        <f>IF(COUNTIFS(mapping!$B:$B,BR$2,mapping!$D:$D,$B12)&gt;0,"X","")</f>
        <v/>
      </c>
      <c r="BS12" s="114" t="str">
        <f>IF(COUNTIFS(mapping!$B:$B,BS$2,mapping!$D:$D,$B12)&gt;0,"X","")</f>
        <v/>
      </c>
      <c r="BT12" s="114" t="str">
        <f>IF(COUNTIFS(mapping!$B:$B,BT$2,mapping!$D:$D,$B12)&gt;0,"X","")</f>
        <v/>
      </c>
      <c r="BU12" s="114" t="str">
        <f>IF(COUNTIFS(mapping!$B:$B,BU$2,mapping!$D:$D,$B12)&gt;0,"X","")</f>
        <v/>
      </c>
      <c r="BV12" s="114" t="str">
        <f>IF(COUNTIFS(mapping!$B:$B,BV$2,mapping!$D:$D,$B12)&gt;0,"X","")</f>
        <v/>
      </c>
      <c r="BW12" s="114" t="str">
        <f>IF(COUNTIFS(mapping!$B:$B,BW$2,mapping!$D:$D,$B12)&gt;0,"X","")</f>
        <v/>
      </c>
      <c r="BX12" s="114" t="str">
        <f>IF(COUNTIFS(mapping!$B:$B,BX$2,mapping!$D:$D,$B12)&gt;0,"X","")</f>
        <v/>
      </c>
      <c r="BY12" s="114" t="str">
        <f>IF(COUNTIFS(mapping!$B:$B,BY$2,mapping!$D:$D,$B12)&gt;0,"X","")</f>
        <v/>
      </c>
      <c r="BZ12" s="114" t="str">
        <f>IF(COUNTIFS(mapping!$B:$B,BZ$2,mapping!$D:$D,$B12)&gt;0,"X","")</f>
        <v/>
      </c>
      <c r="CA12" s="114" t="str">
        <f>IF(COUNTIFS(mapping!$B:$B,CA$2,mapping!$D:$D,$B12)&gt;0,"X","")</f>
        <v/>
      </c>
      <c r="CB12" s="114" t="str">
        <f>IF(COUNTIFS(mapping!$B:$B,CB$2,mapping!$D:$D,$B12)&gt;0,"X","")</f>
        <v/>
      </c>
      <c r="CC12" s="114" t="str">
        <f>IF(COUNTIFS(mapping!$B:$B,CC$2,mapping!$D:$D,$B12)&gt;0,"X","")</f>
        <v>X</v>
      </c>
      <c r="CD12" s="114" t="str">
        <f>IF(COUNTIFS(mapping!$B:$B,CD$2,mapping!$D:$D,$B12)&gt;0,"X","")</f>
        <v>X</v>
      </c>
      <c r="CE12" s="114" t="str">
        <f>IF(COUNTIFS(mapping!$B:$B,CE$2,mapping!$D:$D,$B12)&gt;0,"X","")</f>
        <v/>
      </c>
      <c r="CF12" s="114" t="str">
        <f>IF(COUNTIFS(mapping!$B:$B,CF$2,mapping!$D:$D,$B12)&gt;0,"X","")</f>
        <v/>
      </c>
      <c r="CG12" s="114" t="str">
        <f>IF(COUNTIFS(mapping!$B:$B,CG$2,mapping!$D:$D,$B12)&gt;0,"X","")</f>
        <v/>
      </c>
      <c r="CH12" s="114" t="str">
        <f>IF(COUNTIFS(mapping!$B:$B,CH$2,mapping!$D:$D,$B12)&gt;0,"X","")</f>
        <v/>
      </c>
    </row>
    <row r="13" spans="1:93" ht="16">
      <c r="A13" s="262"/>
      <c r="B13" s="122" t="s">
        <v>514</v>
      </c>
      <c r="C13" s="122" t="s">
        <v>513</v>
      </c>
      <c r="E13" s="114" t="str">
        <f>IF(COUNTIFS(mapping!$B:$B,E$2,mapping!$D:$D,$B13)&gt;0,"X","")</f>
        <v/>
      </c>
      <c r="F13" s="114" t="str">
        <f>IF(COUNTIFS(mapping!$B:$B,F$2,mapping!$D:$D,$B13)&gt;0,"X","")</f>
        <v/>
      </c>
      <c r="G13" s="114" t="str">
        <f>IF(COUNTIFS(mapping!$B:$B,G$2,mapping!$D:$D,$B13)&gt;0,"X","")</f>
        <v/>
      </c>
      <c r="H13" s="114" t="str">
        <f>IF(COUNTIFS(mapping!$B:$B,H$2,mapping!$D:$D,$B13)&gt;0,"X","")</f>
        <v/>
      </c>
      <c r="I13" s="114" t="str">
        <f>IF(COUNTIFS(mapping!$B:$B,I$2,mapping!$D:$D,$B13)&gt;0,"X","")</f>
        <v/>
      </c>
      <c r="J13" s="114" t="str">
        <f>IF(COUNTIFS(mapping!$B:$B,J$2,mapping!$D:$D,$B13)&gt;0,"X","")</f>
        <v/>
      </c>
      <c r="K13" s="114" t="str">
        <f>IF(COUNTIFS(mapping!$B:$B,K$2,mapping!$D:$D,$B13)&gt;0,"X","")</f>
        <v/>
      </c>
      <c r="L13" s="114" t="str">
        <f>IF(COUNTIFS(mapping!$B:$B,L$2,mapping!$D:$D,$B13)&gt;0,"X","")</f>
        <v/>
      </c>
      <c r="M13" s="114" t="str">
        <f>IF(COUNTIFS(mapping!$B:$B,M$2,mapping!$D:$D,$B13)&gt;0,"X","")</f>
        <v/>
      </c>
      <c r="N13" s="114" t="str">
        <f>IF(COUNTIFS(mapping!$B:$B,N$2,mapping!$D:$D,$B13)&gt;0,"X","")</f>
        <v/>
      </c>
      <c r="O13" s="114" t="str">
        <f>IF(COUNTIFS(mapping!$B:$B,O$2,mapping!$D:$D,$B13)&gt;0,"X","")</f>
        <v/>
      </c>
      <c r="P13" s="114" t="str">
        <f>IF(COUNTIFS(mapping!$B:$B,P$2,mapping!$D:$D,$B13)&gt;0,"X","")</f>
        <v/>
      </c>
      <c r="Q13" s="114" t="str">
        <f>IF(COUNTIFS(mapping!$B:$B,Q$2,mapping!$D:$D,$B13)&gt;0,"X","")</f>
        <v/>
      </c>
      <c r="R13" s="114" t="str">
        <f>IF(COUNTIFS(mapping!$B:$B,R$2,mapping!$D:$D,$B13)&gt;0,"X","")</f>
        <v/>
      </c>
      <c r="S13" s="114" t="str">
        <f>IF(COUNTIFS(mapping!$B:$B,S$2,mapping!$D:$D,$B13)&gt;0,"X","")</f>
        <v/>
      </c>
      <c r="T13" s="114" t="str">
        <f>IF(COUNTIFS(mapping!$B:$B,T$2,mapping!$D:$D,$B13)&gt;0,"X","")</f>
        <v/>
      </c>
      <c r="U13" s="114" t="str">
        <f>IF(COUNTIFS(mapping!$B:$B,U$2,mapping!$D:$D,$B13)&gt;0,"X","")</f>
        <v/>
      </c>
      <c r="V13" s="114" t="str">
        <f>IF(COUNTIFS(mapping!$B:$B,V$2,mapping!$D:$D,$B13)&gt;0,"X","")</f>
        <v/>
      </c>
      <c r="W13" s="114" t="str">
        <f>IF(COUNTIFS(mapping!$B:$B,W$2,mapping!$D:$D,$B13)&gt;0,"X","")</f>
        <v/>
      </c>
      <c r="X13" s="114" t="str">
        <f>IF(COUNTIFS(mapping!$B:$B,X$2,mapping!$D:$D,$B13)&gt;0,"X","")</f>
        <v/>
      </c>
      <c r="Y13" s="114" t="str">
        <f>IF(COUNTIFS(mapping!$B:$B,Y$2,mapping!$D:$D,$B13)&gt;0,"X","")</f>
        <v/>
      </c>
      <c r="Z13" s="114" t="str">
        <f>IF(COUNTIFS(mapping!$B:$B,Z$2,mapping!$D:$D,$B13)&gt;0,"X","")</f>
        <v/>
      </c>
      <c r="AA13" s="114" t="str">
        <f>IF(COUNTIFS(mapping!$B:$B,AA$2,mapping!$D:$D,$B13)&gt;0,"X","")</f>
        <v/>
      </c>
      <c r="AB13" s="114" t="str">
        <f>IF(COUNTIFS(mapping!$B:$B,AB$2,mapping!$D:$D,$B13)&gt;0,"X","")</f>
        <v/>
      </c>
      <c r="AC13" s="114" t="str">
        <f>IF(COUNTIFS(mapping!$B:$B,AC$2,mapping!$D:$D,$B13)&gt;0,"X","")</f>
        <v/>
      </c>
      <c r="AD13" s="114" t="str">
        <f>IF(COUNTIFS(mapping!$B:$B,AD$2,mapping!$D:$D,$B13)&gt;0,"X","")</f>
        <v/>
      </c>
      <c r="AE13" s="114" t="str">
        <f>IF(COUNTIFS(mapping!$B:$B,AE$2,mapping!$D:$D,$B13)&gt;0,"X","")</f>
        <v/>
      </c>
      <c r="AF13" s="114" t="str">
        <f>IF(COUNTIFS(mapping!$B:$B,AF$2,mapping!$D:$D,$B13)&gt;0,"X","")</f>
        <v>X</v>
      </c>
      <c r="AG13" s="114" t="str">
        <f>IF(COUNTIFS(mapping!$B:$B,AG$2,mapping!$D:$D,$B13)&gt;0,"X","")</f>
        <v/>
      </c>
      <c r="AH13" s="114" t="str">
        <f>IF(COUNTIFS(mapping!$B:$B,AH$2,mapping!$D:$D,$B13)&gt;0,"X","")</f>
        <v/>
      </c>
      <c r="AI13" s="114" t="str">
        <f>IF(COUNTIFS(mapping!$B:$B,AI$2,mapping!$D:$D,$B13)&gt;0,"X","")</f>
        <v/>
      </c>
      <c r="AJ13" s="114" t="str">
        <f>IF(COUNTIFS(mapping!$B:$B,AJ$2,mapping!$D:$D,$B13)&gt;0,"X","")</f>
        <v/>
      </c>
      <c r="AK13" s="114" t="str">
        <f>IF(COUNTIFS(mapping!$B:$B,AK$2,mapping!$D:$D,$B13)&gt;0,"X","")</f>
        <v>X</v>
      </c>
      <c r="AL13" s="114" t="str">
        <f>IF(COUNTIFS(mapping!$B:$B,AL$2,mapping!$D:$D,$B13)&gt;0,"X","")</f>
        <v/>
      </c>
      <c r="AM13" s="114" t="str">
        <f>IF(COUNTIFS(mapping!$B:$B,AM$2,mapping!$D:$D,$B13)&gt;0,"X","")</f>
        <v/>
      </c>
      <c r="AN13" s="114" t="str">
        <f>IF(COUNTIFS(mapping!$B:$B,AN$2,mapping!$D:$D,$B13)&gt;0,"X","")</f>
        <v/>
      </c>
      <c r="AO13" s="114" t="str">
        <f>IF(COUNTIFS(mapping!$B:$B,AO$2,mapping!$D:$D,$B13)&gt;0,"X","")</f>
        <v/>
      </c>
      <c r="AP13" s="114" t="str">
        <f>IF(COUNTIFS(mapping!$B:$B,AP$2,mapping!$D:$D,$B13)&gt;0,"X","")</f>
        <v/>
      </c>
      <c r="AQ13" s="114" t="str">
        <f>IF(COUNTIFS(mapping!$B:$B,AQ$2,mapping!$D:$D,$B13)&gt;0,"X","")</f>
        <v/>
      </c>
      <c r="AR13" s="114" t="str">
        <f>IF(COUNTIFS(mapping!$B:$B,AR$2,mapping!$D:$D,$B13)&gt;0,"X","")</f>
        <v/>
      </c>
      <c r="AS13" s="114" t="str">
        <f>IF(COUNTIFS(mapping!$B:$B,AS$2,mapping!$D:$D,$B13)&gt;0,"X","")</f>
        <v/>
      </c>
      <c r="AT13" s="114" t="str">
        <f>IF(COUNTIFS(mapping!$B:$B,AT$2,mapping!$D:$D,$B13)&gt;0,"X","")</f>
        <v/>
      </c>
      <c r="AU13" s="114" t="str">
        <f>IF(COUNTIFS(mapping!$B:$B,AU$2,mapping!$D:$D,$B13)&gt;0,"X","")</f>
        <v/>
      </c>
      <c r="AV13" s="114" t="str">
        <f>IF(COUNTIFS(mapping!$B:$B,AV$2,mapping!$D:$D,$B13)&gt;0,"X","")</f>
        <v/>
      </c>
      <c r="AW13" s="114" t="str">
        <f>IF(COUNTIFS(mapping!$B:$B,AW$2,mapping!$D:$D,$B13)&gt;0,"X","")</f>
        <v/>
      </c>
      <c r="AX13" s="114" t="str">
        <f>IF(COUNTIFS(mapping!$B:$B,AX$2,mapping!$D:$D,$B13)&gt;0,"X","")</f>
        <v/>
      </c>
      <c r="AY13" s="114" t="str">
        <f>IF(COUNTIFS(mapping!$B:$B,AY$2,mapping!$D:$D,$B13)&gt;0,"X","")</f>
        <v/>
      </c>
      <c r="AZ13" s="114" t="str">
        <f>IF(COUNTIFS(mapping!$B:$B,AZ$2,mapping!$D:$D,$B13)&gt;0,"X","")</f>
        <v/>
      </c>
      <c r="BA13" s="114" t="str">
        <f>IF(COUNTIFS(mapping!$B:$B,BA$2,mapping!$D:$D,$B13)&gt;0,"X","")</f>
        <v/>
      </c>
      <c r="BB13" s="114" t="str">
        <f>IF(COUNTIFS(mapping!$B:$B,BB$2,mapping!$D:$D,$B13)&gt;0,"X","")</f>
        <v/>
      </c>
      <c r="BC13" s="114" t="str">
        <f>IF(COUNTIFS(mapping!$B:$B,BC$2,mapping!$D:$D,$B13)&gt;0,"X","")</f>
        <v/>
      </c>
      <c r="BD13" s="114" t="str">
        <f>IF(COUNTIFS(mapping!$B:$B,BD$2,mapping!$D:$D,$B13)&gt;0,"X","")</f>
        <v/>
      </c>
      <c r="BE13" s="114" t="str">
        <f>IF(COUNTIFS(mapping!$B:$B,BE$2,mapping!$D:$D,$B13)&gt;0,"X","")</f>
        <v/>
      </c>
      <c r="BF13" s="114" t="str">
        <f>IF(COUNTIFS(mapping!$B:$B,BF$2,mapping!$D:$D,$B13)&gt;0,"X","")</f>
        <v/>
      </c>
      <c r="BG13" s="114" t="str">
        <f>IF(COUNTIFS(mapping!$B:$B,BG$2,mapping!$D:$D,$B13)&gt;0,"X","")</f>
        <v/>
      </c>
      <c r="BH13" s="114" t="str">
        <f>IF(COUNTIFS(mapping!$B:$B,BH$2,mapping!$D:$D,$B13)&gt;0,"X","")</f>
        <v/>
      </c>
      <c r="BI13" s="114" t="str">
        <f>IF(COUNTIFS(mapping!$B:$B,BI$2,mapping!$D:$D,$B13)&gt;0,"X","")</f>
        <v/>
      </c>
      <c r="BJ13" s="114" t="str">
        <f>IF(COUNTIFS(mapping!$B:$B,BJ$2,mapping!$D:$D,$B13)&gt;0,"X","")</f>
        <v/>
      </c>
      <c r="BK13" s="114" t="str">
        <f>IF(COUNTIFS(mapping!$B:$B,BK$2,mapping!$D:$D,$B13)&gt;0,"X","")</f>
        <v/>
      </c>
      <c r="BL13" s="114" t="str">
        <f>IF(COUNTIFS(mapping!$B:$B,BL$2,mapping!$D:$D,$B13)&gt;0,"X","")</f>
        <v/>
      </c>
      <c r="BM13" s="114" t="str">
        <f>IF(COUNTIFS(mapping!$B:$B,BM$2,mapping!$D:$D,$B13)&gt;0,"X","")</f>
        <v/>
      </c>
      <c r="BN13" s="114" t="str">
        <f>IF(COUNTIFS(mapping!$B:$B,BN$2,mapping!$D:$D,$B13)&gt;0,"X","")</f>
        <v/>
      </c>
      <c r="BO13" s="114" t="str">
        <f>IF(COUNTIFS(mapping!$B:$B,BO$2,mapping!$D:$D,$B13)&gt;0,"X","")</f>
        <v/>
      </c>
      <c r="BP13" s="114" t="str">
        <f>IF(COUNTIFS(mapping!$B:$B,BP$2,mapping!$D:$D,$B13)&gt;0,"X","")</f>
        <v/>
      </c>
      <c r="BQ13" s="114" t="str">
        <f>IF(COUNTIFS(mapping!$B:$B,BQ$2,mapping!$D:$D,$B13)&gt;0,"X","")</f>
        <v/>
      </c>
      <c r="BR13" s="114" t="str">
        <f>IF(COUNTIFS(mapping!$B:$B,BR$2,mapping!$D:$D,$B13)&gt;0,"X","")</f>
        <v/>
      </c>
      <c r="BS13" s="114" t="str">
        <f>IF(COUNTIFS(mapping!$B:$B,BS$2,mapping!$D:$D,$B13)&gt;0,"X","")</f>
        <v/>
      </c>
      <c r="BT13" s="114" t="str">
        <f>IF(COUNTIFS(mapping!$B:$B,BT$2,mapping!$D:$D,$B13)&gt;0,"X","")</f>
        <v/>
      </c>
      <c r="BU13" s="114" t="str">
        <f>IF(COUNTIFS(mapping!$B:$B,BU$2,mapping!$D:$D,$B13)&gt;0,"X","")</f>
        <v/>
      </c>
      <c r="BV13" s="114" t="str">
        <f>IF(COUNTIFS(mapping!$B:$B,BV$2,mapping!$D:$D,$B13)&gt;0,"X","")</f>
        <v/>
      </c>
      <c r="BW13" s="114" t="str">
        <f>IF(COUNTIFS(mapping!$B:$B,BW$2,mapping!$D:$D,$B13)&gt;0,"X","")</f>
        <v/>
      </c>
      <c r="BX13" s="114" t="str">
        <f>IF(COUNTIFS(mapping!$B:$B,BX$2,mapping!$D:$D,$B13)&gt;0,"X","")</f>
        <v/>
      </c>
      <c r="BY13" s="114" t="str">
        <f>IF(COUNTIFS(mapping!$B:$B,BY$2,mapping!$D:$D,$B13)&gt;0,"X","")</f>
        <v/>
      </c>
      <c r="BZ13" s="114" t="str">
        <f>IF(COUNTIFS(mapping!$B:$B,BZ$2,mapping!$D:$D,$B13)&gt;0,"X","")</f>
        <v/>
      </c>
      <c r="CA13" s="114" t="str">
        <f>IF(COUNTIFS(mapping!$B:$B,CA$2,mapping!$D:$D,$B13)&gt;0,"X","")</f>
        <v/>
      </c>
      <c r="CB13" s="114" t="str">
        <f>IF(COUNTIFS(mapping!$B:$B,CB$2,mapping!$D:$D,$B13)&gt;0,"X","")</f>
        <v/>
      </c>
      <c r="CC13" s="114" t="str">
        <f>IF(COUNTIFS(mapping!$B:$B,CC$2,mapping!$D:$D,$B13)&gt;0,"X","")</f>
        <v/>
      </c>
      <c r="CD13" s="114" t="str">
        <f>IF(COUNTIFS(mapping!$B:$B,CD$2,mapping!$D:$D,$B13)&gt;0,"X","")</f>
        <v/>
      </c>
      <c r="CE13" s="114" t="str">
        <f>IF(COUNTIFS(mapping!$B:$B,CE$2,mapping!$D:$D,$B13)&gt;0,"X","")</f>
        <v/>
      </c>
      <c r="CF13" s="114" t="str">
        <f>IF(COUNTIFS(mapping!$B:$B,CF$2,mapping!$D:$D,$B13)&gt;0,"X","")</f>
        <v/>
      </c>
      <c r="CG13" s="114" t="str">
        <f>IF(COUNTIFS(mapping!$B:$B,CG$2,mapping!$D:$D,$B13)&gt;0,"X","")</f>
        <v/>
      </c>
      <c r="CH13" s="114" t="str">
        <f>IF(COUNTIFS(mapping!$B:$B,CH$2,mapping!$D:$D,$B13)&gt;0,"X","")</f>
        <v/>
      </c>
    </row>
    <row r="14" spans="1:93" ht="16">
      <c r="A14" s="262"/>
      <c r="B14" s="125" t="s">
        <v>512</v>
      </c>
      <c r="C14" s="125" t="s">
        <v>511</v>
      </c>
      <c r="E14" s="114" t="str">
        <f>IF(COUNTIFS(mapping!$B:$B,E$2,mapping!$D:$D,$B14)&gt;0,"X","")</f>
        <v/>
      </c>
      <c r="F14" s="114" t="str">
        <f>IF(COUNTIFS(mapping!$B:$B,F$2,mapping!$D:$D,$B14)&gt;0,"X","")</f>
        <v/>
      </c>
      <c r="G14" s="114" t="str">
        <f>IF(COUNTIFS(mapping!$B:$B,G$2,mapping!$D:$D,$B14)&gt;0,"X","")</f>
        <v/>
      </c>
      <c r="H14" s="114" t="str">
        <f>IF(COUNTIFS(mapping!$B:$B,H$2,mapping!$D:$D,$B14)&gt;0,"X","")</f>
        <v/>
      </c>
      <c r="I14" s="114" t="str">
        <f>IF(COUNTIFS(mapping!$B:$B,I$2,mapping!$D:$D,$B14)&gt;0,"X","")</f>
        <v/>
      </c>
      <c r="J14" s="114" t="str">
        <f>IF(COUNTIFS(mapping!$B:$B,J$2,mapping!$D:$D,$B14)&gt;0,"X","")</f>
        <v/>
      </c>
      <c r="K14" s="114" t="str">
        <f>IF(COUNTIFS(mapping!$B:$B,K$2,mapping!$D:$D,$B14)&gt;0,"X","")</f>
        <v/>
      </c>
      <c r="L14" s="114" t="str">
        <f>IF(COUNTIFS(mapping!$B:$B,L$2,mapping!$D:$D,$B14)&gt;0,"X","")</f>
        <v/>
      </c>
      <c r="M14" s="114" t="str">
        <f>IF(COUNTIFS(mapping!$B:$B,M$2,mapping!$D:$D,$B14)&gt;0,"X","")</f>
        <v/>
      </c>
      <c r="N14" s="114" t="str">
        <f>IF(COUNTIFS(mapping!$B:$B,N$2,mapping!$D:$D,$B14)&gt;0,"X","")</f>
        <v>X</v>
      </c>
      <c r="O14" s="114" t="str">
        <f>IF(COUNTIFS(mapping!$B:$B,O$2,mapping!$D:$D,$B14)&gt;0,"X","")</f>
        <v/>
      </c>
      <c r="P14" s="114" t="str">
        <f>IF(COUNTIFS(mapping!$B:$B,P$2,mapping!$D:$D,$B14)&gt;0,"X","")</f>
        <v/>
      </c>
      <c r="Q14" s="114" t="str">
        <f>IF(COUNTIFS(mapping!$B:$B,Q$2,mapping!$D:$D,$B14)&gt;0,"X","")</f>
        <v/>
      </c>
      <c r="R14" s="114" t="str">
        <f>IF(COUNTIFS(mapping!$B:$B,R$2,mapping!$D:$D,$B14)&gt;0,"X","")</f>
        <v/>
      </c>
      <c r="S14" s="114" t="str">
        <f>IF(COUNTIFS(mapping!$B:$B,S$2,mapping!$D:$D,$B14)&gt;0,"X","")</f>
        <v/>
      </c>
      <c r="T14" s="114" t="str">
        <f>IF(COUNTIFS(mapping!$B:$B,T$2,mapping!$D:$D,$B14)&gt;0,"X","")</f>
        <v/>
      </c>
      <c r="U14" s="114" t="str">
        <f>IF(COUNTIFS(mapping!$B:$B,U$2,mapping!$D:$D,$B14)&gt;0,"X","")</f>
        <v/>
      </c>
      <c r="V14" s="114" t="str">
        <f>IF(COUNTIFS(mapping!$B:$B,V$2,mapping!$D:$D,$B14)&gt;0,"X","")</f>
        <v/>
      </c>
      <c r="W14" s="114" t="str">
        <f>IF(COUNTIFS(mapping!$B:$B,W$2,mapping!$D:$D,$B14)&gt;0,"X","")</f>
        <v/>
      </c>
      <c r="X14" s="114" t="str">
        <f>IF(COUNTIFS(mapping!$B:$B,X$2,mapping!$D:$D,$B14)&gt;0,"X","")</f>
        <v/>
      </c>
      <c r="Y14" s="114" t="str">
        <f>IF(COUNTIFS(mapping!$B:$B,Y$2,mapping!$D:$D,$B14)&gt;0,"X","")</f>
        <v/>
      </c>
      <c r="Z14" s="114" t="str">
        <f>IF(COUNTIFS(mapping!$B:$B,Z$2,mapping!$D:$D,$B14)&gt;0,"X","")</f>
        <v/>
      </c>
      <c r="AA14" s="114" t="str">
        <f>IF(COUNTIFS(mapping!$B:$B,AA$2,mapping!$D:$D,$B14)&gt;0,"X","")</f>
        <v/>
      </c>
      <c r="AB14" s="114" t="str">
        <f>IF(COUNTIFS(mapping!$B:$B,AB$2,mapping!$D:$D,$B14)&gt;0,"X","")</f>
        <v/>
      </c>
      <c r="AC14" s="114" t="str">
        <f>IF(COUNTIFS(mapping!$B:$B,AC$2,mapping!$D:$D,$B14)&gt;0,"X","")</f>
        <v/>
      </c>
      <c r="AD14" s="114" t="str">
        <f>IF(COUNTIFS(mapping!$B:$B,AD$2,mapping!$D:$D,$B14)&gt;0,"X","")</f>
        <v/>
      </c>
      <c r="AE14" s="114" t="str">
        <f>IF(COUNTIFS(mapping!$B:$B,AE$2,mapping!$D:$D,$B14)&gt;0,"X","")</f>
        <v/>
      </c>
      <c r="AF14" s="114" t="str">
        <f>IF(COUNTIFS(mapping!$B:$B,AF$2,mapping!$D:$D,$B14)&gt;0,"X","")</f>
        <v/>
      </c>
      <c r="AG14" s="114" t="str">
        <f>IF(COUNTIFS(mapping!$B:$B,AG$2,mapping!$D:$D,$B14)&gt;0,"X","")</f>
        <v/>
      </c>
      <c r="AH14" s="114" t="str">
        <f>IF(COUNTIFS(mapping!$B:$B,AH$2,mapping!$D:$D,$B14)&gt;0,"X","")</f>
        <v/>
      </c>
      <c r="AI14" s="114" t="str">
        <f>IF(COUNTIFS(mapping!$B:$B,AI$2,mapping!$D:$D,$B14)&gt;0,"X","")</f>
        <v>X</v>
      </c>
      <c r="AJ14" s="114" t="str">
        <f>IF(COUNTIFS(mapping!$B:$B,AJ$2,mapping!$D:$D,$B14)&gt;0,"X","")</f>
        <v/>
      </c>
      <c r="AK14" s="114" t="str">
        <f>IF(COUNTIFS(mapping!$B:$B,AK$2,mapping!$D:$D,$B14)&gt;0,"X","")</f>
        <v/>
      </c>
      <c r="AL14" s="114" t="str">
        <f>IF(COUNTIFS(mapping!$B:$B,AL$2,mapping!$D:$D,$B14)&gt;0,"X","")</f>
        <v/>
      </c>
      <c r="AM14" s="114" t="str">
        <f>IF(COUNTIFS(mapping!$B:$B,AM$2,mapping!$D:$D,$B14)&gt;0,"X","")</f>
        <v/>
      </c>
      <c r="AN14" s="114" t="str">
        <f>IF(COUNTIFS(mapping!$B:$B,AN$2,mapping!$D:$D,$B14)&gt;0,"X","")</f>
        <v/>
      </c>
      <c r="AO14" s="114" t="str">
        <f>IF(COUNTIFS(mapping!$B:$B,AO$2,mapping!$D:$D,$B14)&gt;0,"X","")</f>
        <v/>
      </c>
      <c r="AP14" s="114" t="str">
        <f>IF(COUNTIFS(mapping!$B:$B,AP$2,mapping!$D:$D,$B14)&gt;0,"X","")</f>
        <v/>
      </c>
      <c r="AQ14" s="114" t="str">
        <f>IF(COUNTIFS(mapping!$B:$B,AQ$2,mapping!$D:$D,$B14)&gt;0,"X","")</f>
        <v/>
      </c>
      <c r="AR14" s="114" t="str">
        <f>IF(COUNTIFS(mapping!$B:$B,AR$2,mapping!$D:$D,$B14)&gt;0,"X","")</f>
        <v/>
      </c>
      <c r="AS14" s="114" t="str">
        <f>IF(COUNTIFS(mapping!$B:$B,AS$2,mapping!$D:$D,$B14)&gt;0,"X","")</f>
        <v/>
      </c>
      <c r="AT14" s="114" t="str">
        <f>IF(COUNTIFS(mapping!$B:$B,AT$2,mapping!$D:$D,$B14)&gt;0,"X","")</f>
        <v/>
      </c>
      <c r="AU14" s="114" t="str">
        <f>IF(COUNTIFS(mapping!$B:$B,AU$2,mapping!$D:$D,$B14)&gt;0,"X","")</f>
        <v/>
      </c>
      <c r="AV14" s="114" t="str">
        <f>IF(COUNTIFS(mapping!$B:$B,AV$2,mapping!$D:$D,$B14)&gt;0,"X","")</f>
        <v/>
      </c>
      <c r="AW14" s="114" t="str">
        <f>IF(COUNTIFS(mapping!$B:$B,AW$2,mapping!$D:$D,$B14)&gt;0,"X","")</f>
        <v/>
      </c>
      <c r="AX14" s="114" t="str">
        <f>IF(COUNTIFS(mapping!$B:$B,AX$2,mapping!$D:$D,$B14)&gt;0,"X","")</f>
        <v/>
      </c>
      <c r="AY14" s="114" t="str">
        <f>IF(COUNTIFS(mapping!$B:$B,AY$2,mapping!$D:$D,$B14)&gt;0,"X","")</f>
        <v/>
      </c>
      <c r="AZ14" s="114" t="str">
        <f>IF(COUNTIFS(mapping!$B:$B,AZ$2,mapping!$D:$D,$B14)&gt;0,"X","")</f>
        <v/>
      </c>
      <c r="BA14" s="114" t="str">
        <f>IF(COUNTIFS(mapping!$B:$B,BA$2,mapping!$D:$D,$B14)&gt;0,"X","")</f>
        <v/>
      </c>
      <c r="BB14" s="114" t="str">
        <f>IF(COUNTIFS(mapping!$B:$B,BB$2,mapping!$D:$D,$B14)&gt;0,"X","")</f>
        <v/>
      </c>
      <c r="BC14" s="114" t="str">
        <f>IF(COUNTIFS(mapping!$B:$B,BC$2,mapping!$D:$D,$B14)&gt;0,"X","")</f>
        <v/>
      </c>
      <c r="BD14" s="114" t="str">
        <f>IF(COUNTIFS(mapping!$B:$B,BD$2,mapping!$D:$D,$B14)&gt;0,"X","")</f>
        <v/>
      </c>
      <c r="BE14" s="114" t="str">
        <f>IF(COUNTIFS(mapping!$B:$B,BE$2,mapping!$D:$D,$B14)&gt;0,"X","")</f>
        <v/>
      </c>
      <c r="BF14" s="114" t="str">
        <f>IF(COUNTIFS(mapping!$B:$B,BF$2,mapping!$D:$D,$B14)&gt;0,"X","")</f>
        <v/>
      </c>
      <c r="BG14" s="114" t="str">
        <f>IF(COUNTIFS(mapping!$B:$B,BG$2,mapping!$D:$D,$B14)&gt;0,"X","")</f>
        <v/>
      </c>
      <c r="BH14" s="114" t="str">
        <f>IF(COUNTIFS(mapping!$B:$B,BH$2,mapping!$D:$D,$B14)&gt;0,"X","")</f>
        <v/>
      </c>
      <c r="BI14" s="114" t="str">
        <f>IF(COUNTIFS(mapping!$B:$B,BI$2,mapping!$D:$D,$B14)&gt;0,"X","")</f>
        <v/>
      </c>
      <c r="BJ14" s="114" t="str">
        <f>IF(COUNTIFS(mapping!$B:$B,BJ$2,mapping!$D:$D,$B14)&gt;0,"X","")</f>
        <v>X</v>
      </c>
      <c r="BK14" s="114" t="str">
        <f>IF(COUNTIFS(mapping!$B:$B,BK$2,mapping!$D:$D,$B14)&gt;0,"X","")</f>
        <v/>
      </c>
      <c r="BL14" s="114" t="str">
        <f>IF(COUNTIFS(mapping!$B:$B,BL$2,mapping!$D:$D,$B14)&gt;0,"X","")</f>
        <v/>
      </c>
      <c r="BM14" s="114" t="str">
        <f>IF(COUNTIFS(mapping!$B:$B,BM$2,mapping!$D:$D,$B14)&gt;0,"X","")</f>
        <v/>
      </c>
      <c r="BN14" s="114" t="str">
        <f>IF(COUNTIFS(mapping!$B:$B,BN$2,mapping!$D:$D,$B14)&gt;0,"X","")</f>
        <v/>
      </c>
      <c r="BO14" s="114" t="str">
        <f>IF(COUNTIFS(mapping!$B:$B,BO$2,mapping!$D:$D,$B14)&gt;0,"X","")</f>
        <v/>
      </c>
      <c r="BP14" s="114" t="str">
        <f>IF(COUNTIFS(mapping!$B:$B,BP$2,mapping!$D:$D,$B14)&gt;0,"X","")</f>
        <v/>
      </c>
      <c r="BQ14" s="114" t="str">
        <f>IF(COUNTIFS(mapping!$B:$B,BQ$2,mapping!$D:$D,$B14)&gt;0,"X","")</f>
        <v>X</v>
      </c>
      <c r="BR14" s="114" t="str">
        <f>IF(COUNTIFS(mapping!$B:$B,BR$2,mapping!$D:$D,$B14)&gt;0,"X","")</f>
        <v/>
      </c>
      <c r="BS14" s="114" t="str">
        <f>IF(COUNTIFS(mapping!$B:$B,BS$2,mapping!$D:$D,$B14)&gt;0,"X","")</f>
        <v/>
      </c>
      <c r="BT14" s="114" t="str">
        <f>IF(COUNTIFS(mapping!$B:$B,BT$2,mapping!$D:$D,$B14)&gt;0,"X","")</f>
        <v/>
      </c>
      <c r="BU14" s="114" t="str">
        <f>IF(COUNTIFS(mapping!$B:$B,BU$2,mapping!$D:$D,$B14)&gt;0,"X","")</f>
        <v/>
      </c>
      <c r="BV14" s="114" t="str">
        <f>IF(COUNTIFS(mapping!$B:$B,BV$2,mapping!$D:$D,$B14)&gt;0,"X","")</f>
        <v/>
      </c>
      <c r="BW14" s="114" t="str">
        <f>IF(COUNTIFS(mapping!$B:$B,BW$2,mapping!$D:$D,$B14)&gt;0,"X","")</f>
        <v/>
      </c>
      <c r="BX14" s="114" t="str">
        <f>IF(COUNTIFS(mapping!$B:$B,BX$2,mapping!$D:$D,$B14)&gt;0,"X","")</f>
        <v/>
      </c>
      <c r="BY14" s="114" t="str">
        <f>IF(COUNTIFS(mapping!$B:$B,BY$2,mapping!$D:$D,$B14)&gt;0,"X","")</f>
        <v/>
      </c>
      <c r="BZ14" s="114" t="str">
        <f>IF(COUNTIFS(mapping!$B:$B,BZ$2,mapping!$D:$D,$B14)&gt;0,"X","")</f>
        <v/>
      </c>
      <c r="CA14" s="114" t="str">
        <f>IF(COUNTIFS(mapping!$B:$B,CA$2,mapping!$D:$D,$B14)&gt;0,"X","")</f>
        <v/>
      </c>
      <c r="CB14" s="114" t="str">
        <f>IF(COUNTIFS(mapping!$B:$B,CB$2,mapping!$D:$D,$B14)&gt;0,"X","")</f>
        <v/>
      </c>
      <c r="CC14" s="114" t="str">
        <f>IF(COUNTIFS(mapping!$B:$B,CC$2,mapping!$D:$D,$B14)&gt;0,"X","")</f>
        <v>X</v>
      </c>
      <c r="CD14" s="114" t="str">
        <f>IF(COUNTIFS(mapping!$B:$B,CD$2,mapping!$D:$D,$B14)&gt;0,"X","")</f>
        <v>X</v>
      </c>
      <c r="CE14" s="114" t="str">
        <f>IF(COUNTIFS(mapping!$B:$B,CE$2,mapping!$D:$D,$B14)&gt;0,"X","")</f>
        <v/>
      </c>
      <c r="CF14" s="114" t="str">
        <f>IF(COUNTIFS(mapping!$B:$B,CF$2,mapping!$D:$D,$B14)&gt;0,"X","")</f>
        <v/>
      </c>
      <c r="CG14" s="114" t="str">
        <f>IF(COUNTIFS(mapping!$B:$B,CG$2,mapping!$D:$D,$B14)&gt;0,"X","")</f>
        <v/>
      </c>
      <c r="CH14" s="114" t="str">
        <f>IF(COUNTIFS(mapping!$B:$B,CH$2,mapping!$D:$D,$B14)&gt;0,"X","")</f>
        <v/>
      </c>
    </row>
    <row r="15" spans="1:93" ht="16">
      <c r="A15" s="257" t="s">
        <v>510</v>
      </c>
      <c r="B15" s="122" t="s">
        <v>509</v>
      </c>
      <c r="C15" s="114" t="s">
        <v>508</v>
      </c>
      <c r="E15" s="114" t="str">
        <f>IF(COUNTIFS(mapping!$B:$B,E$2,mapping!$D:$D,$B15)&gt;0,"X","")</f>
        <v/>
      </c>
      <c r="F15" s="114" t="str">
        <f>IF(COUNTIFS(mapping!$B:$B,F$2,mapping!$D:$D,$B15)&gt;0,"X","")</f>
        <v/>
      </c>
      <c r="G15" s="114" t="str">
        <f>IF(COUNTIFS(mapping!$B:$B,G$2,mapping!$D:$D,$B15)&gt;0,"X","")</f>
        <v/>
      </c>
      <c r="H15" s="114" t="str">
        <f>IF(COUNTIFS(mapping!$B:$B,H$2,mapping!$D:$D,$B15)&gt;0,"X","")</f>
        <v/>
      </c>
      <c r="I15" s="114" t="str">
        <f>IF(COUNTIFS(mapping!$B:$B,I$2,mapping!$D:$D,$B15)&gt;0,"X","")</f>
        <v/>
      </c>
      <c r="J15" s="114" t="str">
        <f>IF(COUNTIFS(mapping!$B:$B,J$2,mapping!$D:$D,$B15)&gt;0,"X","")</f>
        <v/>
      </c>
      <c r="K15" s="114" t="str">
        <f>IF(COUNTIFS(mapping!$B:$B,K$2,mapping!$D:$D,$B15)&gt;0,"X","")</f>
        <v/>
      </c>
      <c r="L15" s="114" t="str">
        <f>IF(COUNTIFS(mapping!$B:$B,L$2,mapping!$D:$D,$B15)&gt;0,"X","")</f>
        <v/>
      </c>
      <c r="M15" s="114" t="str">
        <f>IF(COUNTIFS(mapping!$B:$B,M$2,mapping!$D:$D,$B15)&gt;0,"X","")</f>
        <v/>
      </c>
      <c r="N15" s="114" t="str">
        <f>IF(COUNTIFS(mapping!$B:$B,N$2,mapping!$D:$D,$B15)&gt;0,"X","")</f>
        <v/>
      </c>
      <c r="O15" s="114" t="str">
        <f>IF(COUNTIFS(mapping!$B:$B,O$2,mapping!$D:$D,$B15)&gt;0,"X","")</f>
        <v/>
      </c>
      <c r="P15" s="114" t="str">
        <f>IF(COUNTIFS(mapping!$B:$B,P$2,mapping!$D:$D,$B15)&gt;0,"X","")</f>
        <v/>
      </c>
      <c r="Q15" s="114" t="str">
        <f>IF(COUNTIFS(mapping!$B:$B,Q$2,mapping!$D:$D,$B15)&gt;0,"X","")</f>
        <v/>
      </c>
      <c r="R15" s="114" t="str">
        <f>IF(COUNTIFS(mapping!$B:$B,R$2,mapping!$D:$D,$B15)&gt;0,"X","")</f>
        <v/>
      </c>
      <c r="S15" s="114" t="str">
        <f>IF(COUNTIFS(mapping!$B:$B,S$2,mapping!$D:$D,$B15)&gt;0,"X","")</f>
        <v/>
      </c>
      <c r="T15" s="114" t="str">
        <f>IF(COUNTIFS(mapping!$B:$B,T$2,mapping!$D:$D,$B15)&gt;0,"X","")</f>
        <v/>
      </c>
      <c r="U15" s="114" t="str">
        <f>IF(COUNTIFS(mapping!$B:$B,U$2,mapping!$D:$D,$B15)&gt;0,"X","")</f>
        <v/>
      </c>
      <c r="V15" s="114" t="str">
        <f>IF(COUNTIFS(mapping!$B:$B,V$2,mapping!$D:$D,$B15)&gt;0,"X","")</f>
        <v/>
      </c>
      <c r="W15" s="114" t="str">
        <f>IF(COUNTIFS(mapping!$B:$B,W$2,mapping!$D:$D,$B15)&gt;0,"X","")</f>
        <v/>
      </c>
      <c r="X15" s="114" t="str">
        <f>IF(COUNTIFS(mapping!$B:$B,X$2,mapping!$D:$D,$B15)&gt;0,"X","")</f>
        <v/>
      </c>
      <c r="Y15" s="114" t="str">
        <f>IF(COUNTIFS(mapping!$B:$B,Y$2,mapping!$D:$D,$B15)&gt;0,"X","")</f>
        <v/>
      </c>
      <c r="Z15" s="114" t="str">
        <f>IF(COUNTIFS(mapping!$B:$B,Z$2,mapping!$D:$D,$B15)&gt;0,"X","")</f>
        <v>X</v>
      </c>
      <c r="AA15" s="114" t="str">
        <f>IF(COUNTIFS(mapping!$B:$B,AA$2,mapping!$D:$D,$B15)&gt;0,"X","")</f>
        <v/>
      </c>
      <c r="AB15" s="114" t="str">
        <f>IF(COUNTIFS(mapping!$B:$B,AB$2,mapping!$D:$D,$B15)&gt;0,"X","")</f>
        <v/>
      </c>
      <c r="AC15" s="114" t="str">
        <f>IF(COUNTIFS(mapping!$B:$B,AC$2,mapping!$D:$D,$B15)&gt;0,"X","")</f>
        <v/>
      </c>
      <c r="AD15" s="114" t="str">
        <f>IF(COUNTIFS(mapping!$B:$B,AD$2,mapping!$D:$D,$B15)&gt;0,"X","")</f>
        <v/>
      </c>
      <c r="AE15" s="114" t="str">
        <f>IF(COUNTIFS(mapping!$B:$B,AE$2,mapping!$D:$D,$B15)&gt;0,"X","")</f>
        <v/>
      </c>
      <c r="AF15" s="114" t="str">
        <f>IF(COUNTIFS(mapping!$B:$B,AF$2,mapping!$D:$D,$B15)&gt;0,"X","")</f>
        <v/>
      </c>
      <c r="AG15" s="114" t="str">
        <f>IF(COUNTIFS(mapping!$B:$B,AG$2,mapping!$D:$D,$B15)&gt;0,"X","")</f>
        <v/>
      </c>
      <c r="AH15" s="114" t="str">
        <f>IF(COUNTIFS(mapping!$B:$B,AH$2,mapping!$D:$D,$B15)&gt;0,"X","")</f>
        <v/>
      </c>
      <c r="AI15" s="114" t="str">
        <f>IF(COUNTIFS(mapping!$B:$B,AI$2,mapping!$D:$D,$B15)&gt;0,"X","")</f>
        <v/>
      </c>
      <c r="AJ15" s="114" t="str">
        <f>IF(COUNTIFS(mapping!$B:$B,AJ$2,mapping!$D:$D,$B15)&gt;0,"X","")</f>
        <v/>
      </c>
      <c r="AK15" s="114" t="str">
        <f>IF(COUNTIFS(mapping!$B:$B,AK$2,mapping!$D:$D,$B15)&gt;0,"X","")</f>
        <v/>
      </c>
      <c r="AL15" s="114" t="str">
        <f>IF(COUNTIFS(mapping!$B:$B,AL$2,mapping!$D:$D,$B15)&gt;0,"X","")</f>
        <v/>
      </c>
      <c r="AM15" s="114" t="str">
        <f>IF(COUNTIFS(mapping!$B:$B,AM$2,mapping!$D:$D,$B15)&gt;0,"X","")</f>
        <v>X</v>
      </c>
      <c r="AN15" s="114" t="str">
        <f>IF(COUNTIFS(mapping!$B:$B,AN$2,mapping!$D:$D,$B15)&gt;0,"X","")</f>
        <v/>
      </c>
      <c r="AO15" s="114" t="str">
        <f>IF(COUNTIFS(mapping!$B:$B,AO$2,mapping!$D:$D,$B15)&gt;0,"X","")</f>
        <v/>
      </c>
      <c r="AP15" s="114" t="str">
        <f>IF(COUNTIFS(mapping!$B:$B,AP$2,mapping!$D:$D,$B15)&gt;0,"X","")</f>
        <v/>
      </c>
      <c r="AQ15" s="114" t="str">
        <f>IF(COUNTIFS(mapping!$B:$B,AQ$2,mapping!$D:$D,$B15)&gt;0,"X","")</f>
        <v/>
      </c>
      <c r="AR15" s="114" t="str">
        <f>IF(COUNTIFS(mapping!$B:$B,AR$2,mapping!$D:$D,$B15)&gt;0,"X","")</f>
        <v/>
      </c>
      <c r="AS15" s="114" t="str">
        <f>IF(COUNTIFS(mapping!$B:$B,AS$2,mapping!$D:$D,$B15)&gt;0,"X","")</f>
        <v/>
      </c>
      <c r="AT15" s="114" t="str">
        <f>IF(COUNTIFS(mapping!$B:$B,AT$2,mapping!$D:$D,$B15)&gt;0,"X","")</f>
        <v/>
      </c>
      <c r="AU15" s="114" t="str">
        <f>IF(COUNTIFS(mapping!$B:$B,AU$2,mapping!$D:$D,$B15)&gt;0,"X","")</f>
        <v/>
      </c>
      <c r="AV15" s="114" t="str">
        <f>IF(COUNTIFS(mapping!$B:$B,AV$2,mapping!$D:$D,$B15)&gt;0,"X","")</f>
        <v/>
      </c>
      <c r="AW15" s="114" t="str">
        <f>IF(COUNTIFS(mapping!$B:$B,AW$2,mapping!$D:$D,$B15)&gt;0,"X","")</f>
        <v/>
      </c>
      <c r="AX15" s="114" t="str">
        <f>IF(COUNTIFS(mapping!$B:$B,AX$2,mapping!$D:$D,$B15)&gt;0,"X","")</f>
        <v>X</v>
      </c>
      <c r="AY15" s="114" t="str">
        <f>IF(COUNTIFS(mapping!$B:$B,AY$2,mapping!$D:$D,$B15)&gt;0,"X","")</f>
        <v/>
      </c>
      <c r="AZ15" s="114" t="str">
        <f>IF(COUNTIFS(mapping!$B:$B,AZ$2,mapping!$D:$D,$B15)&gt;0,"X","")</f>
        <v/>
      </c>
      <c r="BA15" s="114" t="str">
        <f>IF(COUNTIFS(mapping!$B:$B,BA$2,mapping!$D:$D,$B15)&gt;0,"X","")</f>
        <v>X</v>
      </c>
      <c r="BB15" s="114" t="str">
        <f>IF(COUNTIFS(mapping!$B:$B,BB$2,mapping!$D:$D,$B15)&gt;0,"X","")</f>
        <v/>
      </c>
      <c r="BC15" s="114" t="str">
        <f>IF(COUNTIFS(mapping!$B:$B,BC$2,mapping!$D:$D,$B15)&gt;0,"X","")</f>
        <v/>
      </c>
      <c r="BD15" s="114" t="str">
        <f>IF(COUNTIFS(mapping!$B:$B,BD$2,mapping!$D:$D,$B15)&gt;0,"X","")</f>
        <v/>
      </c>
      <c r="BE15" s="114" t="str">
        <f>IF(COUNTIFS(mapping!$B:$B,BE$2,mapping!$D:$D,$B15)&gt;0,"X","")</f>
        <v/>
      </c>
      <c r="BF15" s="114" t="str">
        <f>IF(COUNTIFS(mapping!$B:$B,BF$2,mapping!$D:$D,$B15)&gt;0,"X","")</f>
        <v>X</v>
      </c>
      <c r="BG15" s="114" t="str">
        <f>IF(COUNTIFS(mapping!$B:$B,BG$2,mapping!$D:$D,$B15)&gt;0,"X","")</f>
        <v/>
      </c>
      <c r="BH15" s="114" t="str">
        <f>IF(COUNTIFS(mapping!$B:$B,BH$2,mapping!$D:$D,$B15)&gt;0,"X","")</f>
        <v/>
      </c>
      <c r="BI15" s="114" t="str">
        <f>IF(COUNTIFS(mapping!$B:$B,BI$2,mapping!$D:$D,$B15)&gt;0,"X","")</f>
        <v/>
      </c>
      <c r="BJ15" s="114" t="str">
        <f>IF(COUNTIFS(mapping!$B:$B,BJ$2,mapping!$D:$D,$B15)&gt;0,"X","")</f>
        <v/>
      </c>
      <c r="BK15" s="114" t="str">
        <f>IF(COUNTIFS(mapping!$B:$B,BK$2,mapping!$D:$D,$B15)&gt;0,"X","")</f>
        <v/>
      </c>
      <c r="BL15" s="114" t="str">
        <f>IF(COUNTIFS(mapping!$B:$B,BL$2,mapping!$D:$D,$B15)&gt;0,"X","")</f>
        <v/>
      </c>
      <c r="BM15" s="114" t="str">
        <f>IF(COUNTIFS(mapping!$B:$B,BM$2,mapping!$D:$D,$B15)&gt;0,"X","")</f>
        <v/>
      </c>
      <c r="BN15" s="114" t="str">
        <f>IF(COUNTIFS(mapping!$B:$B,BN$2,mapping!$D:$D,$B15)&gt;0,"X","")</f>
        <v/>
      </c>
      <c r="BO15" s="114" t="str">
        <f>IF(COUNTIFS(mapping!$B:$B,BO$2,mapping!$D:$D,$B15)&gt;0,"X","")</f>
        <v>X</v>
      </c>
      <c r="BP15" s="114" t="str">
        <f>IF(COUNTIFS(mapping!$B:$B,BP$2,mapping!$D:$D,$B15)&gt;0,"X","")</f>
        <v/>
      </c>
      <c r="BQ15" s="114" t="str">
        <f>IF(COUNTIFS(mapping!$B:$B,BQ$2,mapping!$D:$D,$B15)&gt;0,"X","")</f>
        <v/>
      </c>
      <c r="BR15" s="114" t="str">
        <f>IF(COUNTIFS(mapping!$B:$B,BR$2,mapping!$D:$D,$B15)&gt;0,"X","")</f>
        <v/>
      </c>
      <c r="BS15" s="114" t="str">
        <f>IF(COUNTIFS(mapping!$B:$B,BS$2,mapping!$D:$D,$B15)&gt;0,"X","")</f>
        <v/>
      </c>
      <c r="BT15" s="114" t="str">
        <f>IF(COUNTIFS(mapping!$B:$B,BT$2,mapping!$D:$D,$B15)&gt;0,"X","")</f>
        <v/>
      </c>
      <c r="BU15" s="114" t="str">
        <f>IF(COUNTIFS(mapping!$B:$B,BU$2,mapping!$D:$D,$B15)&gt;0,"X","")</f>
        <v/>
      </c>
      <c r="BV15" s="114" t="str">
        <f>IF(COUNTIFS(mapping!$B:$B,BV$2,mapping!$D:$D,$B15)&gt;0,"X","")</f>
        <v/>
      </c>
      <c r="BW15" s="114" t="str">
        <f>IF(COUNTIFS(mapping!$B:$B,BW$2,mapping!$D:$D,$B15)&gt;0,"X","")</f>
        <v/>
      </c>
      <c r="BX15" s="114" t="str">
        <f>IF(COUNTIFS(mapping!$B:$B,BX$2,mapping!$D:$D,$B15)&gt;0,"X","")</f>
        <v/>
      </c>
      <c r="BY15" s="114" t="str">
        <f>IF(COUNTIFS(mapping!$B:$B,BY$2,mapping!$D:$D,$B15)&gt;0,"X","")</f>
        <v/>
      </c>
      <c r="BZ15" s="114" t="str">
        <f>IF(COUNTIFS(mapping!$B:$B,BZ$2,mapping!$D:$D,$B15)&gt;0,"X","")</f>
        <v/>
      </c>
      <c r="CA15" s="114" t="str">
        <f>IF(COUNTIFS(mapping!$B:$B,CA$2,mapping!$D:$D,$B15)&gt;0,"X","")</f>
        <v/>
      </c>
      <c r="CB15" s="114" t="str">
        <f>IF(COUNTIFS(mapping!$B:$B,CB$2,mapping!$D:$D,$B15)&gt;0,"X","")</f>
        <v/>
      </c>
      <c r="CC15" s="114" t="str">
        <f>IF(COUNTIFS(mapping!$B:$B,CC$2,mapping!$D:$D,$B15)&gt;0,"X","")</f>
        <v/>
      </c>
      <c r="CD15" s="114" t="str">
        <f>IF(COUNTIFS(mapping!$B:$B,CD$2,mapping!$D:$D,$B15)&gt;0,"X","")</f>
        <v/>
      </c>
      <c r="CE15" s="114" t="str">
        <f>IF(COUNTIFS(mapping!$B:$B,CE$2,mapping!$D:$D,$B15)&gt;0,"X","")</f>
        <v>X</v>
      </c>
      <c r="CF15" s="114" t="str">
        <f>IF(COUNTIFS(mapping!$B:$B,CF$2,mapping!$D:$D,$B15)&gt;0,"X","")</f>
        <v/>
      </c>
      <c r="CG15" s="114" t="str">
        <f>IF(COUNTIFS(mapping!$B:$B,CG$2,mapping!$D:$D,$B15)&gt;0,"X","")</f>
        <v/>
      </c>
      <c r="CH15" s="114" t="str">
        <f>IF(COUNTIFS(mapping!$B:$B,CH$2,mapping!$D:$D,$B15)&gt;0,"X","")</f>
        <v/>
      </c>
    </row>
    <row r="16" spans="1:93" ht="16">
      <c r="A16" s="257"/>
      <c r="B16" s="122" t="s">
        <v>507</v>
      </c>
      <c r="C16" s="114" t="s">
        <v>506</v>
      </c>
      <c r="E16" s="114" t="str">
        <f>IF(COUNTIFS(mapping!$B:$B,E$2,mapping!$D:$D,$B16)&gt;0,"X","")</f>
        <v/>
      </c>
      <c r="F16" s="114" t="str">
        <f>IF(COUNTIFS(mapping!$B:$B,F$2,mapping!$D:$D,$B16)&gt;0,"X","")</f>
        <v/>
      </c>
      <c r="G16" s="114" t="str">
        <f>IF(COUNTIFS(mapping!$B:$B,G$2,mapping!$D:$D,$B16)&gt;0,"X","")</f>
        <v/>
      </c>
      <c r="H16" s="114" t="str">
        <f>IF(COUNTIFS(mapping!$B:$B,H$2,mapping!$D:$D,$B16)&gt;0,"X","")</f>
        <v/>
      </c>
      <c r="I16" s="114" t="str">
        <f>IF(COUNTIFS(mapping!$B:$B,I$2,mapping!$D:$D,$B16)&gt;0,"X","")</f>
        <v/>
      </c>
      <c r="J16" s="114" t="str">
        <f>IF(COUNTIFS(mapping!$B:$B,J$2,mapping!$D:$D,$B16)&gt;0,"X","")</f>
        <v/>
      </c>
      <c r="K16" s="114" t="str">
        <f>IF(COUNTIFS(mapping!$B:$B,K$2,mapping!$D:$D,$B16)&gt;0,"X","")</f>
        <v/>
      </c>
      <c r="L16" s="114" t="str">
        <f>IF(COUNTIFS(mapping!$B:$B,L$2,mapping!$D:$D,$B16)&gt;0,"X","")</f>
        <v/>
      </c>
      <c r="M16" s="114" t="str">
        <f>IF(COUNTIFS(mapping!$B:$B,M$2,mapping!$D:$D,$B16)&gt;0,"X","")</f>
        <v/>
      </c>
      <c r="N16" s="114" t="str">
        <f>IF(COUNTIFS(mapping!$B:$B,N$2,mapping!$D:$D,$B16)&gt;0,"X","")</f>
        <v/>
      </c>
      <c r="O16" s="114" t="str">
        <f>IF(COUNTIFS(mapping!$B:$B,O$2,mapping!$D:$D,$B16)&gt;0,"X","")</f>
        <v/>
      </c>
      <c r="P16" s="114" t="str">
        <f>IF(COUNTIFS(mapping!$B:$B,P$2,mapping!$D:$D,$B16)&gt;0,"X","")</f>
        <v/>
      </c>
      <c r="Q16" s="114" t="str">
        <f>IF(COUNTIFS(mapping!$B:$B,Q$2,mapping!$D:$D,$B16)&gt;0,"X","")</f>
        <v/>
      </c>
      <c r="R16" s="114" t="str">
        <f>IF(COUNTIFS(mapping!$B:$B,R$2,mapping!$D:$D,$B16)&gt;0,"X","")</f>
        <v/>
      </c>
      <c r="S16" s="114" t="str">
        <f>IF(COUNTIFS(mapping!$B:$B,S$2,mapping!$D:$D,$B16)&gt;0,"X","")</f>
        <v/>
      </c>
      <c r="T16" s="114" t="str">
        <f>IF(COUNTIFS(mapping!$B:$B,T$2,mapping!$D:$D,$B16)&gt;0,"X","")</f>
        <v/>
      </c>
      <c r="U16" s="114" t="str">
        <f>IF(COUNTIFS(mapping!$B:$B,U$2,mapping!$D:$D,$B16)&gt;0,"X","")</f>
        <v/>
      </c>
      <c r="V16" s="114" t="str">
        <f>IF(COUNTIFS(mapping!$B:$B,V$2,mapping!$D:$D,$B16)&gt;0,"X","")</f>
        <v/>
      </c>
      <c r="W16" s="114" t="str">
        <f>IF(COUNTIFS(mapping!$B:$B,W$2,mapping!$D:$D,$B16)&gt;0,"X","")</f>
        <v/>
      </c>
      <c r="X16" s="114" t="str">
        <f>IF(COUNTIFS(mapping!$B:$B,X$2,mapping!$D:$D,$B16)&gt;0,"X","")</f>
        <v/>
      </c>
      <c r="Y16" s="114" t="str">
        <f>IF(COUNTIFS(mapping!$B:$B,Y$2,mapping!$D:$D,$B16)&gt;0,"X","")</f>
        <v>X</v>
      </c>
      <c r="Z16" s="114" t="str">
        <f>IF(COUNTIFS(mapping!$B:$B,Z$2,mapping!$D:$D,$B16)&gt;0,"X","")</f>
        <v/>
      </c>
      <c r="AA16" s="114" t="str">
        <f>IF(COUNTIFS(mapping!$B:$B,AA$2,mapping!$D:$D,$B16)&gt;0,"X","")</f>
        <v/>
      </c>
      <c r="AB16" s="114" t="str">
        <f>IF(COUNTIFS(mapping!$B:$B,AB$2,mapping!$D:$D,$B16)&gt;0,"X","")</f>
        <v/>
      </c>
      <c r="AC16" s="114" t="str">
        <f>IF(COUNTIFS(mapping!$B:$B,AC$2,mapping!$D:$D,$B16)&gt;0,"X","")</f>
        <v/>
      </c>
      <c r="AD16" s="114" t="str">
        <f>IF(COUNTIFS(mapping!$B:$B,AD$2,mapping!$D:$D,$B16)&gt;0,"X","")</f>
        <v/>
      </c>
      <c r="AE16" s="114" t="str">
        <f>IF(COUNTIFS(mapping!$B:$B,AE$2,mapping!$D:$D,$B16)&gt;0,"X","")</f>
        <v/>
      </c>
      <c r="AF16" s="114" t="str">
        <f>IF(COUNTIFS(mapping!$B:$B,AF$2,mapping!$D:$D,$B16)&gt;0,"X","")</f>
        <v/>
      </c>
      <c r="AG16" s="114" t="str">
        <f>IF(COUNTIFS(mapping!$B:$B,AG$2,mapping!$D:$D,$B16)&gt;0,"X","")</f>
        <v/>
      </c>
      <c r="AH16" s="114" t="str">
        <f>IF(COUNTIFS(mapping!$B:$B,AH$2,mapping!$D:$D,$B16)&gt;0,"X","")</f>
        <v/>
      </c>
      <c r="AI16" s="114" t="str">
        <f>IF(COUNTIFS(mapping!$B:$B,AI$2,mapping!$D:$D,$B16)&gt;0,"X","")</f>
        <v/>
      </c>
      <c r="AJ16" s="114" t="str">
        <f>IF(COUNTIFS(mapping!$B:$B,AJ$2,mapping!$D:$D,$B16)&gt;0,"X","")</f>
        <v/>
      </c>
      <c r="AK16" s="114" t="str">
        <f>IF(COUNTIFS(mapping!$B:$B,AK$2,mapping!$D:$D,$B16)&gt;0,"X","")</f>
        <v>X</v>
      </c>
      <c r="AL16" s="114" t="str">
        <f>IF(COUNTIFS(mapping!$B:$B,AL$2,mapping!$D:$D,$B16)&gt;0,"X","")</f>
        <v/>
      </c>
      <c r="AM16" s="114" t="str">
        <f>IF(COUNTIFS(mapping!$B:$B,AM$2,mapping!$D:$D,$B16)&gt;0,"X","")</f>
        <v>X</v>
      </c>
      <c r="AN16" s="114" t="str">
        <f>IF(COUNTIFS(mapping!$B:$B,AN$2,mapping!$D:$D,$B16)&gt;0,"X","")</f>
        <v/>
      </c>
      <c r="AO16" s="114" t="str">
        <f>IF(COUNTIFS(mapping!$B:$B,AO$2,mapping!$D:$D,$B16)&gt;0,"X","")</f>
        <v/>
      </c>
      <c r="AP16" s="114" t="str">
        <f>IF(COUNTIFS(mapping!$B:$B,AP$2,mapping!$D:$D,$B16)&gt;0,"X","")</f>
        <v/>
      </c>
      <c r="AQ16" s="114" t="str">
        <f>IF(COUNTIFS(mapping!$B:$B,AQ$2,mapping!$D:$D,$B16)&gt;0,"X","")</f>
        <v>X</v>
      </c>
      <c r="AR16" s="114" t="str">
        <f>IF(COUNTIFS(mapping!$B:$B,AR$2,mapping!$D:$D,$B16)&gt;0,"X","")</f>
        <v/>
      </c>
      <c r="AS16" s="114" t="str">
        <f>IF(COUNTIFS(mapping!$B:$B,AS$2,mapping!$D:$D,$B16)&gt;0,"X","")</f>
        <v/>
      </c>
      <c r="AT16" s="114" t="str">
        <f>IF(COUNTIFS(mapping!$B:$B,AT$2,mapping!$D:$D,$B16)&gt;0,"X","")</f>
        <v/>
      </c>
      <c r="AU16" s="114" t="str">
        <f>IF(COUNTIFS(mapping!$B:$B,AU$2,mapping!$D:$D,$B16)&gt;0,"X","")</f>
        <v/>
      </c>
      <c r="AV16" s="114" t="str">
        <f>IF(COUNTIFS(mapping!$B:$B,AV$2,mapping!$D:$D,$B16)&gt;0,"X","")</f>
        <v/>
      </c>
      <c r="AW16" s="114" t="str">
        <f>IF(COUNTIFS(mapping!$B:$B,AW$2,mapping!$D:$D,$B16)&gt;0,"X","")</f>
        <v/>
      </c>
      <c r="AX16" s="114" t="str">
        <f>IF(COUNTIFS(mapping!$B:$B,AX$2,mapping!$D:$D,$B16)&gt;0,"X","")</f>
        <v/>
      </c>
      <c r="AY16" s="114" t="str">
        <f>IF(COUNTIFS(mapping!$B:$B,AY$2,mapping!$D:$D,$B16)&gt;0,"X","")</f>
        <v/>
      </c>
      <c r="AZ16" s="114" t="str">
        <f>IF(COUNTIFS(mapping!$B:$B,AZ$2,mapping!$D:$D,$B16)&gt;0,"X","")</f>
        <v/>
      </c>
      <c r="BA16" s="114" t="str">
        <f>IF(COUNTIFS(mapping!$B:$B,BA$2,mapping!$D:$D,$B16)&gt;0,"X","")</f>
        <v/>
      </c>
      <c r="BB16" s="114" t="str">
        <f>IF(COUNTIFS(mapping!$B:$B,BB$2,mapping!$D:$D,$B16)&gt;0,"X","")</f>
        <v/>
      </c>
      <c r="BC16" s="114" t="str">
        <f>IF(COUNTIFS(mapping!$B:$B,BC$2,mapping!$D:$D,$B16)&gt;0,"X","")</f>
        <v/>
      </c>
      <c r="BD16" s="114" t="str">
        <f>IF(COUNTIFS(mapping!$B:$B,BD$2,mapping!$D:$D,$B16)&gt;0,"X","")</f>
        <v/>
      </c>
      <c r="BE16" s="114" t="str">
        <f>IF(COUNTIFS(mapping!$B:$B,BE$2,mapping!$D:$D,$B16)&gt;0,"X","")</f>
        <v/>
      </c>
      <c r="BF16" s="114" t="str">
        <f>IF(COUNTIFS(mapping!$B:$B,BF$2,mapping!$D:$D,$B16)&gt;0,"X","")</f>
        <v>X</v>
      </c>
      <c r="BG16" s="114" t="str">
        <f>IF(COUNTIFS(mapping!$B:$B,BG$2,mapping!$D:$D,$B16)&gt;0,"X","")</f>
        <v/>
      </c>
      <c r="BH16" s="114" t="str">
        <f>IF(COUNTIFS(mapping!$B:$B,BH$2,mapping!$D:$D,$B16)&gt;0,"X","")</f>
        <v/>
      </c>
      <c r="BI16" s="114" t="str">
        <f>IF(COUNTIFS(mapping!$B:$B,BI$2,mapping!$D:$D,$B16)&gt;0,"X","")</f>
        <v/>
      </c>
      <c r="BJ16" s="114" t="str">
        <f>IF(COUNTIFS(mapping!$B:$B,BJ$2,mapping!$D:$D,$B16)&gt;0,"X","")</f>
        <v/>
      </c>
      <c r="BK16" s="114" t="str">
        <f>IF(COUNTIFS(mapping!$B:$B,BK$2,mapping!$D:$D,$B16)&gt;0,"X","")</f>
        <v/>
      </c>
      <c r="BL16" s="114" t="str">
        <f>IF(COUNTIFS(mapping!$B:$B,BL$2,mapping!$D:$D,$B16)&gt;0,"X","")</f>
        <v/>
      </c>
      <c r="BM16" s="114" t="str">
        <f>IF(COUNTIFS(mapping!$B:$B,BM$2,mapping!$D:$D,$B16)&gt;0,"X","")</f>
        <v/>
      </c>
      <c r="BN16" s="114" t="str">
        <f>IF(COUNTIFS(mapping!$B:$B,BN$2,mapping!$D:$D,$B16)&gt;0,"X","")</f>
        <v/>
      </c>
      <c r="BO16" s="114" t="str">
        <f>IF(COUNTIFS(mapping!$B:$B,BO$2,mapping!$D:$D,$B16)&gt;0,"X","")</f>
        <v>X</v>
      </c>
      <c r="BP16" s="114" t="str">
        <f>IF(COUNTIFS(mapping!$B:$B,BP$2,mapping!$D:$D,$B16)&gt;0,"X","")</f>
        <v/>
      </c>
      <c r="BQ16" s="114" t="str">
        <f>IF(COUNTIFS(mapping!$B:$B,BQ$2,mapping!$D:$D,$B16)&gt;0,"X","")</f>
        <v/>
      </c>
      <c r="BR16" s="114" t="str">
        <f>IF(COUNTIFS(mapping!$B:$B,BR$2,mapping!$D:$D,$B16)&gt;0,"X","")</f>
        <v/>
      </c>
      <c r="BS16" s="114" t="str">
        <f>IF(COUNTIFS(mapping!$B:$B,BS$2,mapping!$D:$D,$B16)&gt;0,"X","")</f>
        <v/>
      </c>
      <c r="BT16" s="114" t="str">
        <f>IF(COUNTIFS(mapping!$B:$B,BT$2,mapping!$D:$D,$B16)&gt;0,"X","")</f>
        <v/>
      </c>
      <c r="BU16" s="114" t="str">
        <f>IF(COUNTIFS(mapping!$B:$B,BU$2,mapping!$D:$D,$B16)&gt;0,"X","")</f>
        <v/>
      </c>
      <c r="BV16" s="114" t="str">
        <f>IF(COUNTIFS(mapping!$B:$B,BV$2,mapping!$D:$D,$B16)&gt;0,"X","")</f>
        <v/>
      </c>
      <c r="BW16" s="114" t="str">
        <f>IF(COUNTIFS(mapping!$B:$B,BW$2,mapping!$D:$D,$B16)&gt;0,"X","")</f>
        <v/>
      </c>
      <c r="BX16" s="114" t="str">
        <f>IF(COUNTIFS(mapping!$B:$B,BX$2,mapping!$D:$D,$B16)&gt;0,"X","")</f>
        <v/>
      </c>
      <c r="BY16" s="114" t="str">
        <f>IF(COUNTIFS(mapping!$B:$B,BY$2,mapping!$D:$D,$B16)&gt;0,"X","")</f>
        <v/>
      </c>
      <c r="BZ16" s="114" t="str">
        <f>IF(COUNTIFS(mapping!$B:$B,BZ$2,mapping!$D:$D,$B16)&gt;0,"X","")</f>
        <v/>
      </c>
      <c r="CA16" s="114" t="str">
        <f>IF(COUNTIFS(mapping!$B:$B,CA$2,mapping!$D:$D,$B16)&gt;0,"X","")</f>
        <v/>
      </c>
      <c r="CB16" s="114" t="str">
        <f>IF(COUNTIFS(mapping!$B:$B,CB$2,mapping!$D:$D,$B16)&gt;0,"X","")</f>
        <v/>
      </c>
      <c r="CC16" s="114" t="str">
        <f>IF(COUNTIFS(mapping!$B:$B,CC$2,mapping!$D:$D,$B16)&gt;0,"X","")</f>
        <v/>
      </c>
      <c r="CD16" s="114" t="str">
        <f>IF(COUNTIFS(mapping!$B:$B,CD$2,mapping!$D:$D,$B16)&gt;0,"X","")</f>
        <v/>
      </c>
      <c r="CE16" s="114" t="str">
        <f>IF(COUNTIFS(mapping!$B:$B,CE$2,mapping!$D:$D,$B16)&gt;0,"X","")</f>
        <v/>
      </c>
      <c r="CF16" s="114" t="str">
        <f>IF(COUNTIFS(mapping!$B:$B,CF$2,mapping!$D:$D,$B16)&gt;0,"X","")</f>
        <v/>
      </c>
      <c r="CG16" s="114" t="str">
        <f>IF(COUNTIFS(mapping!$B:$B,CG$2,mapping!$D:$D,$B16)&gt;0,"X","")</f>
        <v/>
      </c>
      <c r="CH16" s="114" t="str">
        <f>IF(COUNTIFS(mapping!$B:$B,CH$2,mapping!$D:$D,$B16)&gt;0,"X","")</f>
        <v/>
      </c>
    </row>
    <row r="17" spans="1:86" ht="16">
      <c r="A17" s="257"/>
      <c r="B17" s="122" t="s">
        <v>505</v>
      </c>
      <c r="C17" s="114" t="s">
        <v>504</v>
      </c>
      <c r="E17" s="114" t="str">
        <f>IF(COUNTIFS(mapping!$B:$B,E$2,mapping!$D:$D,$B17)&gt;0,"X","")</f>
        <v/>
      </c>
      <c r="F17" s="114" t="str">
        <f>IF(COUNTIFS(mapping!$B:$B,F$2,mapping!$D:$D,$B17)&gt;0,"X","")</f>
        <v/>
      </c>
      <c r="G17" s="114" t="str">
        <f>IF(COUNTIFS(mapping!$B:$B,G$2,mapping!$D:$D,$B17)&gt;0,"X","")</f>
        <v/>
      </c>
      <c r="H17" s="114" t="str">
        <f>IF(COUNTIFS(mapping!$B:$B,H$2,mapping!$D:$D,$B17)&gt;0,"X","")</f>
        <v/>
      </c>
      <c r="I17" s="114" t="str">
        <f>IF(COUNTIFS(mapping!$B:$B,I$2,mapping!$D:$D,$B17)&gt;0,"X","")</f>
        <v/>
      </c>
      <c r="J17" s="114" t="str">
        <f>IF(COUNTIFS(mapping!$B:$B,J$2,mapping!$D:$D,$B17)&gt;0,"X","")</f>
        <v/>
      </c>
      <c r="K17" s="114" t="str">
        <f>IF(COUNTIFS(mapping!$B:$B,K$2,mapping!$D:$D,$B17)&gt;0,"X","")</f>
        <v/>
      </c>
      <c r="L17" s="114" t="str">
        <f>IF(COUNTIFS(mapping!$B:$B,L$2,mapping!$D:$D,$B17)&gt;0,"X","")</f>
        <v/>
      </c>
      <c r="M17" s="114" t="str">
        <f>IF(COUNTIFS(mapping!$B:$B,M$2,mapping!$D:$D,$B17)&gt;0,"X","")</f>
        <v/>
      </c>
      <c r="N17" s="114" t="str">
        <f>IF(COUNTIFS(mapping!$B:$B,N$2,mapping!$D:$D,$B17)&gt;0,"X","")</f>
        <v/>
      </c>
      <c r="O17" s="114" t="str">
        <f>IF(COUNTIFS(mapping!$B:$B,O$2,mapping!$D:$D,$B17)&gt;0,"X","")</f>
        <v/>
      </c>
      <c r="P17" s="114" t="str">
        <f>IF(COUNTIFS(mapping!$B:$B,P$2,mapping!$D:$D,$B17)&gt;0,"X","")</f>
        <v/>
      </c>
      <c r="Q17" s="114" t="str">
        <f>IF(COUNTIFS(mapping!$B:$B,Q$2,mapping!$D:$D,$B17)&gt;0,"X","")</f>
        <v/>
      </c>
      <c r="R17" s="114" t="str">
        <f>IF(COUNTIFS(mapping!$B:$B,R$2,mapping!$D:$D,$B17)&gt;0,"X","")</f>
        <v/>
      </c>
      <c r="S17" s="114" t="str">
        <f>IF(COUNTIFS(mapping!$B:$B,S$2,mapping!$D:$D,$B17)&gt;0,"X","")</f>
        <v/>
      </c>
      <c r="T17" s="114" t="str">
        <f>IF(COUNTIFS(mapping!$B:$B,T$2,mapping!$D:$D,$B17)&gt;0,"X","")</f>
        <v/>
      </c>
      <c r="U17" s="114" t="str">
        <f>IF(COUNTIFS(mapping!$B:$B,U$2,mapping!$D:$D,$B17)&gt;0,"X","")</f>
        <v/>
      </c>
      <c r="V17" s="114" t="str">
        <f>IF(COUNTIFS(mapping!$B:$B,V$2,mapping!$D:$D,$B17)&gt;0,"X","")</f>
        <v/>
      </c>
      <c r="W17" s="114" t="str">
        <f>IF(COUNTIFS(mapping!$B:$B,W$2,mapping!$D:$D,$B17)&gt;0,"X","")</f>
        <v/>
      </c>
      <c r="X17" s="114" t="str">
        <f>IF(COUNTIFS(mapping!$B:$B,X$2,mapping!$D:$D,$B17)&gt;0,"X","")</f>
        <v/>
      </c>
      <c r="Y17" s="114" t="str">
        <f>IF(COUNTIFS(mapping!$B:$B,Y$2,mapping!$D:$D,$B17)&gt;0,"X","")</f>
        <v>X</v>
      </c>
      <c r="Z17" s="114" t="str">
        <f>IF(COUNTIFS(mapping!$B:$B,Z$2,mapping!$D:$D,$B17)&gt;0,"X","")</f>
        <v>X</v>
      </c>
      <c r="AA17" s="114" t="str">
        <f>IF(COUNTIFS(mapping!$B:$B,AA$2,mapping!$D:$D,$B17)&gt;0,"X","")</f>
        <v/>
      </c>
      <c r="AB17" s="114" t="str">
        <f>IF(COUNTIFS(mapping!$B:$B,AB$2,mapping!$D:$D,$B17)&gt;0,"X","")</f>
        <v/>
      </c>
      <c r="AC17" s="114" t="str">
        <f>IF(COUNTIFS(mapping!$B:$B,AC$2,mapping!$D:$D,$B17)&gt;0,"X","")</f>
        <v/>
      </c>
      <c r="AD17" s="114" t="str">
        <f>IF(COUNTIFS(mapping!$B:$B,AD$2,mapping!$D:$D,$B17)&gt;0,"X","")</f>
        <v/>
      </c>
      <c r="AE17" s="114" t="str">
        <f>IF(COUNTIFS(mapping!$B:$B,AE$2,mapping!$D:$D,$B17)&gt;0,"X","")</f>
        <v/>
      </c>
      <c r="AF17" s="114" t="str">
        <f>IF(COUNTIFS(mapping!$B:$B,AF$2,mapping!$D:$D,$B17)&gt;0,"X","")</f>
        <v/>
      </c>
      <c r="AG17" s="114" t="str">
        <f>IF(COUNTIFS(mapping!$B:$B,AG$2,mapping!$D:$D,$B17)&gt;0,"X","")</f>
        <v/>
      </c>
      <c r="AH17" s="114" t="str">
        <f>IF(COUNTIFS(mapping!$B:$B,AH$2,mapping!$D:$D,$B17)&gt;0,"X","")</f>
        <v/>
      </c>
      <c r="AI17" s="114" t="str">
        <f>IF(COUNTIFS(mapping!$B:$B,AI$2,mapping!$D:$D,$B17)&gt;0,"X","")</f>
        <v/>
      </c>
      <c r="AJ17" s="114" t="str">
        <f>IF(COUNTIFS(mapping!$B:$B,AJ$2,mapping!$D:$D,$B17)&gt;0,"X","")</f>
        <v/>
      </c>
      <c r="AK17" s="114" t="str">
        <f>IF(COUNTIFS(mapping!$B:$B,AK$2,mapping!$D:$D,$B17)&gt;0,"X","")</f>
        <v>X</v>
      </c>
      <c r="AL17" s="114" t="str">
        <f>IF(COUNTIFS(mapping!$B:$B,AL$2,mapping!$D:$D,$B17)&gt;0,"X","")</f>
        <v/>
      </c>
      <c r="AM17" s="114" t="str">
        <f>IF(COUNTIFS(mapping!$B:$B,AM$2,mapping!$D:$D,$B17)&gt;0,"X","")</f>
        <v>X</v>
      </c>
      <c r="AN17" s="114" t="str">
        <f>IF(COUNTIFS(mapping!$B:$B,AN$2,mapping!$D:$D,$B17)&gt;0,"X","")</f>
        <v/>
      </c>
      <c r="AO17" s="114" t="str">
        <f>IF(COUNTIFS(mapping!$B:$B,AO$2,mapping!$D:$D,$B17)&gt;0,"X","")</f>
        <v/>
      </c>
      <c r="AP17" s="114" t="str">
        <f>IF(COUNTIFS(mapping!$B:$B,AP$2,mapping!$D:$D,$B17)&gt;0,"X","")</f>
        <v/>
      </c>
      <c r="AQ17" s="114" t="str">
        <f>IF(COUNTIFS(mapping!$B:$B,AQ$2,mapping!$D:$D,$B17)&gt;0,"X","")</f>
        <v/>
      </c>
      <c r="AR17" s="114" t="str">
        <f>IF(COUNTIFS(mapping!$B:$B,AR$2,mapping!$D:$D,$B17)&gt;0,"X","")</f>
        <v/>
      </c>
      <c r="AS17" s="114" t="str">
        <f>IF(COUNTIFS(mapping!$B:$B,AS$2,mapping!$D:$D,$B17)&gt;0,"X","")</f>
        <v/>
      </c>
      <c r="AT17" s="114" t="str">
        <f>IF(COUNTIFS(mapping!$B:$B,AT$2,mapping!$D:$D,$B17)&gt;0,"X","")</f>
        <v/>
      </c>
      <c r="AU17" s="114" t="str">
        <f>IF(COUNTIFS(mapping!$B:$B,AU$2,mapping!$D:$D,$B17)&gt;0,"X","")</f>
        <v/>
      </c>
      <c r="AV17" s="114" t="str">
        <f>IF(COUNTIFS(mapping!$B:$B,AV$2,mapping!$D:$D,$B17)&gt;0,"X","")</f>
        <v/>
      </c>
      <c r="AW17" s="114" t="str">
        <f>IF(COUNTIFS(mapping!$B:$B,AW$2,mapping!$D:$D,$B17)&gt;0,"X","")</f>
        <v/>
      </c>
      <c r="AX17" s="114" t="str">
        <f>IF(COUNTIFS(mapping!$B:$B,AX$2,mapping!$D:$D,$B17)&gt;0,"X","")</f>
        <v/>
      </c>
      <c r="AY17" s="114" t="str">
        <f>IF(COUNTIFS(mapping!$B:$B,AY$2,mapping!$D:$D,$B17)&gt;0,"X","")</f>
        <v/>
      </c>
      <c r="AZ17" s="114" t="str">
        <f>IF(COUNTIFS(mapping!$B:$B,AZ$2,mapping!$D:$D,$B17)&gt;0,"X","")</f>
        <v/>
      </c>
      <c r="BA17" s="114" t="str">
        <f>IF(COUNTIFS(mapping!$B:$B,BA$2,mapping!$D:$D,$B17)&gt;0,"X","")</f>
        <v>X</v>
      </c>
      <c r="BB17" s="114" t="str">
        <f>IF(COUNTIFS(mapping!$B:$B,BB$2,mapping!$D:$D,$B17)&gt;0,"X","")</f>
        <v/>
      </c>
      <c r="BC17" s="114" t="str">
        <f>IF(COUNTIFS(mapping!$B:$B,BC$2,mapping!$D:$D,$B17)&gt;0,"X","")</f>
        <v/>
      </c>
      <c r="BD17" s="114" t="str">
        <f>IF(COUNTIFS(mapping!$B:$B,BD$2,mapping!$D:$D,$B17)&gt;0,"X","")</f>
        <v/>
      </c>
      <c r="BE17" s="114" t="str">
        <f>IF(COUNTIFS(mapping!$B:$B,BE$2,mapping!$D:$D,$B17)&gt;0,"X","")</f>
        <v/>
      </c>
      <c r="BF17" s="114" t="str">
        <f>IF(COUNTIFS(mapping!$B:$B,BF$2,mapping!$D:$D,$B17)&gt;0,"X","")</f>
        <v/>
      </c>
      <c r="BG17" s="114" t="str">
        <f>IF(COUNTIFS(mapping!$B:$B,BG$2,mapping!$D:$D,$B17)&gt;0,"X","")</f>
        <v/>
      </c>
      <c r="BH17" s="114" t="str">
        <f>IF(COUNTIFS(mapping!$B:$B,BH$2,mapping!$D:$D,$B17)&gt;0,"X","")</f>
        <v/>
      </c>
      <c r="BI17" s="114" t="str">
        <f>IF(COUNTIFS(mapping!$B:$B,BI$2,mapping!$D:$D,$B17)&gt;0,"X","")</f>
        <v/>
      </c>
      <c r="BJ17" s="114" t="str">
        <f>IF(COUNTIFS(mapping!$B:$B,BJ$2,mapping!$D:$D,$B17)&gt;0,"X","")</f>
        <v/>
      </c>
      <c r="BK17" s="114" t="str">
        <f>IF(COUNTIFS(mapping!$B:$B,BK$2,mapping!$D:$D,$B17)&gt;0,"X","")</f>
        <v/>
      </c>
      <c r="BL17" s="114" t="str">
        <f>IF(COUNTIFS(mapping!$B:$B,BL$2,mapping!$D:$D,$B17)&gt;0,"X","")</f>
        <v/>
      </c>
      <c r="BM17" s="114" t="str">
        <f>IF(COUNTIFS(mapping!$B:$B,BM$2,mapping!$D:$D,$B17)&gt;0,"X","")</f>
        <v/>
      </c>
      <c r="BN17" s="114" t="str">
        <f>IF(COUNTIFS(mapping!$B:$B,BN$2,mapping!$D:$D,$B17)&gt;0,"X","")</f>
        <v/>
      </c>
      <c r="BO17" s="114" t="str">
        <f>IF(COUNTIFS(mapping!$B:$B,BO$2,mapping!$D:$D,$B17)&gt;0,"X","")</f>
        <v>X</v>
      </c>
      <c r="BP17" s="114" t="str">
        <f>IF(COUNTIFS(mapping!$B:$B,BP$2,mapping!$D:$D,$B17)&gt;0,"X","")</f>
        <v/>
      </c>
      <c r="BQ17" s="114" t="str">
        <f>IF(COUNTIFS(mapping!$B:$B,BQ$2,mapping!$D:$D,$B17)&gt;0,"X","")</f>
        <v/>
      </c>
      <c r="BR17" s="114" t="str">
        <f>IF(COUNTIFS(mapping!$B:$B,BR$2,mapping!$D:$D,$B17)&gt;0,"X","")</f>
        <v/>
      </c>
      <c r="BS17" s="114" t="str">
        <f>IF(COUNTIFS(mapping!$B:$B,BS$2,mapping!$D:$D,$B17)&gt;0,"X","")</f>
        <v/>
      </c>
      <c r="BT17" s="114" t="str">
        <f>IF(COUNTIFS(mapping!$B:$B,BT$2,mapping!$D:$D,$B17)&gt;0,"X","")</f>
        <v/>
      </c>
      <c r="BU17" s="114" t="str">
        <f>IF(COUNTIFS(mapping!$B:$B,BU$2,mapping!$D:$D,$B17)&gt;0,"X","")</f>
        <v/>
      </c>
      <c r="BV17" s="114" t="str">
        <f>IF(COUNTIFS(mapping!$B:$B,BV$2,mapping!$D:$D,$B17)&gt;0,"X","")</f>
        <v/>
      </c>
      <c r="BW17" s="114" t="str">
        <f>IF(COUNTIFS(mapping!$B:$B,BW$2,mapping!$D:$D,$B17)&gt;0,"X","")</f>
        <v/>
      </c>
      <c r="BX17" s="114" t="str">
        <f>IF(COUNTIFS(mapping!$B:$B,BX$2,mapping!$D:$D,$B17)&gt;0,"X","")</f>
        <v/>
      </c>
      <c r="BY17" s="114" t="str">
        <f>IF(COUNTIFS(mapping!$B:$B,BY$2,mapping!$D:$D,$B17)&gt;0,"X","")</f>
        <v/>
      </c>
      <c r="BZ17" s="114" t="str">
        <f>IF(COUNTIFS(mapping!$B:$B,BZ$2,mapping!$D:$D,$B17)&gt;0,"X","")</f>
        <v/>
      </c>
      <c r="CA17" s="114" t="str">
        <f>IF(COUNTIFS(mapping!$B:$B,CA$2,mapping!$D:$D,$B17)&gt;0,"X","")</f>
        <v/>
      </c>
      <c r="CB17" s="114" t="str">
        <f>IF(COUNTIFS(mapping!$B:$B,CB$2,mapping!$D:$D,$B17)&gt;0,"X","")</f>
        <v/>
      </c>
      <c r="CC17" s="114" t="str">
        <f>IF(COUNTIFS(mapping!$B:$B,CC$2,mapping!$D:$D,$B17)&gt;0,"X","")</f>
        <v/>
      </c>
      <c r="CD17" s="114" t="str">
        <f>IF(COUNTIFS(mapping!$B:$B,CD$2,mapping!$D:$D,$B17)&gt;0,"X","")</f>
        <v/>
      </c>
      <c r="CE17" s="114" t="str">
        <f>IF(COUNTIFS(mapping!$B:$B,CE$2,mapping!$D:$D,$B17)&gt;0,"X","")</f>
        <v/>
      </c>
      <c r="CF17" s="114" t="str">
        <f>IF(COUNTIFS(mapping!$B:$B,CF$2,mapping!$D:$D,$B17)&gt;0,"X","")</f>
        <v/>
      </c>
      <c r="CG17" s="114" t="str">
        <f>IF(COUNTIFS(mapping!$B:$B,CG$2,mapping!$D:$D,$B17)&gt;0,"X","")</f>
        <v/>
      </c>
      <c r="CH17" s="114" t="str">
        <f>IF(COUNTIFS(mapping!$B:$B,CH$2,mapping!$D:$D,$B17)&gt;0,"X","")</f>
        <v/>
      </c>
    </row>
    <row r="18" spans="1:86" ht="16">
      <c r="A18" s="257"/>
      <c r="B18" s="122" t="s">
        <v>503</v>
      </c>
      <c r="C18" s="114" t="s">
        <v>502</v>
      </c>
      <c r="E18" s="114" t="str">
        <f>IF(COUNTIFS(mapping!$B:$B,E$2,mapping!$D:$D,$B18)&gt;0,"X","")</f>
        <v/>
      </c>
      <c r="F18" s="114" t="str">
        <f>IF(COUNTIFS(mapping!$B:$B,F$2,mapping!$D:$D,$B18)&gt;0,"X","")</f>
        <v/>
      </c>
      <c r="G18" s="114" t="str">
        <f>IF(COUNTIFS(mapping!$B:$B,G$2,mapping!$D:$D,$B18)&gt;0,"X","")</f>
        <v/>
      </c>
      <c r="H18" s="114" t="str">
        <f>IF(COUNTIFS(mapping!$B:$B,H$2,mapping!$D:$D,$B18)&gt;0,"X","")</f>
        <v/>
      </c>
      <c r="I18" s="114" t="str">
        <f>IF(COUNTIFS(mapping!$B:$B,I$2,mapping!$D:$D,$B18)&gt;0,"X","")</f>
        <v/>
      </c>
      <c r="J18" s="114" t="str">
        <f>IF(COUNTIFS(mapping!$B:$B,J$2,mapping!$D:$D,$B18)&gt;0,"X","")</f>
        <v/>
      </c>
      <c r="K18" s="114" t="str">
        <f>IF(COUNTIFS(mapping!$B:$B,K$2,mapping!$D:$D,$B18)&gt;0,"X","")</f>
        <v/>
      </c>
      <c r="L18" s="114" t="str">
        <f>IF(COUNTIFS(mapping!$B:$B,L$2,mapping!$D:$D,$B18)&gt;0,"X","")</f>
        <v/>
      </c>
      <c r="M18" s="114" t="str">
        <f>IF(COUNTIFS(mapping!$B:$B,M$2,mapping!$D:$D,$B18)&gt;0,"X","")</f>
        <v/>
      </c>
      <c r="N18" s="114" t="str">
        <f>IF(COUNTIFS(mapping!$B:$B,N$2,mapping!$D:$D,$B18)&gt;0,"X","")</f>
        <v/>
      </c>
      <c r="O18" s="114" t="str">
        <f>IF(COUNTIFS(mapping!$B:$B,O$2,mapping!$D:$D,$B18)&gt;0,"X","")</f>
        <v/>
      </c>
      <c r="P18" s="114" t="str">
        <f>IF(COUNTIFS(mapping!$B:$B,P$2,mapping!$D:$D,$B18)&gt;0,"X","")</f>
        <v/>
      </c>
      <c r="Q18" s="114" t="str">
        <f>IF(COUNTIFS(mapping!$B:$B,Q$2,mapping!$D:$D,$B18)&gt;0,"X","")</f>
        <v/>
      </c>
      <c r="R18" s="114" t="str">
        <f>IF(COUNTIFS(mapping!$B:$B,R$2,mapping!$D:$D,$B18)&gt;0,"X","")</f>
        <v/>
      </c>
      <c r="S18" s="114" t="str">
        <f>IF(COUNTIFS(mapping!$B:$B,S$2,mapping!$D:$D,$B18)&gt;0,"X","")</f>
        <v/>
      </c>
      <c r="T18" s="114" t="str">
        <f>IF(COUNTIFS(mapping!$B:$B,T$2,mapping!$D:$D,$B18)&gt;0,"X","")</f>
        <v/>
      </c>
      <c r="U18" s="114" t="str">
        <f>IF(COUNTIFS(mapping!$B:$B,U$2,mapping!$D:$D,$B18)&gt;0,"X","")</f>
        <v/>
      </c>
      <c r="V18" s="114" t="str">
        <f>IF(COUNTIFS(mapping!$B:$B,V$2,mapping!$D:$D,$B18)&gt;0,"X","")</f>
        <v/>
      </c>
      <c r="W18" s="114" t="str">
        <f>IF(COUNTIFS(mapping!$B:$B,W$2,mapping!$D:$D,$B18)&gt;0,"X","")</f>
        <v/>
      </c>
      <c r="X18" s="114" t="str">
        <f>IF(COUNTIFS(mapping!$B:$B,X$2,mapping!$D:$D,$B18)&gt;0,"X","")</f>
        <v/>
      </c>
      <c r="Y18" s="114" t="str">
        <f>IF(COUNTIFS(mapping!$B:$B,Y$2,mapping!$D:$D,$B18)&gt;0,"X","")</f>
        <v/>
      </c>
      <c r="Z18" s="114" t="str">
        <f>IF(COUNTIFS(mapping!$B:$B,Z$2,mapping!$D:$D,$B18)&gt;0,"X","")</f>
        <v/>
      </c>
      <c r="AA18" s="114" t="str">
        <f>IF(COUNTIFS(mapping!$B:$B,AA$2,mapping!$D:$D,$B18)&gt;0,"X","")</f>
        <v/>
      </c>
      <c r="AB18" s="114" t="str">
        <f>IF(COUNTIFS(mapping!$B:$B,AB$2,mapping!$D:$D,$B18)&gt;0,"X","")</f>
        <v/>
      </c>
      <c r="AC18" s="114" t="str">
        <f>IF(COUNTIFS(mapping!$B:$B,AC$2,mapping!$D:$D,$B18)&gt;0,"X","")</f>
        <v/>
      </c>
      <c r="AD18" s="114" t="str">
        <f>IF(COUNTIFS(mapping!$B:$B,AD$2,mapping!$D:$D,$B18)&gt;0,"X","")</f>
        <v/>
      </c>
      <c r="AE18" s="114" t="str">
        <f>IF(COUNTIFS(mapping!$B:$B,AE$2,mapping!$D:$D,$B18)&gt;0,"X","")</f>
        <v/>
      </c>
      <c r="AF18" s="114" t="str">
        <f>IF(COUNTIFS(mapping!$B:$B,AF$2,mapping!$D:$D,$B18)&gt;0,"X","")</f>
        <v/>
      </c>
      <c r="AG18" s="114" t="str">
        <f>IF(COUNTIFS(mapping!$B:$B,AG$2,mapping!$D:$D,$B18)&gt;0,"X","")</f>
        <v/>
      </c>
      <c r="AH18" s="114" t="str">
        <f>IF(COUNTIFS(mapping!$B:$B,AH$2,mapping!$D:$D,$B18)&gt;0,"X","")</f>
        <v/>
      </c>
      <c r="AI18" s="114" t="str">
        <f>IF(COUNTIFS(mapping!$B:$B,AI$2,mapping!$D:$D,$B18)&gt;0,"X","")</f>
        <v/>
      </c>
      <c r="AJ18" s="114" t="str">
        <f>IF(COUNTIFS(mapping!$B:$B,AJ$2,mapping!$D:$D,$B18)&gt;0,"X","")</f>
        <v/>
      </c>
      <c r="AK18" s="114" t="str">
        <f>IF(COUNTIFS(mapping!$B:$B,AK$2,mapping!$D:$D,$B18)&gt;0,"X","")</f>
        <v>X</v>
      </c>
      <c r="AL18" s="114" t="str">
        <f>IF(COUNTIFS(mapping!$B:$B,AL$2,mapping!$D:$D,$B18)&gt;0,"X","")</f>
        <v/>
      </c>
      <c r="AM18" s="114" t="str">
        <f>IF(COUNTIFS(mapping!$B:$B,AM$2,mapping!$D:$D,$B18)&gt;0,"X","")</f>
        <v/>
      </c>
      <c r="AN18" s="114" t="str">
        <f>IF(COUNTIFS(mapping!$B:$B,AN$2,mapping!$D:$D,$B18)&gt;0,"X","")</f>
        <v/>
      </c>
      <c r="AO18" s="114" t="str">
        <f>IF(COUNTIFS(mapping!$B:$B,AO$2,mapping!$D:$D,$B18)&gt;0,"X","")</f>
        <v/>
      </c>
      <c r="AP18" s="114" t="str">
        <f>IF(COUNTIFS(mapping!$B:$B,AP$2,mapping!$D:$D,$B18)&gt;0,"X","")</f>
        <v/>
      </c>
      <c r="AQ18" s="114" t="str">
        <f>IF(COUNTIFS(mapping!$B:$B,AQ$2,mapping!$D:$D,$B18)&gt;0,"X","")</f>
        <v/>
      </c>
      <c r="AR18" s="114" t="str">
        <f>IF(COUNTIFS(mapping!$B:$B,AR$2,mapping!$D:$D,$B18)&gt;0,"X","")</f>
        <v/>
      </c>
      <c r="AS18" s="114" t="str">
        <f>IF(COUNTIFS(mapping!$B:$B,AS$2,mapping!$D:$D,$B18)&gt;0,"X","")</f>
        <v/>
      </c>
      <c r="AT18" s="114" t="str">
        <f>IF(COUNTIFS(mapping!$B:$B,AT$2,mapping!$D:$D,$B18)&gt;0,"X","")</f>
        <v/>
      </c>
      <c r="AU18" s="114" t="str">
        <f>IF(COUNTIFS(mapping!$B:$B,AU$2,mapping!$D:$D,$B18)&gt;0,"X","")</f>
        <v/>
      </c>
      <c r="AV18" s="114" t="str">
        <f>IF(COUNTIFS(mapping!$B:$B,AV$2,mapping!$D:$D,$B18)&gt;0,"X","")</f>
        <v/>
      </c>
      <c r="AW18" s="114" t="str">
        <f>IF(COUNTIFS(mapping!$B:$B,AW$2,mapping!$D:$D,$B18)&gt;0,"X","")</f>
        <v/>
      </c>
      <c r="AX18" s="114" t="str">
        <f>IF(COUNTIFS(mapping!$B:$B,AX$2,mapping!$D:$D,$B18)&gt;0,"X","")</f>
        <v/>
      </c>
      <c r="AY18" s="114" t="str">
        <f>IF(COUNTIFS(mapping!$B:$B,AY$2,mapping!$D:$D,$B18)&gt;0,"X","")</f>
        <v/>
      </c>
      <c r="AZ18" s="114" t="str">
        <f>IF(COUNTIFS(mapping!$B:$B,AZ$2,mapping!$D:$D,$B18)&gt;0,"X","")</f>
        <v/>
      </c>
      <c r="BA18" s="114" t="str">
        <f>IF(COUNTIFS(mapping!$B:$B,BA$2,mapping!$D:$D,$B18)&gt;0,"X","")</f>
        <v/>
      </c>
      <c r="BB18" s="114" t="str">
        <f>IF(COUNTIFS(mapping!$B:$B,BB$2,mapping!$D:$D,$B18)&gt;0,"X","")</f>
        <v/>
      </c>
      <c r="BC18" s="114" t="str">
        <f>IF(COUNTIFS(mapping!$B:$B,BC$2,mapping!$D:$D,$B18)&gt;0,"X","")</f>
        <v/>
      </c>
      <c r="BD18" s="114" t="str">
        <f>IF(COUNTIFS(mapping!$B:$B,BD$2,mapping!$D:$D,$B18)&gt;0,"X","")</f>
        <v/>
      </c>
      <c r="BE18" s="114" t="str">
        <f>IF(COUNTIFS(mapping!$B:$B,BE$2,mapping!$D:$D,$B18)&gt;0,"X","")</f>
        <v/>
      </c>
      <c r="BF18" s="114" t="str">
        <f>IF(COUNTIFS(mapping!$B:$B,BF$2,mapping!$D:$D,$B18)&gt;0,"X","")</f>
        <v/>
      </c>
      <c r="BG18" s="114" t="str">
        <f>IF(COUNTIFS(mapping!$B:$B,BG$2,mapping!$D:$D,$B18)&gt;0,"X","")</f>
        <v/>
      </c>
      <c r="BH18" s="114" t="str">
        <f>IF(COUNTIFS(mapping!$B:$B,BH$2,mapping!$D:$D,$B18)&gt;0,"X","")</f>
        <v/>
      </c>
      <c r="BI18" s="114" t="str">
        <f>IF(COUNTIFS(mapping!$B:$B,BI$2,mapping!$D:$D,$B18)&gt;0,"X","")</f>
        <v/>
      </c>
      <c r="BJ18" s="114" t="str">
        <f>IF(COUNTIFS(mapping!$B:$B,BJ$2,mapping!$D:$D,$B18)&gt;0,"X","")</f>
        <v/>
      </c>
      <c r="BK18" s="114" t="str">
        <f>IF(COUNTIFS(mapping!$B:$B,BK$2,mapping!$D:$D,$B18)&gt;0,"X","")</f>
        <v/>
      </c>
      <c r="BL18" s="114" t="str">
        <f>IF(COUNTIFS(mapping!$B:$B,BL$2,mapping!$D:$D,$B18)&gt;0,"X","")</f>
        <v/>
      </c>
      <c r="BM18" s="114" t="str">
        <f>IF(COUNTIFS(mapping!$B:$B,BM$2,mapping!$D:$D,$B18)&gt;0,"X","")</f>
        <v/>
      </c>
      <c r="BN18" s="114" t="str">
        <f>IF(COUNTIFS(mapping!$B:$B,BN$2,mapping!$D:$D,$B18)&gt;0,"X","")</f>
        <v/>
      </c>
      <c r="BO18" s="114" t="str">
        <f>IF(COUNTIFS(mapping!$B:$B,BO$2,mapping!$D:$D,$B18)&gt;0,"X","")</f>
        <v>X</v>
      </c>
      <c r="BP18" s="114" t="str">
        <f>IF(COUNTIFS(mapping!$B:$B,BP$2,mapping!$D:$D,$B18)&gt;0,"X","")</f>
        <v/>
      </c>
      <c r="BQ18" s="114" t="str">
        <f>IF(COUNTIFS(mapping!$B:$B,BQ$2,mapping!$D:$D,$B18)&gt;0,"X","")</f>
        <v/>
      </c>
      <c r="BR18" s="114" t="str">
        <f>IF(COUNTIFS(mapping!$B:$B,BR$2,mapping!$D:$D,$B18)&gt;0,"X","")</f>
        <v/>
      </c>
      <c r="BS18" s="114" t="str">
        <f>IF(COUNTIFS(mapping!$B:$B,BS$2,mapping!$D:$D,$B18)&gt;0,"X","")</f>
        <v/>
      </c>
      <c r="BT18" s="114" t="str">
        <f>IF(COUNTIFS(mapping!$B:$B,BT$2,mapping!$D:$D,$B18)&gt;0,"X","")</f>
        <v/>
      </c>
      <c r="BU18" s="114" t="str">
        <f>IF(COUNTIFS(mapping!$B:$B,BU$2,mapping!$D:$D,$B18)&gt;0,"X","")</f>
        <v/>
      </c>
      <c r="BV18" s="114" t="str">
        <f>IF(COUNTIFS(mapping!$B:$B,BV$2,mapping!$D:$D,$B18)&gt;0,"X","")</f>
        <v/>
      </c>
      <c r="BW18" s="114" t="str">
        <f>IF(COUNTIFS(mapping!$B:$B,BW$2,mapping!$D:$D,$B18)&gt;0,"X","")</f>
        <v/>
      </c>
      <c r="BX18" s="114" t="str">
        <f>IF(COUNTIFS(mapping!$B:$B,BX$2,mapping!$D:$D,$B18)&gt;0,"X","")</f>
        <v/>
      </c>
      <c r="BY18" s="114" t="str">
        <f>IF(COUNTIFS(mapping!$B:$B,BY$2,mapping!$D:$D,$B18)&gt;0,"X","")</f>
        <v/>
      </c>
      <c r="BZ18" s="114" t="str">
        <f>IF(COUNTIFS(mapping!$B:$B,BZ$2,mapping!$D:$D,$B18)&gt;0,"X","")</f>
        <v/>
      </c>
      <c r="CA18" s="114" t="str">
        <f>IF(COUNTIFS(mapping!$B:$B,CA$2,mapping!$D:$D,$B18)&gt;0,"X","")</f>
        <v/>
      </c>
      <c r="CB18" s="114" t="str">
        <f>IF(COUNTIFS(mapping!$B:$B,CB$2,mapping!$D:$D,$B18)&gt;0,"X","")</f>
        <v/>
      </c>
      <c r="CC18" s="114" t="str">
        <f>IF(COUNTIFS(mapping!$B:$B,CC$2,mapping!$D:$D,$B18)&gt;0,"X","")</f>
        <v/>
      </c>
      <c r="CD18" s="114" t="str">
        <f>IF(COUNTIFS(mapping!$B:$B,CD$2,mapping!$D:$D,$B18)&gt;0,"X","")</f>
        <v/>
      </c>
      <c r="CE18" s="114" t="str">
        <f>IF(COUNTIFS(mapping!$B:$B,CE$2,mapping!$D:$D,$B18)&gt;0,"X","")</f>
        <v/>
      </c>
      <c r="CF18" s="114" t="str">
        <f>IF(COUNTIFS(mapping!$B:$B,CF$2,mapping!$D:$D,$B18)&gt;0,"X","")</f>
        <v/>
      </c>
      <c r="CG18" s="114" t="str">
        <f>IF(COUNTIFS(mapping!$B:$B,CG$2,mapping!$D:$D,$B18)&gt;0,"X","")</f>
        <v/>
      </c>
      <c r="CH18" s="114" t="str">
        <f>IF(COUNTIFS(mapping!$B:$B,CH$2,mapping!$D:$D,$B18)&gt;0,"X","")</f>
        <v/>
      </c>
    </row>
    <row r="19" spans="1:86" ht="16">
      <c r="A19" s="257"/>
      <c r="B19" s="122" t="s">
        <v>501</v>
      </c>
      <c r="C19" s="114" t="s">
        <v>500</v>
      </c>
      <c r="E19" s="114" t="str">
        <f>IF(COUNTIFS(mapping!$B:$B,E$2,mapping!$D:$D,$B19)&gt;0,"X","")</f>
        <v/>
      </c>
      <c r="F19" s="114" t="str">
        <f>IF(COUNTIFS(mapping!$B:$B,F$2,mapping!$D:$D,$B19)&gt;0,"X","")</f>
        <v/>
      </c>
      <c r="G19" s="114" t="str">
        <f>IF(COUNTIFS(mapping!$B:$B,G$2,mapping!$D:$D,$B19)&gt;0,"X","")</f>
        <v/>
      </c>
      <c r="H19" s="114" t="str">
        <f>IF(COUNTIFS(mapping!$B:$B,H$2,mapping!$D:$D,$B19)&gt;0,"X","")</f>
        <v>X</v>
      </c>
      <c r="I19" s="114" t="str">
        <f>IF(COUNTIFS(mapping!$B:$B,I$2,mapping!$D:$D,$B19)&gt;0,"X","")</f>
        <v/>
      </c>
      <c r="J19" s="114" t="str">
        <f>IF(COUNTIFS(mapping!$B:$B,J$2,mapping!$D:$D,$B19)&gt;0,"X","")</f>
        <v/>
      </c>
      <c r="K19" s="114" t="str">
        <f>IF(COUNTIFS(mapping!$B:$B,K$2,mapping!$D:$D,$B19)&gt;0,"X","")</f>
        <v/>
      </c>
      <c r="L19" s="114" t="str">
        <f>IF(COUNTIFS(mapping!$B:$B,L$2,mapping!$D:$D,$B19)&gt;0,"X","")</f>
        <v/>
      </c>
      <c r="M19" s="114" t="str">
        <f>IF(COUNTIFS(mapping!$B:$B,M$2,mapping!$D:$D,$B19)&gt;0,"X","")</f>
        <v/>
      </c>
      <c r="N19" s="114" t="str">
        <f>IF(COUNTIFS(mapping!$B:$B,N$2,mapping!$D:$D,$B19)&gt;0,"X","")</f>
        <v/>
      </c>
      <c r="O19" s="114" t="str">
        <f>IF(COUNTIFS(mapping!$B:$B,O$2,mapping!$D:$D,$B19)&gt;0,"X","")</f>
        <v/>
      </c>
      <c r="P19" s="114" t="str">
        <f>IF(COUNTIFS(mapping!$B:$B,P$2,mapping!$D:$D,$B19)&gt;0,"X","")</f>
        <v/>
      </c>
      <c r="Q19" s="114" t="str">
        <f>IF(COUNTIFS(mapping!$B:$B,Q$2,mapping!$D:$D,$B19)&gt;0,"X","")</f>
        <v/>
      </c>
      <c r="R19" s="114" t="str">
        <f>IF(COUNTIFS(mapping!$B:$B,R$2,mapping!$D:$D,$B19)&gt;0,"X","")</f>
        <v/>
      </c>
      <c r="S19" s="114" t="str">
        <f>IF(COUNTIFS(mapping!$B:$B,S$2,mapping!$D:$D,$B19)&gt;0,"X","")</f>
        <v/>
      </c>
      <c r="T19" s="114" t="str">
        <f>IF(COUNTIFS(mapping!$B:$B,T$2,mapping!$D:$D,$B19)&gt;0,"X","")</f>
        <v/>
      </c>
      <c r="U19" s="114" t="str">
        <f>IF(COUNTIFS(mapping!$B:$B,U$2,mapping!$D:$D,$B19)&gt;0,"X","")</f>
        <v/>
      </c>
      <c r="V19" s="114" t="str">
        <f>IF(COUNTIFS(mapping!$B:$B,V$2,mapping!$D:$D,$B19)&gt;0,"X","")</f>
        <v/>
      </c>
      <c r="W19" s="114" t="str">
        <f>IF(COUNTIFS(mapping!$B:$B,W$2,mapping!$D:$D,$B19)&gt;0,"X","")</f>
        <v/>
      </c>
      <c r="X19" s="114" t="str">
        <f>IF(COUNTIFS(mapping!$B:$B,X$2,mapping!$D:$D,$B19)&gt;0,"X","")</f>
        <v/>
      </c>
      <c r="Y19" s="114" t="str">
        <f>IF(COUNTIFS(mapping!$B:$B,Y$2,mapping!$D:$D,$B19)&gt;0,"X","")</f>
        <v/>
      </c>
      <c r="Z19" s="114" t="str">
        <f>IF(COUNTIFS(mapping!$B:$B,Z$2,mapping!$D:$D,$B19)&gt;0,"X","")</f>
        <v/>
      </c>
      <c r="AA19" s="114" t="str">
        <f>IF(COUNTIFS(mapping!$B:$B,AA$2,mapping!$D:$D,$B19)&gt;0,"X","")</f>
        <v/>
      </c>
      <c r="AB19" s="114" t="str">
        <f>IF(COUNTIFS(mapping!$B:$B,AB$2,mapping!$D:$D,$B19)&gt;0,"X","")</f>
        <v/>
      </c>
      <c r="AC19" s="114" t="str">
        <f>IF(COUNTIFS(mapping!$B:$B,AC$2,mapping!$D:$D,$B19)&gt;0,"X","")</f>
        <v/>
      </c>
      <c r="AD19" s="114" t="str">
        <f>IF(COUNTIFS(mapping!$B:$B,AD$2,mapping!$D:$D,$B19)&gt;0,"X","")</f>
        <v>X</v>
      </c>
      <c r="AE19" s="114" t="str">
        <f>IF(COUNTIFS(mapping!$B:$B,AE$2,mapping!$D:$D,$B19)&gt;0,"X","")</f>
        <v/>
      </c>
      <c r="AF19" s="114" t="str">
        <f>IF(COUNTIFS(mapping!$B:$B,AF$2,mapping!$D:$D,$B19)&gt;0,"X","")</f>
        <v/>
      </c>
      <c r="AG19" s="114" t="str">
        <f>IF(COUNTIFS(mapping!$B:$B,AG$2,mapping!$D:$D,$B19)&gt;0,"X","")</f>
        <v/>
      </c>
      <c r="AH19" s="114" t="str">
        <f>IF(COUNTIFS(mapping!$B:$B,AH$2,mapping!$D:$D,$B19)&gt;0,"X","")</f>
        <v/>
      </c>
      <c r="AI19" s="114" t="str">
        <f>IF(COUNTIFS(mapping!$B:$B,AI$2,mapping!$D:$D,$B19)&gt;0,"X","")</f>
        <v/>
      </c>
      <c r="AJ19" s="114" t="str">
        <f>IF(COUNTIFS(mapping!$B:$B,AJ$2,mapping!$D:$D,$B19)&gt;0,"X","")</f>
        <v>X</v>
      </c>
      <c r="AK19" s="114" t="str">
        <f>IF(COUNTIFS(mapping!$B:$B,AK$2,mapping!$D:$D,$B19)&gt;0,"X","")</f>
        <v/>
      </c>
      <c r="AL19" s="114" t="str">
        <f>IF(COUNTIFS(mapping!$B:$B,AL$2,mapping!$D:$D,$B19)&gt;0,"X","")</f>
        <v>X</v>
      </c>
      <c r="AM19" s="114" t="str">
        <f>IF(COUNTIFS(mapping!$B:$B,AM$2,mapping!$D:$D,$B19)&gt;0,"X","")</f>
        <v/>
      </c>
      <c r="AN19" s="114" t="str">
        <f>IF(COUNTIFS(mapping!$B:$B,AN$2,mapping!$D:$D,$B19)&gt;0,"X","")</f>
        <v/>
      </c>
      <c r="AO19" s="114" t="str">
        <f>IF(COUNTIFS(mapping!$B:$B,AO$2,mapping!$D:$D,$B19)&gt;0,"X","")</f>
        <v/>
      </c>
      <c r="AP19" s="114" t="str">
        <f>IF(COUNTIFS(mapping!$B:$B,AP$2,mapping!$D:$D,$B19)&gt;0,"X","")</f>
        <v/>
      </c>
      <c r="AQ19" s="114" t="str">
        <f>IF(COUNTIFS(mapping!$B:$B,AQ$2,mapping!$D:$D,$B19)&gt;0,"X","")</f>
        <v/>
      </c>
      <c r="AR19" s="114" t="str">
        <f>IF(COUNTIFS(mapping!$B:$B,AR$2,mapping!$D:$D,$B19)&gt;0,"X","")</f>
        <v>X</v>
      </c>
      <c r="AS19" s="114" t="str">
        <f>IF(COUNTIFS(mapping!$B:$B,AS$2,mapping!$D:$D,$B19)&gt;0,"X","")</f>
        <v/>
      </c>
      <c r="AT19" s="114" t="str">
        <f>IF(COUNTIFS(mapping!$B:$B,AT$2,mapping!$D:$D,$B19)&gt;0,"X","")</f>
        <v/>
      </c>
      <c r="AU19" s="114" t="str">
        <f>IF(COUNTIFS(mapping!$B:$B,AU$2,mapping!$D:$D,$B19)&gt;0,"X","")</f>
        <v/>
      </c>
      <c r="AV19" s="114" t="str">
        <f>IF(COUNTIFS(mapping!$B:$B,AV$2,mapping!$D:$D,$B19)&gt;0,"X","")</f>
        <v/>
      </c>
      <c r="AW19" s="114" t="str">
        <f>IF(COUNTIFS(mapping!$B:$B,AW$2,mapping!$D:$D,$B19)&gt;0,"X","")</f>
        <v/>
      </c>
      <c r="AX19" s="114" t="str">
        <f>IF(COUNTIFS(mapping!$B:$B,AX$2,mapping!$D:$D,$B19)&gt;0,"X","")</f>
        <v/>
      </c>
      <c r="AY19" s="114" t="str">
        <f>IF(COUNTIFS(mapping!$B:$B,AY$2,mapping!$D:$D,$B19)&gt;0,"X","")</f>
        <v/>
      </c>
      <c r="AZ19" s="114" t="str">
        <f>IF(COUNTIFS(mapping!$B:$B,AZ$2,mapping!$D:$D,$B19)&gt;0,"X","")</f>
        <v/>
      </c>
      <c r="BA19" s="114" t="str">
        <f>IF(COUNTIFS(mapping!$B:$B,BA$2,mapping!$D:$D,$B19)&gt;0,"X","")</f>
        <v/>
      </c>
      <c r="BB19" s="114" t="str">
        <f>IF(COUNTIFS(mapping!$B:$B,BB$2,mapping!$D:$D,$B19)&gt;0,"X","")</f>
        <v/>
      </c>
      <c r="BC19" s="114" t="str">
        <f>IF(COUNTIFS(mapping!$B:$B,BC$2,mapping!$D:$D,$B19)&gt;0,"X","")</f>
        <v/>
      </c>
      <c r="BD19" s="114" t="str">
        <f>IF(COUNTIFS(mapping!$B:$B,BD$2,mapping!$D:$D,$B19)&gt;0,"X","")</f>
        <v/>
      </c>
      <c r="BE19" s="114" t="str">
        <f>IF(COUNTIFS(mapping!$B:$B,BE$2,mapping!$D:$D,$B19)&gt;0,"X","")</f>
        <v/>
      </c>
      <c r="BF19" s="114" t="str">
        <f>IF(COUNTIFS(mapping!$B:$B,BF$2,mapping!$D:$D,$B19)&gt;0,"X","")</f>
        <v/>
      </c>
      <c r="BG19" s="114" t="str">
        <f>IF(COUNTIFS(mapping!$B:$B,BG$2,mapping!$D:$D,$B19)&gt;0,"X","")</f>
        <v/>
      </c>
      <c r="BH19" s="114" t="str">
        <f>IF(COUNTIFS(mapping!$B:$B,BH$2,mapping!$D:$D,$B19)&gt;0,"X","")</f>
        <v/>
      </c>
      <c r="BI19" s="114" t="str">
        <f>IF(COUNTIFS(mapping!$B:$B,BI$2,mapping!$D:$D,$B19)&gt;0,"X","")</f>
        <v/>
      </c>
      <c r="BJ19" s="114" t="str">
        <f>IF(COUNTIFS(mapping!$B:$B,BJ$2,mapping!$D:$D,$B19)&gt;0,"X","")</f>
        <v/>
      </c>
      <c r="BK19" s="114" t="str">
        <f>IF(COUNTIFS(mapping!$B:$B,BK$2,mapping!$D:$D,$B19)&gt;0,"X","")</f>
        <v/>
      </c>
      <c r="BL19" s="114" t="str">
        <f>IF(COUNTIFS(mapping!$B:$B,BL$2,mapping!$D:$D,$B19)&gt;0,"X","")</f>
        <v/>
      </c>
      <c r="BM19" s="114" t="str">
        <f>IF(COUNTIFS(mapping!$B:$B,BM$2,mapping!$D:$D,$B19)&gt;0,"X","")</f>
        <v/>
      </c>
      <c r="BN19" s="114" t="str">
        <f>IF(COUNTIFS(mapping!$B:$B,BN$2,mapping!$D:$D,$B19)&gt;0,"X","")</f>
        <v/>
      </c>
      <c r="BO19" s="114" t="str">
        <f>IF(COUNTIFS(mapping!$B:$B,BO$2,mapping!$D:$D,$B19)&gt;0,"X","")</f>
        <v/>
      </c>
      <c r="BP19" s="114" t="str">
        <f>IF(COUNTIFS(mapping!$B:$B,BP$2,mapping!$D:$D,$B19)&gt;0,"X","")</f>
        <v>X</v>
      </c>
      <c r="BQ19" s="114" t="str">
        <f>IF(COUNTIFS(mapping!$B:$B,BQ$2,mapping!$D:$D,$B19)&gt;0,"X","")</f>
        <v/>
      </c>
      <c r="BR19" s="114" t="str">
        <f>IF(COUNTIFS(mapping!$B:$B,BR$2,mapping!$D:$D,$B19)&gt;0,"X","")</f>
        <v/>
      </c>
      <c r="BS19" s="114" t="str">
        <f>IF(COUNTIFS(mapping!$B:$B,BS$2,mapping!$D:$D,$B19)&gt;0,"X","")</f>
        <v/>
      </c>
      <c r="BT19" s="114" t="str">
        <f>IF(COUNTIFS(mapping!$B:$B,BT$2,mapping!$D:$D,$B19)&gt;0,"X","")</f>
        <v/>
      </c>
      <c r="BU19" s="114" t="str">
        <f>IF(COUNTIFS(mapping!$B:$B,BU$2,mapping!$D:$D,$B19)&gt;0,"X","")</f>
        <v/>
      </c>
      <c r="BV19" s="114" t="str">
        <f>IF(COUNTIFS(mapping!$B:$B,BV$2,mapping!$D:$D,$B19)&gt;0,"X","")</f>
        <v>X</v>
      </c>
      <c r="BW19" s="114" t="str">
        <f>IF(COUNTIFS(mapping!$B:$B,BW$2,mapping!$D:$D,$B19)&gt;0,"X","")</f>
        <v/>
      </c>
      <c r="BX19" s="114" t="str">
        <f>IF(COUNTIFS(mapping!$B:$B,BX$2,mapping!$D:$D,$B19)&gt;0,"X","")</f>
        <v/>
      </c>
      <c r="BY19" s="114" t="str">
        <f>IF(COUNTIFS(mapping!$B:$B,BY$2,mapping!$D:$D,$B19)&gt;0,"X","")</f>
        <v/>
      </c>
      <c r="BZ19" s="114" t="str">
        <f>IF(COUNTIFS(mapping!$B:$B,BZ$2,mapping!$D:$D,$B19)&gt;0,"X","")</f>
        <v/>
      </c>
      <c r="CA19" s="114" t="str">
        <f>IF(COUNTIFS(mapping!$B:$B,CA$2,mapping!$D:$D,$B19)&gt;0,"X","")</f>
        <v/>
      </c>
      <c r="CB19" s="114" t="str">
        <f>IF(COUNTIFS(mapping!$B:$B,CB$2,mapping!$D:$D,$B19)&gt;0,"X","")</f>
        <v/>
      </c>
      <c r="CC19" s="114" t="str">
        <f>IF(COUNTIFS(mapping!$B:$B,CC$2,mapping!$D:$D,$B19)&gt;0,"X","")</f>
        <v/>
      </c>
      <c r="CD19" s="114" t="str">
        <f>IF(COUNTIFS(mapping!$B:$B,CD$2,mapping!$D:$D,$B19)&gt;0,"X","")</f>
        <v/>
      </c>
      <c r="CE19" s="114" t="str">
        <f>IF(COUNTIFS(mapping!$B:$B,CE$2,mapping!$D:$D,$B19)&gt;0,"X","")</f>
        <v/>
      </c>
      <c r="CF19" s="114" t="str">
        <f>IF(COUNTIFS(mapping!$B:$B,CF$2,mapping!$D:$D,$B19)&gt;0,"X","")</f>
        <v/>
      </c>
      <c r="CG19" s="114" t="str">
        <f>IF(COUNTIFS(mapping!$B:$B,CG$2,mapping!$D:$D,$B19)&gt;0,"X","")</f>
        <v>X</v>
      </c>
      <c r="CH19" s="114" t="str">
        <f>IF(COUNTIFS(mapping!$B:$B,CH$2,mapping!$D:$D,$B19)&gt;0,"X","")</f>
        <v/>
      </c>
    </row>
    <row r="20" spans="1:86" ht="16">
      <c r="A20" s="257"/>
      <c r="B20" s="122" t="s">
        <v>499</v>
      </c>
      <c r="C20" s="114" t="s">
        <v>498</v>
      </c>
      <c r="E20" s="114" t="str">
        <f>IF(COUNTIFS(mapping!$B:$B,E$2,mapping!$D:$D,$B20)&gt;0,"X","")</f>
        <v/>
      </c>
      <c r="F20" s="114" t="str">
        <f>IF(COUNTIFS(mapping!$B:$B,F$2,mapping!$D:$D,$B20)&gt;0,"X","")</f>
        <v/>
      </c>
      <c r="G20" s="114" t="str">
        <f>IF(COUNTIFS(mapping!$B:$B,G$2,mapping!$D:$D,$B20)&gt;0,"X","")</f>
        <v/>
      </c>
      <c r="H20" s="114" t="str">
        <f>IF(COUNTIFS(mapping!$B:$B,H$2,mapping!$D:$D,$B20)&gt;0,"X","")</f>
        <v>X</v>
      </c>
      <c r="I20" s="114" t="str">
        <f>IF(COUNTIFS(mapping!$B:$B,I$2,mapping!$D:$D,$B20)&gt;0,"X","")</f>
        <v/>
      </c>
      <c r="J20" s="114" t="str">
        <f>IF(COUNTIFS(mapping!$B:$B,J$2,mapping!$D:$D,$B20)&gt;0,"X","")</f>
        <v/>
      </c>
      <c r="K20" s="114" t="str">
        <f>IF(COUNTIFS(mapping!$B:$B,K$2,mapping!$D:$D,$B20)&gt;0,"X","")</f>
        <v/>
      </c>
      <c r="L20" s="114" t="str">
        <f>IF(COUNTIFS(mapping!$B:$B,L$2,mapping!$D:$D,$B20)&gt;0,"X","")</f>
        <v/>
      </c>
      <c r="M20" s="114" t="str">
        <f>IF(COUNTIFS(mapping!$B:$B,M$2,mapping!$D:$D,$B20)&gt;0,"X","")</f>
        <v/>
      </c>
      <c r="N20" s="114" t="str">
        <f>IF(COUNTIFS(mapping!$B:$B,N$2,mapping!$D:$D,$B20)&gt;0,"X","")</f>
        <v/>
      </c>
      <c r="O20" s="114" t="str">
        <f>IF(COUNTIFS(mapping!$B:$B,O$2,mapping!$D:$D,$B20)&gt;0,"X","")</f>
        <v/>
      </c>
      <c r="P20" s="114" t="str">
        <f>IF(COUNTIFS(mapping!$B:$B,P$2,mapping!$D:$D,$B20)&gt;0,"X","")</f>
        <v/>
      </c>
      <c r="Q20" s="114" t="str">
        <f>IF(COUNTIFS(mapping!$B:$B,Q$2,mapping!$D:$D,$B20)&gt;0,"X","")</f>
        <v/>
      </c>
      <c r="R20" s="114" t="str">
        <f>IF(COUNTIFS(mapping!$B:$B,R$2,mapping!$D:$D,$B20)&gt;0,"X","")</f>
        <v/>
      </c>
      <c r="S20" s="114" t="str">
        <f>IF(COUNTIFS(mapping!$B:$B,S$2,mapping!$D:$D,$B20)&gt;0,"X","")</f>
        <v/>
      </c>
      <c r="T20" s="114" t="str">
        <f>IF(COUNTIFS(mapping!$B:$B,T$2,mapping!$D:$D,$B20)&gt;0,"X","")</f>
        <v/>
      </c>
      <c r="U20" s="114" t="str">
        <f>IF(COUNTIFS(mapping!$B:$B,U$2,mapping!$D:$D,$B20)&gt;0,"X","")</f>
        <v/>
      </c>
      <c r="V20" s="114" t="str">
        <f>IF(COUNTIFS(mapping!$B:$B,V$2,mapping!$D:$D,$B20)&gt;0,"X","")</f>
        <v/>
      </c>
      <c r="W20" s="114" t="str">
        <f>IF(COUNTIFS(mapping!$B:$B,W$2,mapping!$D:$D,$B20)&gt;0,"X","")</f>
        <v/>
      </c>
      <c r="X20" s="114" t="str">
        <f>IF(COUNTIFS(mapping!$B:$B,X$2,mapping!$D:$D,$B20)&gt;0,"X","")</f>
        <v/>
      </c>
      <c r="Y20" s="114" t="str">
        <f>IF(COUNTIFS(mapping!$B:$B,Y$2,mapping!$D:$D,$B20)&gt;0,"X","")</f>
        <v/>
      </c>
      <c r="Z20" s="114" t="str">
        <f>IF(COUNTIFS(mapping!$B:$B,Z$2,mapping!$D:$D,$B20)&gt;0,"X","")</f>
        <v/>
      </c>
      <c r="AA20" s="114" t="str">
        <f>IF(COUNTIFS(mapping!$B:$B,AA$2,mapping!$D:$D,$B20)&gt;0,"X","")</f>
        <v/>
      </c>
      <c r="AB20" s="114" t="str">
        <f>IF(COUNTIFS(mapping!$B:$B,AB$2,mapping!$D:$D,$B20)&gt;0,"X","")</f>
        <v/>
      </c>
      <c r="AC20" s="114" t="str">
        <f>IF(COUNTIFS(mapping!$B:$B,AC$2,mapping!$D:$D,$B20)&gt;0,"X","")</f>
        <v/>
      </c>
      <c r="AD20" s="114" t="str">
        <f>IF(COUNTIFS(mapping!$B:$B,AD$2,mapping!$D:$D,$B20)&gt;0,"X","")</f>
        <v>X</v>
      </c>
      <c r="AE20" s="114" t="str">
        <f>IF(COUNTIFS(mapping!$B:$B,AE$2,mapping!$D:$D,$B20)&gt;0,"X","")</f>
        <v/>
      </c>
      <c r="AF20" s="114" t="str">
        <f>IF(COUNTIFS(mapping!$B:$B,AF$2,mapping!$D:$D,$B20)&gt;0,"X","")</f>
        <v/>
      </c>
      <c r="AG20" s="114" t="str">
        <f>IF(COUNTIFS(mapping!$B:$B,AG$2,mapping!$D:$D,$B20)&gt;0,"X","")</f>
        <v/>
      </c>
      <c r="AH20" s="114" t="str">
        <f>IF(COUNTIFS(mapping!$B:$B,AH$2,mapping!$D:$D,$B20)&gt;0,"X","")</f>
        <v/>
      </c>
      <c r="AI20" s="114" t="str">
        <f>IF(COUNTIFS(mapping!$B:$B,AI$2,mapping!$D:$D,$B20)&gt;0,"X","")</f>
        <v/>
      </c>
      <c r="AJ20" s="114" t="str">
        <f>IF(COUNTIFS(mapping!$B:$B,AJ$2,mapping!$D:$D,$B20)&gt;0,"X","")</f>
        <v>X</v>
      </c>
      <c r="AK20" s="114" t="str">
        <f>IF(COUNTIFS(mapping!$B:$B,AK$2,mapping!$D:$D,$B20)&gt;0,"X","")</f>
        <v/>
      </c>
      <c r="AL20" s="114" t="str">
        <f>IF(COUNTIFS(mapping!$B:$B,AL$2,mapping!$D:$D,$B20)&gt;0,"X","")</f>
        <v>X</v>
      </c>
      <c r="AM20" s="114" t="str">
        <f>IF(COUNTIFS(mapping!$B:$B,AM$2,mapping!$D:$D,$B20)&gt;0,"X","")</f>
        <v/>
      </c>
      <c r="AN20" s="114" t="str">
        <f>IF(COUNTIFS(mapping!$B:$B,AN$2,mapping!$D:$D,$B20)&gt;0,"X","")</f>
        <v/>
      </c>
      <c r="AO20" s="114" t="str">
        <f>IF(COUNTIFS(mapping!$B:$B,AO$2,mapping!$D:$D,$B20)&gt;0,"X","")</f>
        <v/>
      </c>
      <c r="AP20" s="114" t="str">
        <f>IF(COUNTIFS(mapping!$B:$B,AP$2,mapping!$D:$D,$B20)&gt;0,"X","")</f>
        <v/>
      </c>
      <c r="AQ20" s="114" t="str">
        <f>IF(COUNTIFS(mapping!$B:$B,AQ$2,mapping!$D:$D,$B20)&gt;0,"X","")</f>
        <v/>
      </c>
      <c r="AR20" s="114" t="str">
        <f>IF(COUNTIFS(mapping!$B:$B,AR$2,mapping!$D:$D,$B20)&gt;0,"X","")</f>
        <v/>
      </c>
      <c r="AS20" s="114" t="str">
        <f>IF(COUNTIFS(mapping!$B:$B,AS$2,mapping!$D:$D,$B20)&gt;0,"X","")</f>
        <v/>
      </c>
      <c r="AT20" s="114" t="str">
        <f>IF(COUNTIFS(mapping!$B:$B,AT$2,mapping!$D:$D,$B20)&gt;0,"X","")</f>
        <v>X</v>
      </c>
      <c r="AU20" s="114" t="str">
        <f>IF(COUNTIFS(mapping!$B:$B,AU$2,mapping!$D:$D,$B20)&gt;0,"X","")</f>
        <v/>
      </c>
      <c r="AV20" s="114" t="str">
        <f>IF(COUNTIFS(mapping!$B:$B,AV$2,mapping!$D:$D,$B20)&gt;0,"X","")</f>
        <v/>
      </c>
      <c r="AW20" s="114" t="str">
        <f>IF(COUNTIFS(mapping!$B:$B,AW$2,mapping!$D:$D,$B20)&gt;0,"X","")</f>
        <v/>
      </c>
      <c r="AX20" s="114" t="str">
        <f>IF(COUNTIFS(mapping!$B:$B,AX$2,mapping!$D:$D,$B20)&gt;0,"X","")</f>
        <v/>
      </c>
      <c r="AY20" s="114" t="str">
        <f>IF(COUNTIFS(mapping!$B:$B,AY$2,mapping!$D:$D,$B20)&gt;0,"X","")</f>
        <v/>
      </c>
      <c r="AZ20" s="114" t="str">
        <f>IF(COUNTIFS(mapping!$B:$B,AZ$2,mapping!$D:$D,$B20)&gt;0,"X","")</f>
        <v/>
      </c>
      <c r="BA20" s="114" t="str">
        <f>IF(COUNTIFS(mapping!$B:$B,BA$2,mapping!$D:$D,$B20)&gt;0,"X","")</f>
        <v/>
      </c>
      <c r="BB20" s="114" t="str">
        <f>IF(COUNTIFS(mapping!$B:$B,BB$2,mapping!$D:$D,$B20)&gt;0,"X","")</f>
        <v/>
      </c>
      <c r="BC20" s="114" t="str">
        <f>IF(COUNTIFS(mapping!$B:$B,BC$2,mapping!$D:$D,$B20)&gt;0,"X","")</f>
        <v/>
      </c>
      <c r="BD20" s="114" t="str">
        <f>IF(COUNTIFS(mapping!$B:$B,BD$2,mapping!$D:$D,$B20)&gt;0,"X","")</f>
        <v/>
      </c>
      <c r="BE20" s="114" t="str">
        <f>IF(COUNTIFS(mapping!$B:$B,BE$2,mapping!$D:$D,$B20)&gt;0,"X","")</f>
        <v/>
      </c>
      <c r="BF20" s="114" t="str">
        <f>IF(COUNTIFS(mapping!$B:$B,BF$2,mapping!$D:$D,$B20)&gt;0,"X","")</f>
        <v/>
      </c>
      <c r="BG20" s="114" t="str">
        <f>IF(COUNTIFS(mapping!$B:$B,BG$2,mapping!$D:$D,$B20)&gt;0,"X","")</f>
        <v/>
      </c>
      <c r="BH20" s="114" t="str">
        <f>IF(COUNTIFS(mapping!$B:$B,BH$2,mapping!$D:$D,$B20)&gt;0,"X","")</f>
        <v/>
      </c>
      <c r="BI20" s="114" t="str">
        <f>IF(COUNTIFS(mapping!$B:$B,BI$2,mapping!$D:$D,$B20)&gt;0,"X","")</f>
        <v/>
      </c>
      <c r="BJ20" s="114" t="str">
        <f>IF(COUNTIFS(mapping!$B:$B,BJ$2,mapping!$D:$D,$B20)&gt;0,"X","")</f>
        <v/>
      </c>
      <c r="BK20" s="114" t="str">
        <f>IF(COUNTIFS(mapping!$B:$B,BK$2,mapping!$D:$D,$B20)&gt;0,"X","")</f>
        <v/>
      </c>
      <c r="BL20" s="114" t="str">
        <f>IF(COUNTIFS(mapping!$B:$B,BL$2,mapping!$D:$D,$B20)&gt;0,"X","")</f>
        <v/>
      </c>
      <c r="BM20" s="114" t="str">
        <f>IF(COUNTIFS(mapping!$B:$B,BM$2,mapping!$D:$D,$B20)&gt;0,"X","")</f>
        <v/>
      </c>
      <c r="BN20" s="114" t="str">
        <f>IF(COUNTIFS(mapping!$B:$B,BN$2,mapping!$D:$D,$B20)&gt;0,"X","")</f>
        <v/>
      </c>
      <c r="BO20" s="114" t="str">
        <f>IF(COUNTIFS(mapping!$B:$B,BO$2,mapping!$D:$D,$B20)&gt;0,"X","")</f>
        <v/>
      </c>
      <c r="BP20" s="114" t="str">
        <f>IF(COUNTIFS(mapping!$B:$B,BP$2,mapping!$D:$D,$B20)&gt;0,"X","")</f>
        <v>X</v>
      </c>
      <c r="BQ20" s="114" t="str">
        <f>IF(COUNTIFS(mapping!$B:$B,BQ$2,mapping!$D:$D,$B20)&gt;0,"X","")</f>
        <v/>
      </c>
      <c r="BR20" s="114" t="str">
        <f>IF(COUNTIFS(mapping!$B:$B,BR$2,mapping!$D:$D,$B20)&gt;0,"X","")</f>
        <v/>
      </c>
      <c r="BS20" s="114" t="str">
        <f>IF(COUNTIFS(mapping!$B:$B,BS$2,mapping!$D:$D,$B20)&gt;0,"X","")</f>
        <v/>
      </c>
      <c r="BT20" s="114" t="str">
        <f>IF(COUNTIFS(mapping!$B:$B,BT$2,mapping!$D:$D,$B20)&gt;0,"X","")</f>
        <v/>
      </c>
      <c r="BU20" s="114" t="str">
        <f>IF(COUNTIFS(mapping!$B:$B,BU$2,mapping!$D:$D,$B20)&gt;0,"X","")</f>
        <v/>
      </c>
      <c r="BV20" s="114" t="str">
        <f>IF(COUNTIFS(mapping!$B:$B,BV$2,mapping!$D:$D,$B20)&gt;0,"X","")</f>
        <v>X</v>
      </c>
      <c r="BW20" s="114" t="str">
        <f>IF(COUNTIFS(mapping!$B:$B,BW$2,mapping!$D:$D,$B20)&gt;0,"X","")</f>
        <v/>
      </c>
      <c r="BX20" s="114" t="str">
        <f>IF(COUNTIFS(mapping!$B:$B,BX$2,mapping!$D:$D,$B20)&gt;0,"X","")</f>
        <v/>
      </c>
      <c r="BY20" s="114" t="str">
        <f>IF(COUNTIFS(mapping!$B:$B,BY$2,mapping!$D:$D,$B20)&gt;0,"X","")</f>
        <v/>
      </c>
      <c r="BZ20" s="114" t="str">
        <f>IF(COUNTIFS(mapping!$B:$B,BZ$2,mapping!$D:$D,$B20)&gt;0,"X","")</f>
        <v/>
      </c>
      <c r="CA20" s="114" t="str">
        <f>IF(COUNTIFS(mapping!$B:$B,CA$2,mapping!$D:$D,$B20)&gt;0,"X","")</f>
        <v/>
      </c>
      <c r="CB20" s="114" t="str">
        <f>IF(COUNTIFS(mapping!$B:$B,CB$2,mapping!$D:$D,$B20)&gt;0,"X","")</f>
        <v/>
      </c>
      <c r="CC20" s="114" t="str">
        <f>IF(COUNTIFS(mapping!$B:$B,CC$2,mapping!$D:$D,$B20)&gt;0,"X","")</f>
        <v/>
      </c>
      <c r="CD20" s="114" t="str">
        <f>IF(COUNTIFS(mapping!$B:$B,CD$2,mapping!$D:$D,$B20)&gt;0,"X","")</f>
        <v/>
      </c>
      <c r="CE20" s="114" t="str">
        <f>IF(COUNTIFS(mapping!$B:$B,CE$2,mapping!$D:$D,$B20)&gt;0,"X","")</f>
        <v/>
      </c>
      <c r="CF20" s="114" t="str">
        <f>IF(COUNTIFS(mapping!$B:$B,CF$2,mapping!$D:$D,$B20)&gt;0,"X","")</f>
        <v/>
      </c>
      <c r="CG20" s="114" t="str">
        <f>IF(COUNTIFS(mapping!$B:$B,CG$2,mapping!$D:$D,$B20)&gt;0,"X","")</f>
        <v>X</v>
      </c>
      <c r="CH20" s="114" t="str">
        <f>IF(COUNTIFS(mapping!$B:$B,CH$2,mapping!$D:$D,$B20)&gt;0,"X","")</f>
        <v/>
      </c>
    </row>
    <row r="21" spans="1:86" ht="16">
      <c r="A21" s="257"/>
      <c r="B21" s="122" t="s">
        <v>497</v>
      </c>
      <c r="C21" s="114" t="s">
        <v>496</v>
      </c>
      <c r="E21" s="114" t="str">
        <f>IF(COUNTIFS(mapping!$B:$B,E$2,mapping!$D:$D,$B21)&gt;0,"X","")</f>
        <v/>
      </c>
      <c r="F21" s="114" t="str">
        <f>IF(COUNTIFS(mapping!$B:$B,F$2,mapping!$D:$D,$B21)&gt;0,"X","")</f>
        <v/>
      </c>
      <c r="G21" s="114" t="str">
        <f>IF(COUNTIFS(mapping!$B:$B,G$2,mapping!$D:$D,$B21)&gt;0,"X","")</f>
        <v/>
      </c>
      <c r="H21" s="114" t="str">
        <f>IF(COUNTIFS(mapping!$B:$B,H$2,mapping!$D:$D,$B21)&gt;0,"X","")</f>
        <v>X</v>
      </c>
      <c r="I21" s="114" t="str">
        <f>IF(COUNTIFS(mapping!$B:$B,I$2,mapping!$D:$D,$B21)&gt;0,"X","")</f>
        <v/>
      </c>
      <c r="J21" s="114" t="str">
        <f>IF(COUNTIFS(mapping!$B:$B,J$2,mapping!$D:$D,$B21)&gt;0,"X","")</f>
        <v/>
      </c>
      <c r="K21" s="114" t="str">
        <f>IF(COUNTIFS(mapping!$B:$B,K$2,mapping!$D:$D,$B21)&gt;0,"X","")</f>
        <v/>
      </c>
      <c r="L21" s="114" t="str">
        <f>IF(COUNTIFS(mapping!$B:$B,L$2,mapping!$D:$D,$B21)&gt;0,"X","")</f>
        <v/>
      </c>
      <c r="M21" s="114" t="str">
        <f>IF(COUNTIFS(mapping!$B:$B,M$2,mapping!$D:$D,$B21)&gt;0,"X","")</f>
        <v/>
      </c>
      <c r="N21" s="114" t="str">
        <f>IF(COUNTIFS(mapping!$B:$B,N$2,mapping!$D:$D,$B21)&gt;0,"X","")</f>
        <v/>
      </c>
      <c r="O21" s="114" t="str">
        <f>IF(COUNTIFS(mapping!$B:$B,O$2,mapping!$D:$D,$B21)&gt;0,"X","")</f>
        <v/>
      </c>
      <c r="P21" s="114" t="str">
        <f>IF(COUNTIFS(mapping!$B:$B,P$2,mapping!$D:$D,$B21)&gt;0,"X","")</f>
        <v/>
      </c>
      <c r="Q21" s="114" t="str">
        <f>IF(COUNTIFS(mapping!$B:$B,Q$2,mapping!$D:$D,$B21)&gt;0,"X","")</f>
        <v/>
      </c>
      <c r="R21" s="114" t="str">
        <f>IF(COUNTIFS(mapping!$B:$B,R$2,mapping!$D:$D,$B21)&gt;0,"X","")</f>
        <v/>
      </c>
      <c r="S21" s="114" t="str">
        <f>IF(COUNTIFS(mapping!$B:$B,S$2,mapping!$D:$D,$B21)&gt;0,"X","")</f>
        <v/>
      </c>
      <c r="T21" s="114" t="str">
        <f>IF(COUNTIFS(mapping!$B:$B,T$2,mapping!$D:$D,$B21)&gt;0,"X","")</f>
        <v/>
      </c>
      <c r="U21" s="114" t="str">
        <f>IF(COUNTIFS(mapping!$B:$B,U$2,mapping!$D:$D,$B21)&gt;0,"X","")</f>
        <v/>
      </c>
      <c r="V21" s="114" t="str">
        <f>IF(COUNTIFS(mapping!$B:$B,V$2,mapping!$D:$D,$B21)&gt;0,"X","")</f>
        <v/>
      </c>
      <c r="W21" s="114" t="str">
        <f>IF(COUNTIFS(mapping!$B:$B,W$2,mapping!$D:$D,$B21)&gt;0,"X","")</f>
        <v/>
      </c>
      <c r="X21" s="114" t="str">
        <f>IF(COUNTIFS(mapping!$B:$B,X$2,mapping!$D:$D,$B21)&gt;0,"X","")</f>
        <v/>
      </c>
      <c r="Y21" s="114" t="str">
        <f>IF(COUNTIFS(mapping!$B:$B,Y$2,mapping!$D:$D,$B21)&gt;0,"X","")</f>
        <v/>
      </c>
      <c r="Z21" s="114" t="str">
        <f>IF(COUNTIFS(mapping!$B:$B,Z$2,mapping!$D:$D,$B21)&gt;0,"X","")</f>
        <v/>
      </c>
      <c r="AA21" s="114" t="str">
        <f>IF(COUNTIFS(mapping!$B:$B,AA$2,mapping!$D:$D,$B21)&gt;0,"X","")</f>
        <v/>
      </c>
      <c r="AB21" s="114" t="str">
        <f>IF(COUNTIFS(mapping!$B:$B,AB$2,mapping!$D:$D,$B21)&gt;0,"X","")</f>
        <v/>
      </c>
      <c r="AC21" s="114" t="str">
        <f>IF(COUNTIFS(mapping!$B:$B,AC$2,mapping!$D:$D,$B21)&gt;0,"X","")</f>
        <v/>
      </c>
      <c r="AD21" s="114" t="str">
        <f>IF(COUNTIFS(mapping!$B:$B,AD$2,mapping!$D:$D,$B21)&gt;0,"X","")</f>
        <v>X</v>
      </c>
      <c r="AE21" s="114" t="str">
        <f>IF(COUNTIFS(mapping!$B:$B,AE$2,mapping!$D:$D,$B21)&gt;0,"X","")</f>
        <v/>
      </c>
      <c r="AF21" s="114" t="str">
        <f>IF(COUNTIFS(mapping!$B:$B,AF$2,mapping!$D:$D,$B21)&gt;0,"X","")</f>
        <v/>
      </c>
      <c r="AG21" s="114" t="str">
        <f>IF(COUNTIFS(mapping!$B:$B,AG$2,mapping!$D:$D,$B21)&gt;0,"X","")</f>
        <v/>
      </c>
      <c r="AH21" s="114" t="str">
        <f>IF(COUNTIFS(mapping!$B:$B,AH$2,mapping!$D:$D,$B21)&gt;0,"X","")</f>
        <v/>
      </c>
      <c r="AI21" s="114" t="str">
        <f>IF(COUNTIFS(mapping!$B:$B,AI$2,mapping!$D:$D,$B21)&gt;0,"X","")</f>
        <v/>
      </c>
      <c r="AJ21" s="114" t="str">
        <f>IF(COUNTIFS(mapping!$B:$B,AJ$2,mapping!$D:$D,$B21)&gt;0,"X","")</f>
        <v>X</v>
      </c>
      <c r="AK21" s="114" t="str">
        <f>IF(COUNTIFS(mapping!$B:$B,AK$2,mapping!$D:$D,$B21)&gt;0,"X","")</f>
        <v/>
      </c>
      <c r="AL21" s="114" t="str">
        <f>IF(COUNTIFS(mapping!$B:$B,AL$2,mapping!$D:$D,$B21)&gt;0,"X","")</f>
        <v>X</v>
      </c>
      <c r="AM21" s="114" t="str">
        <f>IF(COUNTIFS(mapping!$B:$B,AM$2,mapping!$D:$D,$B21)&gt;0,"X","")</f>
        <v/>
      </c>
      <c r="AN21" s="114" t="str">
        <f>IF(COUNTIFS(mapping!$B:$B,AN$2,mapping!$D:$D,$B21)&gt;0,"X","")</f>
        <v/>
      </c>
      <c r="AO21" s="114" t="str">
        <f>IF(COUNTIFS(mapping!$B:$B,AO$2,mapping!$D:$D,$B21)&gt;0,"X","")</f>
        <v/>
      </c>
      <c r="AP21" s="114" t="str">
        <f>IF(COUNTIFS(mapping!$B:$B,AP$2,mapping!$D:$D,$B21)&gt;0,"X","")</f>
        <v/>
      </c>
      <c r="AQ21" s="114" t="str">
        <f>IF(COUNTIFS(mapping!$B:$B,AQ$2,mapping!$D:$D,$B21)&gt;0,"X","")</f>
        <v/>
      </c>
      <c r="AR21" s="114" t="str">
        <f>IF(COUNTIFS(mapping!$B:$B,AR$2,mapping!$D:$D,$B21)&gt;0,"X","")</f>
        <v>X</v>
      </c>
      <c r="AS21" s="114" t="str">
        <f>IF(COUNTIFS(mapping!$B:$B,AS$2,mapping!$D:$D,$B21)&gt;0,"X","")</f>
        <v/>
      </c>
      <c r="AT21" s="114" t="str">
        <f>IF(COUNTIFS(mapping!$B:$B,AT$2,mapping!$D:$D,$B21)&gt;0,"X","")</f>
        <v/>
      </c>
      <c r="AU21" s="114" t="str">
        <f>IF(COUNTIFS(mapping!$B:$B,AU$2,mapping!$D:$D,$B21)&gt;0,"X","")</f>
        <v/>
      </c>
      <c r="AV21" s="114" t="str">
        <f>IF(COUNTIFS(mapping!$B:$B,AV$2,mapping!$D:$D,$B21)&gt;0,"X","")</f>
        <v/>
      </c>
      <c r="AW21" s="114" t="str">
        <f>IF(COUNTIFS(mapping!$B:$B,AW$2,mapping!$D:$D,$B21)&gt;0,"X","")</f>
        <v/>
      </c>
      <c r="AX21" s="114" t="str">
        <f>IF(COUNTIFS(mapping!$B:$B,AX$2,mapping!$D:$D,$B21)&gt;0,"X","")</f>
        <v/>
      </c>
      <c r="AY21" s="114" t="str">
        <f>IF(COUNTIFS(mapping!$B:$B,AY$2,mapping!$D:$D,$B21)&gt;0,"X","")</f>
        <v/>
      </c>
      <c r="AZ21" s="114" t="str">
        <f>IF(COUNTIFS(mapping!$B:$B,AZ$2,mapping!$D:$D,$B21)&gt;0,"X","")</f>
        <v/>
      </c>
      <c r="BA21" s="114" t="str">
        <f>IF(COUNTIFS(mapping!$B:$B,BA$2,mapping!$D:$D,$B21)&gt;0,"X","")</f>
        <v/>
      </c>
      <c r="BB21" s="114" t="str">
        <f>IF(COUNTIFS(mapping!$B:$B,BB$2,mapping!$D:$D,$B21)&gt;0,"X","")</f>
        <v/>
      </c>
      <c r="BC21" s="114" t="str">
        <f>IF(COUNTIFS(mapping!$B:$B,BC$2,mapping!$D:$D,$B21)&gt;0,"X","")</f>
        <v/>
      </c>
      <c r="BD21" s="114" t="str">
        <f>IF(COUNTIFS(mapping!$B:$B,BD$2,mapping!$D:$D,$B21)&gt;0,"X","")</f>
        <v/>
      </c>
      <c r="BE21" s="114" t="str">
        <f>IF(COUNTIFS(mapping!$B:$B,BE$2,mapping!$D:$D,$B21)&gt;0,"X","")</f>
        <v/>
      </c>
      <c r="BF21" s="114" t="str">
        <f>IF(COUNTIFS(mapping!$B:$B,BF$2,mapping!$D:$D,$B21)&gt;0,"X","")</f>
        <v/>
      </c>
      <c r="BG21" s="114" t="str">
        <f>IF(COUNTIFS(mapping!$B:$B,BG$2,mapping!$D:$D,$B21)&gt;0,"X","")</f>
        <v/>
      </c>
      <c r="BH21" s="114" t="str">
        <f>IF(COUNTIFS(mapping!$B:$B,BH$2,mapping!$D:$D,$B21)&gt;0,"X","")</f>
        <v/>
      </c>
      <c r="BI21" s="114" t="str">
        <f>IF(COUNTIFS(mapping!$B:$B,BI$2,mapping!$D:$D,$B21)&gt;0,"X","")</f>
        <v/>
      </c>
      <c r="BJ21" s="114" t="str">
        <f>IF(COUNTIFS(mapping!$B:$B,BJ$2,mapping!$D:$D,$B21)&gt;0,"X","")</f>
        <v/>
      </c>
      <c r="BK21" s="114" t="str">
        <f>IF(COUNTIFS(mapping!$B:$B,BK$2,mapping!$D:$D,$B21)&gt;0,"X","")</f>
        <v/>
      </c>
      <c r="BL21" s="114" t="str">
        <f>IF(COUNTIFS(mapping!$B:$B,BL$2,mapping!$D:$D,$B21)&gt;0,"X","")</f>
        <v/>
      </c>
      <c r="BM21" s="114" t="str">
        <f>IF(COUNTIFS(mapping!$B:$B,BM$2,mapping!$D:$D,$B21)&gt;0,"X","")</f>
        <v/>
      </c>
      <c r="BN21" s="114" t="str">
        <f>IF(COUNTIFS(mapping!$B:$B,BN$2,mapping!$D:$D,$B21)&gt;0,"X","")</f>
        <v/>
      </c>
      <c r="BO21" s="114" t="str">
        <f>IF(COUNTIFS(mapping!$B:$B,BO$2,mapping!$D:$D,$B21)&gt;0,"X","")</f>
        <v/>
      </c>
      <c r="BP21" s="114" t="str">
        <f>IF(COUNTIFS(mapping!$B:$B,BP$2,mapping!$D:$D,$B21)&gt;0,"X","")</f>
        <v>X</v>
      </c>
      <c r="BQ21" s="114" t="str">
        <f>IF(COUNTIFS(mapping!$B:$B,BQ$2,mapping!$D:$D,$B21)&gt;0,"X","")</f>
        <v/>
      </c>
      <c r="BR21" s="114" t="str">
        <f>IF(COUNTIFS(mapping!$B:$B,BR$2,mapping!$D:$D,$B21)&gt;0,"X","")</f>
        <v/>
      </c>
      <c r="BS21" s="114" t="str">
        <f>IF(COUNTIFS(mapping!$B:$B,BS$2,mapping!$D:$D,$B21)&gt;0,"X","")</f>
        <v/>
      </c>
      <c r="BT21" s="114" t="str">
        <f>IF(COUNTIFS(mapping!$B:$B,BT$2,mapping!$D:$D,$B21)&gt;0,"X","")</f>
        <v/>
      </c>
      <c r="BU21" s="114" t="str">
        <f>IF(COUNTIFS(mapping!$B:$B,BU$2,mapping!$D:$D,$B21)&gt;0,"X","")</f>
        <v/>
      </c>
      <c r="BV21" s="114" t="str">
        <f>IF(COUNTIFS(mapping!$B:$B,BV$2,mapping!$D:$D,$B21)&gt;0,"X","")</f>
        <v>X</v>
      </c>
      <c r="BW21" s="114" t="str">
        <f>IF(COUNTIFS(mapping!$B:$B,BW$2,mapping!$D:$D,$B21)&gt;0,"X","")</f>
        <v/>
      </c>
      <c r="BX21" s="114" t="str">
        <f>IF(COUNTIFS(mapping!$B:$B,BX$2,mapping!$D:$D,$B21)&gt;0,"X","")</f>
        <v/>
      </c>
      <c r="BY21" s="114" t="str">
        <f>IF(COUNTIFS(mapping!$B:$B,BY$2,mapping!$D:$D,$B21)&gt;0,"X","")</f>
        <v/>
      </c>
      <c r="BZ21" s="114" t="str">
        <f>IF(COUNTIFS(mapping!$B:$B,BZ$2,mapping!$D:$D,$B21)&gt;0,"X","")</f>
        <v/>
      </c>
      <c r="CA21" s="114" t="str">
        <f>IF(COUNTIFS(mapping!$B:$B,CA$2,mapping!$D:$D,$B21)&gt;0,"X","")</f>
        <v/>
      </c>
      <c r="CB21" s="114" t="str">
        <f>IF(COUNTIFS(mapping!$B:$B,CB$2,mapping!$D:$D,$B21)&gt;0,"X","")</f>
        <v/>
      </c>
      <c r="CC21" s="114" t="str">
        <f>IF(COUNTIFS(mapping!$B:$B,CC$2,mapping!$D:$D,$B21)&gt;0,"X","")</f>
        <v/>
      </c>
      <c r="CD21" s="114" t="str">
        <f>IF(COUNTIFS(mapping!$B:$B,CD$2,mapping!$D:$D,$B21)&gt;0,"X","")</f>
        <v/>
      </c>
      <c r="CE21" s="114" t="str">
        <f>IF(COUNTIFS(mapping!$B:$B,CE$2,mapping!$D:$D,$B21)&gt;0,"X","")</f>
        <v/>
      </c>
      <c r="CF21" s="114" t="str">
        <f>IF(COUNTIFS(mapping!$B:$B,CF$2,mapping!$D:$D,$B21)&gt;0,"X","")</f>
        <v/>
      </c>
      <c r="CG21" s="114" t="str">
        <f>IF(COUNTIFS(mapping!$B:$B,CG$2,mapping!$D:$D,$B21)&gt;0,"X","")</f>
        <v>X</v>
      </c>
      <c r="CH21" s="114" t="str">
        <f>IF(COUNTIFS(mapping!$B:$B,CH$2,mapping!$D:$D,$B21)&gt;0,"X","")</f>
        <v/>
      </c>
    </row>
    <row r="22" spans="1:86" ht="16">
      <c r="A22" s="257"/>
      <c r="B22" s="122" t="s">
        <v>495</v>
      </c>
      <c r="C22" s="114" t="s">
        <v>494</v>
      </c>
      <c r="E22" s="114" t="str">
        <f>IF(COUNTIFS(mapping!$B:$B,E$2,mapping!$D:$D,$B22)&gt;0,"X","")</f>
        <v/>
      </c>
      <c r="F22" s="114" t="str">
        <f>IF(COUNTIFS(mapping!$B:$B,F$2,mapping!$D:$D,$B22)&gt;0,"X","")</f>
        <v/>
      </c>
      <c r="G22" s="114" t="str">
        <f>IF(COUNTIFS(mapping!$B:$B,G$2,mapping!$D:$D,$B22)&gt;0,"X","")</f>
        <v/>
      </c>
      <c r="H22" s="114" t="str">
        <f>IF(COUNTIFS(mapping!$B:$B,H$2,mapping!$D:$D,$B22)&gt;0,"X","")</f>
        <v/>
      </c>
      <c r="I22" s="114" t="str">
        <f>IF(COUNTIFS(mapping!$B:$B,I$2,mapping!$D:$D,$B22)&gt;0,"X","")</f>
        <v/>
      </c>
      <c r="J22" s="114" t="str">
        <f>IF(COUNTIFS(mapping!$B:$B,J$2,mapping!$D:$D,$B22)&gt;0,"X","")</f>
        <v/>
      </c>
      <c r="K22" s="114" t="str">
        <f>IF(COUNTIFS(mapping!$B:$B,K$2,mapping!$D:$D,$B22)&gt;0,"X","")</f>
        <v/>
      </c>
      <c r="L22" s="114" t="str">
        <f>IF(COUNTIFS(mapping!$B:$B,L$2,mapping!$D:$D,$B22)&gt;0,"X","")</f>
        <v/>
      </c>
      <c r="M22" s="114" t="str">
        <f>IF(COUNTIFS(mapping!$B:$B,M$2,mapping!$D:$D,$B22)&gt;0,"X","")</f>
        <v/>
      </c>
      <c r="N22" s="114" t="str">
        <f>IF(COUNTIFS(mapping!$B:$B,N$2,mapping!$D:$D,$B22)&gt;0,"X","")</f>
        <v/>
      </c>
      <c r="O22" s="114" t="str">
        <f>IF(COUNTIFS(mapping!$B:$B,O$2,mapping!$D:$D,$B22)&gt;0,"X","")</f>
        <v/>
      </c>
      <c r="P22" s="114" t="str">
        <f>IF(COUNTIFS(mapping!$B:$B,P$2,mapping!$D:$D,$B22)&gt;0,"X","")</f>
        <v/>
      </c>
      <c r="Q22" s="114" t="str">
        <f>IF(COUNTIFS(mapping!$B:$B,Q$2,mapping!$D:$D,$B22)&gt;0,"X","")</f>
        <v/>
      </c>
      <c r="R22" s="114" t="str">
        <f>IF(COUNTIFS(mapping!$B:$B,R$2,mapping!$D:$D,$B22)&gt;0,"X","")</f>
        <v/>
      </c>
      <c r="S22" s="114" t="str">
        <f>IF(COUNTIFS(mapping!$B:$B,S$2,mapping!$D:$D,$B22)&gt;0,"X","")</f>
        <v/>
      </c>
      <c r="T22" s="114" t="str">
        <f>IF(COUNTIFS(mapping!$B:$B,T$2,mapping!$D:$D,$B22)&gt;0,"X","")</f>
        <v/>
      </c>
      <c r="U22" s="114" t="str">
        <f>IF(COUNTIFS(mapping!$B:$B,U$2,mapping!$D:$D,$B22)&gt;0,"X","")</f>
        <v/>
      </c>
      <c r="V22" s="114" t="str">
        <f>IF(COUNTIFS(mapping!$B:$B,V$2,mapping!$D:$D,$B22)&gt;0,"X","")</f>
        <v/>
      </c>
      <c r="W22" s="114" t="str">
        <f>IF(COUNTIFS(mapping!$B:$B,W$2,mapping!$D:$D,$B22)&gt;0,"X","")</f>
        <v/>
      </c>
      <c r="X22" s="114" t="str">
        <f>IF(COUNTIFS(mapping!$B:$B,X$2,mapping!$D:$D,$B22)&gt;0,"X","")</f>
        <v/>
      </c>
      <c r="Y22" s="114" t="str">
        <f>IF(COUNTIFS(mapping!$B:$B,Y$2,mapping!$D:$D,$B22)&gt;0,"X","")</f>
        <v/>
      </c>
      <c r="Z22" s="114" t="str">
        <f>IF(COUNTIFS(mapping!$B:$B,Z$2,mapping!$D:$D,$B22)&gt;0,"X","")</f>
        <v/>
      </c>
      <c r="AA22" s="114" t="str">
        <f>IF(COUNTIFS(mapping!$B:$B,AA$2,mapping!$D:$D,$B22)&gt;0,"X","")</f>
        <v/>
      </c>
      <c r="AB22" s="114" t="str">
        <f>IF(COUNTIFS(mapping!$B:$B,AB$2,mapping!$D:$D,$B22)&gt;0,"X","")</f>
        <v/>
      </c>
      <c r="AC22" s="114" t="str">
        <f>IF(COUNTIFS(mapping!$B:$B,AC$2,mapping!$D:$D,$B22)&gt;0,"X","")</f>
        <v/>
      </c>
      <c r="AD22" s="114" t="str">
        <f>IF(COUNTIFS(mapping!$B:$B,AD$2,mapping!$D:$D,$B22)&gt;0,"X","")</f>
        <v/>
      </c>
      <c r="AE22" s="114" t="str">
        <f>IF(COUNTIFS(mapping!$B:$B,AE$2,mapping!$D:$D,$B22)&gt;0,"X","")</f>
        <v/>
      </c>
      <c r="AF22" s="114" t="str">
        <f>IF(COUNTIFS(mapping!$B:$B,AF$2,mapping!$D:$D,$B22)&gt;0,"X","")</f>
        <v/>
      </c>
      <c r="AG22" s="114" t="str">
        <f>IF(COUNTIFS(mapping!$B:$B,AG$2,mapping!$D:$D,$B22)&gt;0,"X","")</f>
        <v/>
      </c>
      <c r="AH22" s="114" t="str">
        <f>IF(COUNTIFS(mapping!$B:$B,AH$2,mapping!$D:$D,$B22)&gt;0,"X","")</f>
        <v/>
      </c>
      <c r="AI22" s="114" t="str">
        <f>IF(COUNTIFS(mapping!$B:$B,AI$2,mapping!$D:$D,$B22)&gt;0,"X","")</f>
        <v/>
      </c>
      <c r="AJ22" s="114" t="str">
        <f>IF(COUNTIFS(mapping!$B:$B,AJ$2,mapping!$D:$D,$B22)&gt;0,"X","")</f>
        <v/>
      </c>
      <c r="AK22" s="114" t="str">
        <f>IF(COUNTIFS(mapping!$B:$B,AK$2,mapping!$D:$D,$B22)&gt;0,"X","")</f>
        <v>X</v>
      </c>
      <c r="AL22" s="114" t="str">
        <f>IF(COUNTIFS(mapping!$B:$B,AL$2,mapping!$D:$D,$B22)&gt;0,"X","")</f>
        <v/>
      </c>
      <c r="AM22" s="114" t="str">
        <f>IF(COUNTIFS(mapping!$B:$B,AM$2,mapping!$D:$D,$B22)&gt;0,"X","")</f>
        <v/>
      </c>
      <c r="AN22" s="114" t="str">
        <f>IF(COUNTIFS(mapping!$B:$B,AN$2,mapping!$D:$D,$B22)&gt;0,"X","")</f>
        <v/>
      </c>
      <c r="AO22" s="114" t="str">
        <f>IF(COUNTIFS(mapping!$B:$B,AO$2,mapping!$D:$D,$B22)&gt;0,"X","")</f>
        <v/>
      </c>
      <c r="AP22" s="114" t="str">
        <f>IF(COUNTIFS(mapping!$B:$B,AP$2,mapping!$D:$D,$B22)&gt;0,"X","")</f>
        <v/>
      </c>
      <c r="AQ22" s="114" t="str">
        <f>IF(COUNTIFS(mapping!$B:$B,AQ$2,mapping!$D:$D,$B22)&gt;0,"X","")</f>
        <v/>
      </c>
      <c r="AR22" s="114" t="str">
        <f>IF(COUNTIFS(mapping!$B:$B,AR$2,mapping!$D:$D,$B22)&gt;0,"X","")</f>
        <v/>
      </c>
      <c r="AS22" s="114" t="str">
        <f>IF(COUNTIFS(mapping!$B:$B,AS$2,mapping!$D:$D,$B22)&gt;0,"X","")</f>
        <v/>
      </c>
      <c r="AT22" s="114" t="str">
        <f>IF(COUNTIFS(mapping!$B:$B,AT$2,mapping!$D:$D,$B22)&gt;0,"X","")</f>
        <v/>
      </c>
      <c r="AU22" s="114" t="str">
        <f>IF(COUNTIFS(mapping!$B:$B,AU$2,mapping!$D:$D,$B22)&gt;0,"X","")</f>
        <v/>
      </c>
      <c r="AV22" s="114" t="str">
        <f>IF(COUNTIFS(mapping!$B:$B,AV$2,mapping!$D:$D,$B22)&gt;0,"X","")</f>
        <v/>
      </c>
      <c r="AW22" s="114" t="str">
        <f>IF(COUNTIFS(mapping!$B:$B,AW$2,mapping!$D:$D,$B22)&gt;0,"X","")</f>
        <v/>
      </c>
      <c r="AX22" s="114" t="str">
        <f>IF(COUNTIFS(mapping!$B:$B,AX$2,mapping!$D:$D,$B22)&gt;0,"X","")</f>
        <v/>
      </c>
      <c r="AY22" s="114" t="str">
        <f>IF(COUNTIFS(mapping!$B:$B,AY$2,mapping!$D:$D,$B22)&gt;0,"X","")</f>
        <v/>
      </c>
      <c r="AZ22" s="114" t="str">
        <f>IF(COUNTIFS(mapping!$B:$B,AZ$2,mapping!$D:$D,$B22)&gt;0,"X","")</f>
        <v/>
      </c>
      <c r="BA22" s="114" t="str">
        <f>IF(COUNTIFS(mapping!$B:$B,BA$2,mapping!$D:$D,$B22)&gt;0,"X","")</f>
        <v/>
      </c>
      <c r="BB22" s="114" t="str">
        <f>IF(COUNTIFS(mapping!$B:$B,BB$2,mapping!$D:$D,$B22)&gt;0,"X","")</f>
        <v/>
      </c>
      <c r="BC22" s="114" t="str">
        <f>IF(COUNTIFS(mapping!$B:$B,BC$2,mapping!$D:$D,$B22)&gt;0,"X","")</f>
        <v/>
      </c>
      <c r="BD22" s="114" t="str">
        <f>IF(COUNTIFS(mapping!$B:$B,BD$2,mapping!$D:$D,$B22)&gt;0,"X","")</f>
        <v/>
      </c>
      <c r="BE22" s="114" t="str">
        <f>IF(COUNTIFS(mapping!$B:$B,BE$2,mapping!$D:$D,$B22)&gt;0,"X","")</f>
        <v/>
      </c>
      <c r="BF22" s="114" t="str">
        <f>IF(COUNTIFS(mapping!$B:$B,BF$2,mapping!$D:$D,$B22)&gt;0,"X","")</f>
        <v/>
      </c>
      <c r="BG22" s="114" t="str">
        <f>IF(COUNTIFS(mapping!$B:$B,BG$2,mapping!$D:$D,$B22)&gt;0,"X","")</f>
        <v/>
      </c>
      <c r="BH22" s="114" t="str">
        <f>IF(COUNTIFS(mapping!$B:$B,BH$2,mapping!$D:$D,$B22)&gt;0,"X","")</f>
        <v/>
      </c>
      <c r="BI22" s="114" t="str">
        <f>IF(COUNTIFS(mapping!$B:$B,BI$2,mapping!$D:$D,$B22)&gt;0,"X","")</f>
        <v/>
      </c>
      <c r="BJ22" s="114" t="str">
        <f>IF(COUNTIFS(mapping!$B:$B,BJ$2,mapping!$D:$D,$B22)&gt;0,"X","")</f>
        <v/>
      </c>
      <c r="BK22" s="114" t="str">
        <f>IF(COUNTIFS(mapping!$B:$B,BK$2,mapping!$D:$D,$B22)&gt;0,"X","")</f>
        <v/>
      </c>
      <c r="BL22" s="114" t="str">
        <f>IF(COUNTIFS(mapping!$B:$B,BL$2,mapping!$D:$D,$B22)&gt;0,"X","")</f>
        <v/>
      </c>
      <c r="BM22" s="114" t="str">
        <f>IF(COUNTIFS(mapping!$B:$B,BM$2,mapping!$D:$D,$B22)&gt;0,"X","")</f>
        <v/>
      </c>
      <c r="BN22" s="114" t="str">
        <f>IF(COUNTIFS(mapping!$B:$B,BN$2,mapping!$D:$D,$B22)&gt;0,"X","")</f>
        <v/>
      </c>
      <c r="BO22" s="114" t="str">
        <f>IF(COUNTIFS(mapping!$B:$B,BO$2,mapping!$D:$D,$B22)&gt;0,"X","")</f>
        <v>X</v>
      </c>
      <c r="BP22" s="114" t="str">
        <f>IF(COUNTIFS(mapping!$B:$B,BP$2,mapping!$D:$D,$B22)&gt;0,"X","")</f>
        <v/>
      </c>
      <c r="BQ22" s="114" t="str">
        <f>IF(COUNTIFS(mapping!$B:$B,BQ$2,mapping!$D:$D,$B22)&gt;0,"X","")</f>
        <v/>
      </c>
      <c r="BR22" s="114" t="str">
        <f>IF(COUNTIFS(mapping!$B:$B,BR$2,mapping!$D:$D,$B22)&gt;0,"X","")</f>
        <v/>
      </c>
      <c r="BS22" s="114" t="str">
        <f>IF(COUNTIFS(mapping!$B:$B,BS$2,mapping!$D:$D,$B22)&gt;0,"X","")</f>
        <v/>
      </c>
      <c r="BT22" s="114" t="str">
        <f>IF(COUNTIFS(mapping!$B:$B,BT$2,mapping!$D:$D,$B22)&gt;0,"X","")</f>
        <v/>
      </c>
      <c r="BU22" s="114" t="str">
        <f>IF(COUNTIFS(mapping!$B:$B,BU$2,mapping!$D:$D,$B22)&gt;0,"X","")</f>
        <v/>
      </c>
      <c r="BV22" s="114" t="str">
        <f>IF(COUNTIFS(mapping!$B:$B,BV$2,mapping!$D:$D,$B22)&gt;0,"X","")</f>
        <v/>
      </c>
      <c r="BW22" s="114" t="str">
        <f>IF(COUNTIFS(mapping!$B:$B,BW$2,mapping!$D:$D,$B22)&gt;0,"X","")</f>
        <v/>
      </c>
      <c r="BX22" s="114" t="str">
        <f>IF(COUNTIFS(mapping!$B:$B,BX$2,mapping!$D:$D,$B22)&gt;0,"X","")</f>
        <v/>
      </c>
      <c r="BY22" s="114" t="str">
        <f>IF(COUNTIFS(mapping!$B:$B,BY$2,mapping!$D:$D,$B22)&gt;0,"X","")</f>
        <v/>
      </c>
      <c r="BZ22" s="114" t="str">
        <f>IF(COUNTIFS(mapping!$B:$B,BZ$2,mapping!$D:$D,$B22)&gt;0,"X","")</f>
        <v/>
      </c>
      <c r="CA22" s="114" t="str">
        <f>IF(COUNTIFS(mapping!$B:$B,CA$2,mapping!$D:$D,$B22)&gt;0,"X","")</f>
        <v/>
      </c>
      <c r="CB22" s="114" t="str">
        <f>IF(COUNTIFS(mapping!$B:$B,CB$2,mapping!$D:$D,$B22)&gt;0,"X","")</f>
        <v/>
      </c>
      <c r="CC22" s="114" t="str">
        <f>IF(COUNTIFS(mapping!$B:$B,CC$2,mapping!$D:$D,$B22)&gt;0,"X","")</f>
        <v/>
      </c>
      <c r="CD22" s="114" t="str">
        <f>IF(COUNTIFS(mapping!$B:$B,CD$2,mapping!$D:$D,$B22)&gt;0,"X","")</f>
        <v/>
      </c>
      <c r="CE22" s="114" t="str">
        <f>IF(COUNTIFS(mapping!$B:$B,CE$2,mapping!$D:$D,$B22)&gt;0,"X","")</f>
        <v/>
      </c>
      <c r="CF22" s="114" t="str">
        <f>IF(COUNTIFS(mapping!$B:$B,CF$2,mapping!$D:$D,$B22)&gt;0,"X","")</f>
        <v/>
      </c>
      <c r="CG22" s="114" t="str">
        <f>IF(COUNTIFS(mapping!$B:$B,CG$2,mapping!$D:$D,$B22)&gt;0,"X","")</f>
        <v/>
      </c>
      <c r="CH22" s="114" t="str">
        <f>IF(COUNTIFS(mapping!$B:$B,CH$2,mapping!$D:$D,$B22)&gt;0,"X","")</f>
        <v/>
      </c>
    </row>
    <row r="23" spans="1:86" ht="16">
      <c r="A23" s="257"/>
      <c r="B23" s="122" t="s">
        <v>493</v>
      </c>
      <c r="C23" s="128" t="s">
        <v>492</v>
      </c>
      <c r="E23" s="114" t="str">
        <f>IF(COUNTIFS(mapping!$B:$B,E$2,mapping!$D:$D,$B23)&gt;0,"X","")</f>
        <v/>
      </c>
      <c r="F23" s="114" t="str">
        <f>IF(COUNTIFS(mapping!$B:$B,F$2,mapping!$D:$D,$B23)&gt;0,"X","")</f>
        <v/>
      </c>
      <c r="G23" s="114" t="str">
        <f>IF(COUNTIFS(mapping!$B:$B,G$2,mapping!$D:$D,$B23)&gt;0,"X","")</f>
        <v/>
      </c>
      <c r="H23" s="114" t="str">
        <f>IF(COUNTIFS(mapping!$B:$B,H$2,mapping!$D:$D,$B23)&gt;0,"X","")</f>
        <v/>
      </c>
      <c r="I23" s="114" t="str">
        <f>IF(COUNTIFS(mapping!$B:$B,I$2,mapping!$D:$D,$B23)&gt;0,"X","")</f>
        <v/>
      </c>
      <c r="J23" s="114" t="str">
        <f>IF(COUNTIFS(mapping!$B:$B,J$2,mapping!$D:$D,$B23)&gt;0,"X","")</f>
        <v/>
      </c>
      <c r="K23" s="114" t="str">
        <f>IF(COUNTIFS(mapping!$B:$B,K$2,mapping!$D:$D,$B23)&gt;0,"X","")</f>
        <v/>
      </c>
      <c r="L23" s="114" t="str">
        <f>IF(COUNTIFS(mapping!$B:$B,L$2,mapping!$D:$D,$B23)&gt;0,"X","")</f>
        <v/>
      </c>
      <c r="M23" s="114" t="str">
        <f>IF(COUNTIFS(mapping!$B:$B,M$2,mapping!$D:$D,$B23)&gt;0,"X","")</f>
        <v/>
      </c>
      <c r="N23" s="114" t="str">
        <f>IF(COUNTIFS(mapping!$B:$B,N$2,mapping!$D:$D,$B23)&gt;0,"X","")</f>
        <v>X</v>
      </c>
      <c r="O23" s="114" t="str">
        <f>IF(COUNTIFS(mapping!$B:$B,O$2,mapping!$D:$D,$B23)&gt;0,"X","")</f>
        <v/>
      </c>
      <c r="P23" s="114" t="str">
        <f>IF(COUNTIFS(mapping!$B:$B,P$2,mapping!$D:$D,$B23)&gt;0,"X","")</f>
        <v/>
      </c>
      <c r="Q23" s="114" t="str">
        <f>IF(COUNTIFS(mapping!$B:$B,Q$2,mapping!$D:$D,$B23)&gt;0,"X","")</f>
        <v/>
      </c>
      <c r="R23" s="114" t="str">
        <f>IF(COUNTIFS(mapping!$B:$B,R$2,mapping!$D:$D,$B23)&gt;0,"X","")</f>
        <v/>
      </c>
      <c r="S23" s="114" t="str">
        <f>IF(COUNTIFS(mapping!$B:$B,S$2,mapping!$D:$D,$B23)&gt;0,"X","")</f>
        <v/>
      </c>
      <c r="T23" s="114" t="str">
        <f>IF(COUNTIFS(mapping!$B:$B,T$2,mapping!$D:$D,$B23)&gt;0,"X","")</f>
        <v/>
      </c>
      <c r="U23" s="114" t="str">
        <f>IF(COUNTIFS(mapping!$B:$B,U$2,mapping!$D:$D,$B23)&gt;0,"X","")</f>
        <v/>
      </c>
      <c r="V23" s="114" t="str">
        <f>IF(COUNTIFS(mapping!$B:$B,V$2,mapping!$D:$D,$B23)&gt;0,"X","")</f>
        <v/>
      </c>
      <c r="W23" s="114" t="str">
        <f>IF(COUNTIFS(mapping!$B:$B,W$2,mapping!$D:$D,$B23)&gt;0,"X","")</f>
        <v/>
      </c>
      <c r="X23" s="114" t="str">
        <f>IF(COUNTIFS(mapping!$B:$B,X$2,mapping!$D:$D,$B23)&gt;0,"X","")</f>
        <v/>
      </c>
      <c r="Y23" s="114" t="str">
        <f>IF(COUNTIFS(mapping!$B:$B,Y$2,mapping!$D:$D,$B23)&gt;0,"X","")</f>
        <v/>
      </c>
      <c r="Z23" s="114" t="str">
        <f>IF(COUNTIFS(mapping!$B:$B,Z$2,mapping!$D:$D,$B23)&gt;0,"X","")</f>
        <v/>
      </c>
      <c r="AA23" s="114" t="str">
        <f>IF(COUNTIFS(mapping!$B:$B,AA$2,mapping!$D:$D,$B23)&gt;0,"X","")</f>
        <v/>
      </c>
      <c r="AB23" s="114" t="str">
        <f>IF(COUNTIFS(mapping!$B:$B,AB$2,mapping!$D:$D,$B23)&gt;0,"X","")</f>
        <v/>
      </c>
      <c r="AC23" s="114" t="str">
        <f>IF(COUNTIFS(mapping!$B:$B,AC$2,mapping!$D:$D,$B23)&gt;0,"X","")</f>
        <v/>
      </c>
      <c r="AD23" s="114" t="str">
        <f>IF(COUNTIFS(mapping!$B:$B,AD$2,mapping!$D:$D,$B23)&gt;0,"X","")</f>
        <v/>
      </c>
      <c r="AE23" s="114" t="str">
        <f>IF(COUNTIFS(mapping!$B:$B,AE$2,mapping!$D:$D,$B23)&gt;0,"X","")</f>
        <v/>
      </c>
      <c r="AF23" s="114" t="str">
        <f>IF(COUNTIFS(mapping!$B:$B,AF$2,mapping!$D:$D,$B23)&gt;0,"X","")</f>
        <v/>
      </c>
      <c r="AG23" s="114" t="str">
        <f>IF(COUNTIFS(mapping!$B:$B,AG$2,mapping!$D:$D,$B23)&gt;0,"X","")</f>
        <v>X</v>
      </c>
      <c r="AH23" s="114" t="str">
        <f>IF(COUNTIFS(mapping!$B:$B,AH$2,mapping!$D:$D,$B23)&gt;0,"X","")</f>
        <v/>
      </c>
      <c r="AI23" s="114" t="str">
        <f>IF(COUNTIFS(mapping!$B:$B,AI$2,mapping!$D:$D,$B23)&gt;0,"X","")</f>
        <v>X</v>
      </c>
      <c r="AJ23" s="114" t="str">
        <f>IF(COUNTIFS(mapping!$B:$B,AJ$2,mapping!$D:$D,$B23)&gt;0,"X","")</f>
        <v/>
      </c>
      <c r="AK23" s="114" t="str">
        <f>IF(COUNTIFS(mapping!$B:$B,AK$2,mapping!$D:$D,$B23)&gt;0,"X","")</f>
        <v/>
      </c>
      <c r="AL23" s="114" t="str">
        <f>IF(COUNTIFS(mapping!$B:$B,AL$2,mapping!$D:$D,$B23)&gt;0,"X","")</f>
        <v/>
      </c>
      <c r="AM23" s="114" t="str">
        <f>IF(COUNTIFS(mapping!$B:$B,AM$2,mapping!$D:$D,$B23)&gt;0,"X","")</f>
        <v/>
      </c>
      <c r="AN23" s="114" t="str">
        <f>IF(COUNTIFS(mapping!$B:$B,AN$2,mapping!$D:$D,$B23)&gt;0,"X","")</f>
        <v/>
      </c>
      <c r="AO23" s="114" t="str">
        <f>IF(COUNTIFS(mapping!$B:$B,AO$2,mapping!$D:$D,$B23)&gt;0,"X","")</f>
        <v/>
      </c>
      <c r="AP23" s="114" t="str">
        <f>IF(COUNTIFS(mapping!$B:$B,AP$2,mapping!$D:$D,$B23)&gt;0,"X","")</f>
        <v/>
      </c>
      <c r="AQ23" s="114" t="str">
        <f>IF(COUNTIFS(mapping!$B:$B,AQ$2,mapping!$D:$D,$B23)&gt;0,"X","")</f>
        <v/>
      </c>
      <c r="AR23" s="114" t="str">
        <f>IF(COUNTIFS(mapping!$B:$B,AR$2,mapping!$D:$D,$B23)&gt;0,"X","")</f>
        <v/>
      </c>
      <c r="AS23" s="114" t="str">
        <f>IF(COUNTIFS(mapping!$B:$B,AS$2,mapping!$D:$D,$B23)&gt;0,"X","")</f>
        <v/>
      </c>
      <c r="AT23" s="114" t="str">
        <f>IF(COUNTIFS(mapping!$B:$B,AT$2,mapping!$D:$D,$B23)&gt;0,"X","")</f>
        <v>X</v>
      </c>
      <c r="AU23" s="114" t="str">
        <f>IF(COUNTIFS(mapping!$B:$B,AU$2,mapping!$D:$D,$B23)&gt;0,"X","")</f>
        <v/>
      </c>
      <c r="AV23" s="114" t="str">
        <f>IF(COUNTIFS(mapping!$B:$B,AV$2,mapping!$D:$D,$B23)&gt;0,"X","")</f>
        <v/>
      </c>
      <c r="AW23" s="114" t="str">
        <f>IF(COUNTIFS(mapping!$B:$B,AW$2,mapping!$D:$D,$B23)&gt;0,"X","")</f>
        <v/>
      </c>
      <c r="AX23" s="114" t="str">
        <f>IF(COUNTIFS(mapping!$B:$B,AX$2,mapping!$D:$D,$B23)&gt;0,"X","")</f>
        <v/>
      </c>
      <c r="AY23" s="114" t="str">
        <f>IF(COUNTIFS(mapping!$B:$B,AY$2,mapping!$D:$D,$B23)&gt;0,"X","")</f>
        <v/>
      </c>
      <c r="AZ23" s="114" t="str">
        <f>IF(COUNTIFS(mapping!$B:$B,AZ$2,mapping!$D:$D,$B23)&gt;0,"X","")</f>
        <v/>
      </c>
      <c r="BA23" s="114" t="str">
        <f>IF(COUNTIFS(mapping!$B:$B,BA$2,mapping!$D:$D,$B23)&gt;0,"X","")</f>
        <v/>
      </c>
      <c r="BB23" s="114" t="str">
        <f>IF(COUNTIFS(mapping!$B:$B,BB$2,mapping!$D:$D,$B23)&gt;0,"X","")</f>
        <v/>
      </c>
      <c r="BC23" s="114" t="str">
        <f>IF(COUNTIFS(mapping!$B:$B,BC$2,mapping!$D:$D,$B23)&gt;0,"X","")</f>
        <v/>
      </c>
      <c r="BD23" s="114" t="str">
        <f>IF(COUNTIFS(mapping!$B:$B,BD$2,mapping!$D:$D,$B23)&gt;0,"X","")</f>
        <v/>
      </c>
      <c r="BE23" s="114" t="str">
        <f>IF(COUNTIFS(mapping!$B:$B,BE$2,mapping!$D:$D,$B23)&gt;0,"X","")</f>
        <v/>
      </c>
      <c r="BF23" s="114" t="str">
        <f>IF(COUNTIFS(mapping!$B:$B,BF$2,mapping!$D:$D,$B23)&gt;0,"X","")</f>
        <v/>
      </c>
      <c r="BG23" s="114" t="str">
        <f>IF(COUNTIFS(mapping!$B:$B,BG$2,mapping!$D:$D,$B23)&gt;0,"X","")</f>
        <v>X</v>
      </c>
      <c r="BH23" s="114" t="str">
        <f>IF(COUNTIFS(mapping!$B:$B,BH$2,mapping!$D:$D,$B23)&gt;0,"X","")</f>
        <v/>
      </c>
      <c r="BI23" s="114" t="str">
        <f>IF(COUNTIFS(mapping!$B:$B,BI$2,mapping!$D:$D,$B23)&gt;0,"X","")</f>
        <v/>
      </c>
      <c r="BJ23" s="114" t="str">
        <f>IF(COUNTIFS(mapping!$B:$B,BJ$2,mapping!$D:$D,$B23)&gt;0,"X","")</f>
        <v>X</v>
      </c>
      <c r="BK23" s="114" t="str">
        <f>IF(COUNTIFS(mapping!$B:$B,BK$2,mapping!$D:$D,$B23)&gt;0,"X","")</f>
        <v/>
      </c>
      <c r="BL23" s="114" t="str">
        <f>IF(COUNTIFS(mapping!$B:$B,BL$2,mapping!$D:$D,$B23)&gt;0,"X","")</f>
        <v/>
      </c>
      <c r="BM23" s="114" t="str">
        <f>IF(COUNTIFS(mapping!$B:$B,BM$2,mapping!$D:$D,$B23)&gt;0,"X","")</f>
        <v/>
      </c>
      <c r="BN23" s="114" t="str">
        <f>IF(COUNTIFS(mapping!$B:$B,BN$2,mapping!$D:$D,$B23)&gt;0,"X","")</f>
        <v/>
      </c>
      <c r="BO23" s="114" t="str">
        <f>IF(COUNTIFS(mapping!$B:$B,BO$2,mapping!$D:$D,$B23)&gt;0,"X","")</f>
        <v/>
      </c>
      <c r="BP23" s="114" t="str">
        <f>IF(COUNTIFS(mapping!$B:$B,BP$2,mapping!$D:$D,$B23)&gt;0,"X","")</f>
        <v/>
      </c>
      <c r="BQ23" s="114" t="str">
        <f>IF(COUNTIFS(mapping!$B:$B,BQ$2,mapping!$D:$D,$B23)&gt;0,"X","")</f>
        <v>X</v>
      </c>
      <c r="BR23" s="114" t="str">
        <f>IF(COUNTIFS(mapping!$B:$B,BR$2,mapping!$D:$D,$B23)&gt;0,"X","")</f>
        <v/>
      </c>
      <c r="BS23" s="114" t="str">
        <f>IF(COUNTIFS(mapping!$B:$B,BS$2,mapping!$D:$D,$B23)&gt;0,"X","")</f>
        <v/>
      </c>
      <c r="BT23" s="114" t="str">
        <f>IF(COUNTIFS(mapping!$B:$B,BT$2,mapping!$D:$D,$B23)&gt;0,"X","")</f>
        <v/>
      </c>
      <c r="BU23" s="114" t="str">
        <f>IF(COUNTIFS(mapping!$B:$B,BU$2,mapping!$D:$D,$B23)&gt;0,"X","")</f>
        <v/>
      </c>
      <c r="BV23" s="114" t="str">
        <f>IF(COUNTIFS(mapping!$B:$B,BV$2,mapping!$D:$D,$B23)&gt;0,"X","")</f>
        <v/>
      </c>
      <c r="BW23" s="114" t="str">
        <f>IF(COUNTIFS(mapping!$B:$B,BW$2,mapping!$D:$D,$B23)&gt;0,"X","")</f>
        <v/>
      </c>
      <c r="BX23" s="114" t="str">
        <f>IF(COUNTIFS(mapping!$B:$B,BX$2,mapping!$D:$D,$B23)&gt;0,"X","")</f>
        <v/>
      </c>
      <c r="BY23" s="114" t="str">
        <f>IF(COUNTIFS(mapping!$B:$B,BY$2,mapping!$D:$D,$B23)&gt;0,"X","")</f>
        <v/>
      </c>
      <c r="BZ23" s="114" t="str">
        <f>IF(COUNTIFS(mapping!$B:$B,BZ$2,mapping!$D:$D,$B23)&gt;0,"X","")</f>
        <v/>
      </c>
      <c r="CA23" s="114" t="str">
        <f>IF(COUNTIFS(mapping!$B:$B,CA$2,mapping!$D:$D,$B23)&gt;0,"X","")</f>
        <v/>
      </c>
      <c r="CB23" s="114" t="str">
        <f>IF(COUNTIFS(mapping!$B:$B,CB$2,mapping!$D:$D,$B23)&gt;0,"X","")</f>
        <v/>
      </c>
      <c r="CC23" s="114" t="str">
        <f>IF(COUNTIFS(mapping!$B:$B,CC$2,mapping!$D:$D,$B23)&gt;0,"X","")</f>
        <v>X</v>
      </c>
      <c r="CD23" s="114" t="str">
        <f>IF(COUNTIFS(mapping!$B:$B,CD$2,mapping!$D:$D,$B23)&gt;0,"X","")</f>
        <v>X</v>
      </c>
      <c r="CE23" s="114" t="str">
        <f>IF(COUNTIFS(mapping!$B:$B,CE$2,mapping!$D:$D,$B23)&gt;0,"X","")</f>
        <v/>
      </c>
      <c r="CF23" s="114" t="str">
        <f>IF(COUNTIFS(mapping!$B:$B,CF$2,mapping!$D:$D,$B23)&gt;0,"X","")</f>
        <v/>
      </c>
      <c r="CG23" s="114" t="str">
        <f>IF(COUNTIFS(mapping!$B:$B,CG$2,mapping!$D:$D,$B23)&gt;0,"X","")</f>
        <v/>
      </c>
      <c r="CH23" s="114" t="str">
        <f>IF(COUNTIFS(mapping!$B:$B,CH$2,mapping!$D:$D,$B23)&gt;0,"X","")</f>
        <v>X</v>
      </c>
    </row>
    <row r="24" spans="1:86" ht="16">
      <c r="A24" s="257"/>
      <c r="B24" s="122" t="s">
        <v>491</v>
      </c>
      <c r="C24" s="128" t="s">
        <v>490</v>
      </c>
      <c r="E24" s="114" t="str">
        <f>IF(COUNTIFS(mapping!$B:$B,E$2,mapping!$D:$D,$B24)&gt;0,"X","")</f>
        <v/>
      </c>
      <c r="F24" s="114" t="str">
        <f>IF(COUNTIFS(mapping!$B:$B,F$2,mapping!$D:$D,$B24)&gt;0,"X","")</f>
        <v/>
      </c>
      <c r="G24" s="114" t="str">
        <f>IF(COUNTIFS(mapping!$B:$B,G$2,mapping!$D:$D,$B24)&gt;0,"X","")</f>
        <v>X</v>
      </c>
      <c r="H24" s="114" t="str">
        <f>IF(COUNTIFS(mapping!$B:$B,H$2,mapping!$D:$D,$B24)&gt;0,"X","")</f>
        <v/>
      </c>
      <c r="I24" s="114" t="str">
        <f>IF(COUNTIFS(mapping!$B:$B,I$2,mapping!$D:$D,$B24)&gt;0,"X","")</f>
        <v>X</v>
      </c>
      <c r="J24" s="114" t="str">
        <f>IF(COUNTIFS(mapping!$B:$B,J$2,mapping!$D:$D,$B24)&gt;0,"X","")</f>
        <v/>
      </c>
      <c r="K24" s="114" t="str">
        <f>IF(COUNTIFS(mapping!$B:$B,K$2,mapping!$D:$D,$B24)&gt;0,"X","")</f>
        <v/>
      </c>
      <c r="L24" s="114" t="str">
        <f>IF(COUNTIFS(mapping!$B:$B,L$2,mapping!$D:$D,$B24)&gt;0,"X","")</f>
        <v/>
      </c>
      <c r="M24" s="114" t="str">
        <f>IF(COUNTIFS(mapping!$B:$B,M$2,mapping!$D:$D,$B24)&gt;0,"X","")</f>
        <v>X</v>
      </c>
      <c r="N24" s="114" t="str">
        <f>IF(COUNTIFS(mapping!$B:$B,N$2,mapping!$D:$D,$B24)&gt;0,"X","")</f>
        <v/>
      </c>
      <c r="O24" s="114" t="str">
        <f>IF(COUNTIFS(mapping!$B:$B,O$2,mapping!$D:$D,$B24)&gt;0,"X","")</f>
        <v/>
      </c>
      <c r="P24" s="114" t="str">
        <f>IF(COUNTIFS(mapping!$B:$B,P$2,mapping!$D:$D,$B24)&gt;0,"X","")</f>
        <v/>
      </c>
      <c r="Q24" s="114" t="str">
        <f>IF(COUNTIFS(mapping!$B:$B,Q$2,mapping!$D:$D,$B24)&gt;0,"X","")</f>
        <v/>
      </c>
      <c r="R24" s="114" t="str">
        <f>IF(COUNTIFS(mapping!$B:$B,R$2,mapping!$D:$D,$B24)&gt;0,"X","")</f>
        <v/>
      </c>
      <c r="S24" s="114" t="str">
        <f>IF(COUNTIFS(mapping!$B:$B,S$2,mapping!$D:$D,$B24)&gt;0,"X","")</f>
        <v/>
      </c>
      <c r="T24" s="114" t="str">
        <f>IF(COUNTIFS(mapping!$B:$B,T$2,mapping!$D:$D,$B24)&gt;0,"X","")</f>
        <v/>
      </c>
      <c r="U24" s="114" t="str">
        <f>IF(COUNTIFS(mapping!$B:$B,U$2,mapping!$D:$D,$B24)&gt;0,"X","")</f>
        <v/>
      </c>
      <c r="V24" s="114" t="str">
        <f>IF(COUNTIFS(mapping!$B:$B,V$2,mapping!$D:$D,$B24)&gt;0,"X","")</f>
        <v/>
      </c>
      <c r="W24" s="114" t="str">
        <f>IF(COUNTIFS(mapping!$B:$B,W$2,mapping!$D:$D,$B24)&gt;0,"X","")</f>
        <v/>
      </c>
      <c r="X24" s="114" t="str">
        <f>IF(COUNTIFS(mapping!$B:$B,X$2,mapping!$D:$D,$B24)&gt;0,"X","")</f>
        <v/>
      </c>
      <c r="Y24" s="114" t="str">
        <f>IF(COUNTIFS(mapping!$B:$B,Y$2,mapping!$D:$D,$B24)&gt;0,"X","")</f>
        <v>X</v>
      </c>
      <c r="Z24" s="114" t="str">
        <f>IF(COUNTIFS(mapping!$B:$B,Z$2,mapping!$D:$D,$B24)&gt;0,"X","")</f>
        <v/>
      </c>
      <c r="AA24" s="114" t="str">
        <f>IF(COUNTIFS(mapping!$B:$B,AA$2,mapping!$D:$D,$B24)&gt;0,"X","")</f>
        <v/>
      </c>
      <c r="AB24" s="114" t="str">
        <f>IF(COUNTIFS(mapping!$B:$B,AB$2,mapping!$D:$D,$B24)&gt;0,"X","")</f>
        <v/>
      </c>
      <c r="AC24" s="114" t="str">
        <f>IF(COUNTIFS(mapping!$B:$B,AC$2,mapping!$D:$D,$B24)&gt;0,"X","")</f>
        <v/>
      </c>
      <c r="AD24" s="114" t="str">
        <f>IF(COUNTIFS(mapping!$B:$B,AD$2,mapping!$D:$D,$B24)&gt;0,"X","")</f>
        <v/>
      </c>
      <c r="AE24" s="114" t="str">
        <f>IF(COUNTIFS(mapping!$B:$B,AE$2,mapping!$D:$D,$B24)&gt;0,"X","")</f>
        <v/>
      </c>
      <c r="AF24" s="114" t="str">
        <f>IF(COUNTIFS(mapping!$B:$B,AF$2,mapping!$D:$D,$B24)&gt;0,"X","")</f>
        <v/>
      </c>
      <c r="AG24" s="114" t="str">
        <f>IF(COUNTIFS(mapping!$B:$B,AG$2,mapping!$D:$D,$B24)&gt;0,"X","")</f>
        <v>X</v>
      </c>
      <c r="AH24" s="114" t="str">
        <f>IF(COUNTIFS(mapping!$B:$B,AH$2,mapping!$D:$D,$B24)&gt;0,"X","")</f>
        <v/>
      </c>
      <c r="AI24" s="114" t="str">
        <f>IF(COUNTIFS(mapping!$B:$B,AI$2,mapping!$D:$D,$B24)&gt;0,"X","")</f>
        <v/>
      </c>
      <c r="AJ24" s="114" t="str">
        <f>IF(COUNTIFS(mapping!$B:$B,AJ$2,mapping!$D:$D,$B24)&gt;0,"X","")</f>
        <v/>
      </c>
      <c r="AK24" s="114" t="str">
        <f>IF(COUNTIFS(mapping!$B:$B,AK$2,mapping!$D:$D,$B24)&gt;0,"X","")</f>
        <v/>
      </c>
      <c r="AL24" s="114" t="str">
        <f>IF(COUNTIFS(mapping!$B:$B,AL$2,mapping!$D:$D,$B24)&gt;0,"X","")</f>
        <v/>
      </c>
      <c r="AM24" s="114" t="str">
        <f>IF(COUNTIFS(mapping!$B:$B,AM$2,mapping!$D:$D,$B24)&gt;0,"X","")</f>
        <v>X</v>
      </c>
      <c r="AN24" s="114" t="str">
        <f>IF(COUNTIFS(mapping!$B:$B,AN$2,mapping!$D:$D,$B24)&gt;0,"X","")</f>
        <v/>
      </c>
      <c r="AO24" s="114" t="str">
        <f>IF(COUNTIFS(mapping!$B:$B,AO$2,mapping!$D:$D,$B24)&gt;0,"X","")</f>
        <v/>
      </c>
      <c r="AP24" s="114" t="str">
        <f>IF(COUNTIFS(mapping!$B:$B,AP$2,mapping!$D:$D,$B24)&gt;0,"X","")</f>
        <v/>
      </c>
      <c r="AQ24" s="114" t="str">
        <f>IF(COUNTIFS(mapping!$B:$B,AQ$2,mapping!$D:$D,$B24)&gt;0,"X","")</f>
        <v/>
      </c>
      <c r="AR24" s="114" t="str">
        <f>IF(COUNTIFS(mapping!$B:$B,AR$2,mapping!$D:$D,$B24)&gt;0,"X","")</f>
        <v/>
      </c>
      <c r="AS24" s="114" t="str">
        <f>IF(COUNTIFS(mapping!$B:$B,AS$2,mapping!$D:$D,$B24)&gt;0,"X","")</f>
        <v/>
      </c>
      <c r="AT24" s="114" t="str">
        <f>IF(COUNTIFS(mapping!$B:$B,AT$2,mapping!$D:$D,$B24)&gt;0,"X","")</f>
        <v/>
      </c>
      <c r="AU24" s="114" t="str">
        <f>IF(COUNTIFS(mapping!$B:$B,AU$2,mapping!$D:$D,$B24)&gt;0,"X","")</f>
        <v/>
      </c>
      <c r="AV24" s="114" t="str">
        <f>IF(COUNTIFS(mapping!$B:$B,AV$2,mapping!$D:$D,$B24)&gt;0,"X","")</f>
        <v/>
      </c>
      <c r="AW24" s="114" t="str">
        <f>IF(COUNTIFS(mapping!$B:$B,AW$2,mapping!$D:$D,$B24)&gt;0,"X","")</f>
        <v/>
      </c>
      <c r="AX24" s="114" t="str">
        <f>IF(COUNTIFS(mapping!$B:$B,AX$2,mapping!$D:$D,$B24)&gt;0,"X","")</f>
        <v/>
      </c>
      <c r="AY24" s="114" t="str">
        <f>IF(COUNTIFS(mapping!$B:$B,AY$2,mapping!$D:$D,$B24)&gt;0,"X","")</f>
        <v/>
      </c>
      <c r="AZ24" s="114" t="str">
        <f>IF(COUNTIFS(mapping!$B:$B,AZ$2,mapping!$D:$D,$B24)&gt;0,"X","")</f>
        <v/>
      </c>
      <c r="BA24" s="114" t="str">
        <f>IF(COUNTIFS(mapping!$B:$B,BA$2,mapping!$D:$D,$B24)&gt;0,"X","")</f>
        <v/>
      </c>
      <c r="BB24" s="114" t="str">
        <f>IF(COUNTIFS(mapping!$B:$B,BB$2,mapping!$D:$D,$B24)&gt;0,"X","")</f>
        <v/>
      </c>
      <c r="BC24" s="114" t="str">
        <f>IF(COUNTIFS(mapping!$B:$B,BC$2,mapping!$D:$D,$B24)&gt;0,"X","")</f>
        <v/>
      </c>
      <c r="BD24" s="114" t="str">
        <f>IF(COUNTIFS(mapping!$B:$B,BD$2,mapping!$D:$D,$B24)&gt;0,"X","")</f>
        <v/>
      </c>
      <c r="BE24" s="114" t="str">
        <f>IF(COUNTIFS(mapping!$B:$B,BE$2,mapping!$D:$D,$B24)&gt;0,"X","")</f>
        <v/>
      </c>
      <c r="BF24" s="114" t="str">
        <f>IF(COUNTIFS(mapping!$B:$B,BF$2,mapping!$D:$D,$B24)&gt;0,"X","")</f>
        <v/>
      </c>
      <c r="BG24" s="114" t="str">
        <f>IF(COUNTIFS(mapping!$B:$B,BG$2,mapping!$D:$D,$B24)&gt;0,"X","")</f>
        <v>X</v>
      </c>
      <c r="BH24" s="114" t="str">
        <f>IF(COUNTIFS(mapping!$B:$B,BH$2,mapping!$D:$D,$B24)&gt;0,"X","")</f>
        <v/>
      </c>
      <c r="BI24" s="114" t="str">
        <f>IF(COUNTIFS(mapping!$B:$B,BI$2,mapping!$D:$D,$B24)&gt;0,"X","")</f>
        <v/>
      </c>
      <c r="BJ24" s="114" t="str">
        <f>IF(COUNTIFS(mapping!$B:$B,BJ$2,mapping!$D:$D,$B24)&gt;0,"X","")</f>
        <v/>
      </c>
      <c r="BK24" s="114" t="str">
        <f>IF(COUNTIFS(mapping!$B:$B,BK$2,mapping!$D:$D,$B24)&gt;0,"X","")</f>
        <v/>
      </c>
      <c r="BL24" s="114" t="str">
        <f>IF(COUNTIFS(mapping!$B:$B,BL$2,mapping!$D:$D,$B24)&gt;0,"X","")</f>
        <v>X</v>
      </c>
      <c r="BM24" s="114" t="str">
        <f>IF(COUNTIFS(mapping!$B:$B,BM$2,mapping!$D:$D,$B24)&gt;0,"X","")</f>
        <v/>
      </c>
      <c r="BN24" s="114" t="str">
        <f>IF(COUNTIFS(mapping!$B:$B,BN$2,mapping!$D:$D,$B24)&gt;0,"X","")</f>
        <v/>
      </c>
      <c r="BO24" s="114" t="str">
        <f>IF(COUNTIFS(mapping!$B:$B,BO$2,mapping!$D:$D,$B24)&gt;0,"X","")</f>
        <v/>
      </c>
      <c r="BP24" s="114" t="str">
        <f>IF(COUNTIFS(mapping!$B:$B,BP$2,mapping!$D:$D,$B24)&gt;0,"X","")</f>
        <v/>
      </c>
      <c r="BQ24" s="114" t="str">
        <f>IF(COUNTIFS(mapping!$B:$B,BQ$2,mapping!$D:$D,$B24)&gt;0,"X","")</f>
        <v/>
      </c>
      <c r="BR24" s="114" t="str">
        <f>IF(COUNTIFS(mapping!$B:$B,BR$2,mapping!$D:$D,$B24)&gt;0,"X","")</f>
        <v/>
      </c>
      <c r="BS24" s="114" t="str">
        <f>IF(COUNTIFS(mapping!$B:$B,BS$2,mapping!$D:$D,$B24)&gt;0,"X","")</f>
        <v/>
      </c>
      <c r="BT24" s="114" t="str">
        <f>IF(COUNTIFS(mapping!$B:$B,BT$2,mapping!$D:$D,$B24)&gt;0,"X","")</f>
        <v/>
      </c>
      <c r="BU24" s="114" t="str">
        <f>IF(COUNTIFS(mapping!$B:$B,BU$2,mapping!$D:$D,$B24)&gt;0,"X","")</f>
        <v/>
      </c>
      <c r="BV24" s="114" t="str">
        <f>IF(COUNTIFS(mapping!$B:$B,BV$2,mapping!$D:$D,$B24)&gt;0,"X","")</f>
        <v/>
      </c>
      <c r="BW24" s="114" t="str">
        <f>IF(COUNTIFS(mapping!$B:$B,BW$2,mapping!$D:$D,$B24)&gt;0,"X","")</f>
        <v/>
      </c>
      <c r="BX24" s="114" t="str">
        <f>IF(COUNTIFS(mapping!$B:$B,BX$2,mapping!$D:$D,$B24)&gt;0,"X","")</f>
        <v/>
      </c>
      <c r="BY24" s="114" t="str">
        <f>IF(COUNTIFS(mapping!$B:$B,BY$2,mapping!$D:$D,$B24)&gt;0,"X","")</f>
        <v/>
      </c>
      <c r="BZ24" s="114" t="str">
        <f>IF(COUNTIFS(mapping!$B:$B,BZ$2,mapping!$D:$D,$B24)&gt;0,"X","")</f>
        <v/>
      </c>
      <c r="CA24" s="114" t="str">
        <f>IF(COUNTIFS(mapping!$B:$B,CA$2,mapping!$D:$D,$B24)&gt;0,"X","")</f>
        <v/>
      </c>
      <c r="CB24" s="114" t="str">
        <f>IF(COUNTIFS(mapping!$B:$B,CB$2,mapping!$D:$D,$B24)&gt;0,"X","")</f>
        <v/>
      </c>
      <c r="CC24" s="114" t="str">
        <f>IF(COUNTIFS(mapping!$B:$B,CC$2,mapping!$D:$D,$B24)&gt;0,"X","")</f>
        <v/>
      </c>
      <c r="CD24" s="114" t="str">
        <f>IF(COUNTIFS(mapping!$B:$B,CD$2,mapping!$D:$D,$B24)&gt;0,"X","")</f>
        <v/>
      </c>
      <c r="CE24" s="114" t="str">
        <f>IF(COUNTIFS(mapping!$B:$B,CE$2,mapping!$D:$D,$B24)&gt;0,"X","")</f>
        <v/>
      </c>
      <c r="CF24" s="114" t="str">
        <f>IF(COUNTIFS(mapping!$B:$B,CF$2,mapping!$D:$D,$B24)&gt;0,"X","")</f>
        <v/>
      </c>
      <c r="CG24" s="114" t="str">
        <f>IF(COUNTIFS(mapping!$B:$B,CG$2,mapping!$D:$D,$B24)&gt;0,"X","")</f>
        <v/>
      </c>
      <c r="CH24" s="114" t="str">
        <f>IF(COUNTIFS(mapping!$B:$B,CH$2,mapping!$D:$D,$B24)&gt;0,"X","")</f>
        <v/>
      </c>
    </row>
    <row r="25" spans="1:86" ht="16">
      <c r="A25" s="257"/>
      <c r="B25" s="122" t="s">
        <v>489</v>
      </c>
      <c r="C25" s="128" t="s">
        <v>488</v>
      </c>
      <c r="E25" s="114" t="str">
        <f>IF(COUNTIFS(mapping!$B:$B,E$2,mapping!$D:$D,$B25)&gt;0,"X","")</f>
        <v>X</v>
      </c>
      <c r="F25" s="114" t="str">
        <f>IF(COUNTIFS(mapping!$B:$B,F$2,mapping!$D:$D,$B25)&gt;0,"X","")</f>
        <v/>
      </c>
      <c r="G25" s="114" t="str">
        <f>IF(COUNTIFS(mapping!$B:$B,G$2,mapping!$D:$D,$B25)&gt;0,"X","")</f>
        <v/>
      </c>
      <c r="H25" s="114" t="str">
        <f>IF(COUNTIFS(mapping!$B:$B,H$2,mapping!$D:$D,$B25)&gt;0,"X","")</f>
        <v/>
      </c>
      <c r="I25" s="114" t="str">
        <f>IF(COUNTIFS(mapping!$B:$B,I$2,mapping!$D:$D,$B25)&gt;0,"X","")</f>
        <v/>
      </c>
      <c r="J25" s="114" t="str">
        <f>IF(COUNTIFS(mapping!$B:$B,J$2,mapping!$D:$D,$B25)&gt;0,"X","")</f>
        <v/>
      </c>
      <c r="K25" s="114" t="str">
        <f>IF(COUNTIFS(mapping!$B:$B,K$2,mapping!$D:$D,$B25)&gt;0,"X","")</f>
        <v/>
      </c>
      <c r="L25" s="114" t="str">
        <f>IF(COUNTIFS(mapping!$B:$B,L$2,mapping!$D:$D,$B25)&gt;0,"X","")</f>
        <v/>
      </c>
      <c r="M25" s="114" t="str">
        <f>IF(COUNTIFS(mapping!$B:$B,M$2,mapping!$D:$D,$B25)&gt;0,"X","")</f>
        <v/>
      </c>
      <c r="N25" s="114" t="str">
        <f>IF(COUNTIFS(mapping!$B:$B,N$2,mapping!$D:$D,$B25)&gt;0,"X","")</f>
        <v/>
      </c>
      <c r="O25" s="114" t="str">
        <f>IF(COUNTIFS(mapping!$B:$B,O$2,mapping!$D:$D,$B25)&gt;0,"X","")</f>
        <v/>
      </c>
      <c r="P25" s="114" t="str">
        <f>IF(COUNTIFS(mapping!$B:$B,P$2,mapping!$D:$D,$B25)&gt;0,"X","")</f>
        <v/>
      </c>
      <c r="Q25" s="114" t="str">
        <f>IF(COUNTIFS(mapping!$B:$B,Q$2,mapping!$D:$D,$B25)&gt;0,"X","")</f>
        <v/>
      </c>
      <c r="R25" s="114" t="str">
        <f>IF(COUNTIFS(mapping!$B:$B,R$2,mapping!$D:$D,$B25)&gt;0,"X","")</f>
        <v/>
      </c>
      <c r="S25" s="114" t="str">
        <f>IF(COUNTIFS(mapping!$B:$B,S$2,mapping!$D:$D,$B25)&gt;0,"X","")</f>
        <v/>
      </c>
      <c r="T25" s="114" t="str">
        <f>IF(COUNTIFS(mapping!$B:$B,T$2,mapping!$D:$D,$B25)&gt;0,"X","")</f>
        <v/>
      </c>
      <c r="U25" s="114" t="str">
        <f>IF(COUNTIFS(mapping!$B:$B,U$2,mapping!$D:$D,$B25)&gt;0,"X","")</f>
        <v/>
      </c>
      <c r="V25" s="114" t="str">
        <f>IF(COUNTIFS(mapping!$B:$B,V$2,mapping!$D:$D,$B25)&gt;0,"X","")</f>
        <v/>
      </c>
      <c r="W25" s="114" t="str">
        <f>IF(COUNTIFS(mapping!$B:$B,W$2,mapping!$D:$D,$B25)&gt;0,"X","")</f>
        <v/>
      </c>
      <c r="X25" s="114" t="str">
        <f>IF(COUNTIFS(mapping!$B:$B,X$2,mapping!$D:$D,$B25)&gt;0,"X","")</f>
        <v/>
      </c>
      <c r="Y25" s="114" t="str">
        <f>IF(COUNTIFS(mapping!$B:$B,Y$2,mapping!$D:$D,$B25)&gt;0,"X","")</f>
        <v/>
      </c>
      <c r="Z25" s="114" t="str">
        <f>IF(COUNTIFS(mapping!$B:$B,Z$2,mapping!$D:$D,$B25)&gt;0,"X","")</f>
        <v/>
      </c>
      <c r="AA25" s="114" t="str">
        <f>IF(COUNTIFS(mapping!$B:$B,AA$2,mapping!$D:$D,$B25)&gt;0,"X","")</f>
        <v/>
      </c>
      <c r="AB25" s="114" t="str">
        <f>IF(COUNTIFS(mapping!$B:$B,AB$2,mapping!$D:$D,$B25)&gt;0,"X","")</f>
        <v/>
      </c>
      <c r="AC25" s="114" t="str">
        <f>IF(COUNTIFS(mapping!$B:$B,AC$2,mapping!$D:$D,$B25)&gt;0,"X","")</f>
        <v>X</v>
      </c>
      <c r="AD25" s="114" t="str">
        <f>IF(COUNTIFS(mapping!$B:$B,AD$2,mapping!$D:$D,$B25)&gt;0,"X","")</f>
        <v/>
      </c>
      <c r="AE25" s="114" t="str">
        <f>IF(COUNTIFS(mapping!$B:$B,AE$2,mapping!$D:$D,$B25)&gt;0,"X","")</f>
        <v/>
      </c>
      <c r="AF25" s="114" t="str">
        <f>IF(COUNTIFS(mapping!$B:$B,AF$2,mapping!$D:$D,$B25)&gt;0,"X","")</f>
        <v/>
      </c>
      <c r="AG25" s="114" t="str">
        <f>IF(COUNTIFS(mapping!$B:$B,AG$2,mapping!$D:$D,$B25)&gt;0,"X","")</f>
        <v>X</v>
      </c>
      <c r="AH25" s="114" t="str">
        <f>IF(COUNTIFS(mapping!$B:$B,AH$2,mapping!$D:$D,$B25)&gt;0,"X","")</f>
        <v/>
      </c>
      <c r="AI25" s="114" t="str">
        <f>IF(COUNTIFS(mapping!$B:$B,AI$2,mapping!$D:$D,$B25)&gt;0,"X","")</f>
        <v/>
      </c>
      <c r="AJ25" s="114" t="str">
        <f>IF(COUNTIFS(mapping!$B:$B,AJ$2,mapping!$D:$D,$B25)&gt;0,"X","")</f>
        <v/>
      </c>
      <c r="AK25" s="114" t="str">
        <f>IF(COUNTIFS(mapping!$B:$B,AK$2,mapping!$D:$D,$B25)&gt;0,"X","")</f>
        <v/>
      </c>
      <c r="AL25" s="114" t="str">
        <f>IF(COUNTIFS(mapping!$B:$B,AL$2,mapping!$D:$D,$B25)&gt;0,"X","")</f>
        <v/>
      </c>
      <c r="AM25" s="114" t="str">
        <f>IF(COUNTIFS(mapping!$B:$B,AM$2,mapping!$D:$D,$B25)&gt;0,"X","")</f>
        <v/>
      </c>
      <c r="AN25" s="114" t="str">
        <f>IF(COUNTIFS(mapping!$B:$B,AN$2,mapping!$D:$D,$B25)&gt;0,"X","")</f>
        <v/>
      </c>
      <c r="AO25" s="114" t="str">
        <f>IF(COUNTIFS(mapping!$B:$B,AO$2,mapping!$D:$D,$B25)&gt;0,"X","")</f>
        <v/>
      </c>
      <c r="AP25" s="114" t="str">
        <f>IF(COUNTIFS(mapping!$B:$B,AP$2,mapping!$D:$D,$B25)&gt;0,"X","")</f>
        <v/>
      </c>
      <c r="AQ25" s="114" t="str">
        <f>IF(COUNTIFS(mapping!$B:$B,AQ$2,mapping!$D:$D,$B25)&gt;0,"X","")</f>
        <v/>
      </c>
      <c r="AR25" s="114" t="str">
        <f>IF(COUNTIFS(mapping!$B:$B,AR$2,mapping!$D:$D,$B25)&gt;0,"X","")</f>
        <v/>
      </c>
      <c r="AS25" s="114" t="str">
        <f>IF(COUNTIFS(mapping!$B:$B,AS$2,mapping!$D:$D,$B25)&gt;0,"X","")</f>
        <v/>
      </c>
      <c r="AT25" s="114" t="str">
        <f>IF(COUNTIFS(mapping!$B:$B,AT$2,mapping!$D:$D,$B25)&gt;0,"X","")</f>
        <v/>
      </c>
      <c r="AU25" s="114" t="str">
        <f>IF(COUNTIFS(mapping!$B:$B,AU$2,mapping!$D:$D,$B25)&gt;0,"X","")</f>
        <v/>
      </c>
      <c r="AV25" s="114" t="str">
        <f>IF(COUNTIFS(mapping!$B:$B,AV$2,mapping!$D:$D,$B25)&gt;0,"X","")</f>
        <v/>
      </c>
      <c r="AW25" s="114" t="str">
        <f>IF(COUNTIFS(mapping!$B:$B,AW$2,mapping!$D:$D,$B25)&gt;0,"X","")</f>
        <v/>
      </c>
      <c r="AX25" s="114" t="str">
        <f>IF(COUNTIFS(mapping!$B:$B,AX$2,mapping!$D:$D,$B25)&gt;0,"X","")</f>
        <v/>
      </c>
      <c r="AY25" s="114" t="str">
        <f>IF(COUNTIFS(mapping!$B:$B,AY$2,mapping!$D:$D,$B25)&gt;0,"X","")</f>
        <v/>
      </c>
      <c r="AZ25" s="114" t="str">
        <f>IF(COUNTIFS(mapping!$B:$B,AZ$2,mapping!$D:$D,$B25)&gt;0,"X","")</f>
        <v/>
      </c>
      <c r="BA25" s="114" t="str">
        <f>IF(COUNTIFS(mapping!$B:$B,BA$2,mapping!$D:$D,$B25)&gt;0,"X","")</f>
        <v/>
      </c>
      <c r="BB25" s="114" t="str">
        <f>IF(COUNTIFS(mapping!$B:$B,BB$2,mapping!$D:$D,$B25)&gt;0,"X","")</f>
        <v/>
      </c>
      <c r="BC25" s="114" t="str">
        <f>IF(COUNTIFS(mapping!$B:$B,BC$2,mapping!$D:$D,$B25)&gt;0,"X","")</f>
        <v/>
      </c>
      <c r="BD25" s="114" t="str">
        <f>IF(COUNTIFS(mapping!$B:$B,BD$2,mapping!$D:$D,$B25)&gt;0,"X","")</f>
        <v/>
      </c>
      <c r="BE25" s="114" t="str">
        <f>IF(COUNTIFS(mapping!$B:$B,BE$2,mapping!$D:$D,$B25)&gt;0,"X","")</f>
        <v/>
      </c>
      <c r="BF25" s="114" t="str">
        <f>IF(COUNTIFS(mapping!$B:$B,BF$2,mapping!$D:$D,$B25)&gt;0,"X","")</f>
        <v/>
      </c>
      <c r="BG25" s="114" t="str">
        <f>IF(COUNTIFS(mapping!$B:$B,BG$2,mapping!$D:$D,$B25)&gt;0,"X","")</f>
        <v>X</v>
      </c>
      <c r="BH25" s="114" t="str">
        <f>IF(COUNTIFS(mapping!$B:$B,BH$2,mapping!$D:$D,$B25)&gt;0,"X","")</f>
        <v/>
      </c>
      <c r="BI25" s="114" t="str">
        <f>IF(COUNTIFS(mapping!$B:$B,BI$2,mapping!$D:$D,$B25)&gt;0,"X","")</f>
        <v/>
      </c>
      <c r="BJ25" s="114" t="str">
        <f>IF(COUNTIFS(mapping!$B:$B,BJ$2,mapping!$D:$D,$B25)&gt;0,"X","")</f>
        <v/>
      </c>
      <c r="BK25" s="114" t="str">
        <f>IF(COUNTIFS(mapping!$B:$B,BK$2,mapping!$D:$D,$B25)&gt;0,"X","")</f>
        <v/>
      </c>
      <c r="BL25" s="114" t="str">
        <f>IF(COUNTIFS(mapping!$B:$B,BL$2,mapping!$D:$D,$B25)&gt;0,"X","")</f>
        <v/>
      </c>
      <c r="BM25" s="114" t="str">
        <f>IF(COUNTIFS(mapping!$B:$B,BM$2,mapping!$D:$D,$B25)&gt;0,"X","")</f>
        <v/>
      </c>
      <c r="BN25" s="114" t="str">
        <f>IF(COUNTIFS(mapping!$B:$B,BN$2,mapping!$D:$D,$B25)&gt;0,"X","")</f>
        <v/>
      </c>
      <c r="BO25" s="114" t="str">
        <f>IF(COUNTIFS(mapping!$B:$B,BO$2,mapping!$D:$D,$B25)&gt;0,"X","")</f>
        <v/>
      </c>
      <c r="BP25" s="114" t="str">
        <f>IF(COUNTIFS(mapping!$B:$B,BP$2,mapping!$D:$D,$B25)&gt;0,"X","")</f>
        <v/>
      </c>
      <c r="BQ25" s="114" t="str">
        <f>IF(COUNTIFS(mapping!$B:$B,BQ$2,mapping!$D:$D,$B25)&gt;0,"X","")</f>
        <v/>
      </c>
      <c r="BR25" s="114" t="str">
        <f>IF(COUNTIFS(mapping!$B:$B,BR$2,mapping!$D:$D,$B25)&gt;0,"X","")</f>
        <v/>
      </c>
      <c r="BS25" s="114" t="str">
        <f>IF(COUNTIFS(mapping!$B:$B,BS$2,mapping!$D:$D,$B25)&gt;0,"X","")</f>
        <v/>
      </c>
      <c r="BT25" s="114" t="str">
        <f>IF(COUNTIFS(mapping!$B:$B,BT$2,mapping!$D:$D,$B25)&gt;0,"X","")</f>
        <v/>
      </c>
      <c r="BU25" s="114" t="str">
        <f>IF(COUNTIFS(mapping!$B:$B,BU$2,mapping!$D:$D,$B25)&gt;0,"X","")</f>
        <v/>
      </c>
      <c r="BV25" s="114" t="str">
        <f>IF(COUNTIFS(mapping!$B:$B,BV$2,mapping!$D:$D,$B25)&gt;0,"X","")</f>
        <v/>
      </c>
      <c r="BW25" s="114" t="str">
        <f>IF(COUNTIFS(mapping!$B:$B,BW$2,mapping!$D:$D,$B25)&gt;0,"X","")</f>
        <v/>
      </c>
      <c r="BX25" s="114" t="str">
        <f>IF(COUNTIFS(mapping!$B:$B,BX$2,mapping!$D:$D,$B25)&gt;0,"X","")</f>
        <v/>
      </c>
      <c r="BY25" s="114" t="str">
        <f>IF(COUNTIFS(mapping!$B:$B,BY$2,mapping!$D:$D,$B25)&gt;0,"X","")</f>
        <v/>
      </c>
      <c r="BZ25" s="114" t="str">
        <f>IF(COUNTIFS(mapping!$B:$B,BZ$2,mapping!$D:$D,$B25)&gt;0,"X","")</f>
        <v/>
      </c>
      <c r="CA25" s="114" t="str">
        <f>IF(COUNTIFS(mapping!$B:$B,CA$2,mapping!$D:$D,$B25)&gt;0,"X","")</f>
        <v/>
      </c>
      <c r="CB25" s="114" t="str">
        <f>IF(COUNTIFS(mapping!$B:$B,CB$2,mapping!$D:$D,$B25)&gt;0,"X","")</f>
        <v/>
      </c>
      <c r="CC25" s="114" t="str">
        <f>IF(COUNTIFS(mapping!$B:$B,CC$2,mapping!$D:$D,$B25)&gt;0,"X","")</f>
        <v/>
      </c>
      <c r="CD25" s="114" t="str">
        <f>IF(COUNTIFS(mapping!$B:$B,CD$2,mapping!$D:$D,$B25)&gt;0,"X","")</f>
        <v/>
      </c>
      <c r="CE25" s="114" t="str">
        <f>IF(COUNTIFS(mapping!$B:$B,CE$2,mapping!$D:$D,$B25)&gt;0,"X","")</f>
        <v/>
      </c>
      <c r="CF25" s="114" t="str">
        <f>IF(COUNTIFS(mapping!$B:$B,CF$2,mapping!$D:$D,$B25)&gt;0,"X","")</f>
        <v/>
      </c>
      <c r="CG25" s="114" t="str">
        <f>IF(COUNTIFS(mapping!$B:$B,CG$2,mapping!$D:$D,$B25)&gt;0,"X","")</f>
        <v/>
      </c>
      <c r="CH25" s="114" t="str">
        <f>IF(COUNTIFS(mapping!$B:$B,CH$2,mapping!$D:$D,$B25)&gt;0,"X","")</f>
        <v/>
      </c>
    </row>
    <row r="26" spans="1:86" ht="16">
      <c r="A26" s="257"/>
      <c r="B26" s="122" t="s">
        <v>487</v>
      </c>
      <c r="C26" s="114" t="s">
        <v>486</v>
      </c>
      <c r="E26" s="114" t="str">
        <f>IF(COUNTIFS(mapping!$B:$B,E$2,mapping!$D:$D,$B26)&gt;0,"X","")</f>
        <v/>
      </c>
      <c r="F26" s="114" t="str">
        <f>IF(COUNTIFS(mapping!$B:$B,F$2,mapping!$D:$D,$B26)&gt;0,"X","")</f>
        <v>X</v>
      </c>
      <c r="G26" s="114" t="str">
        <f>IF(COUNTIFS(mapping!$B:$B,G$2,mapping!$D:$D,$B26)&gt;0,"X","")</f>
        <v>X</v>
      </c>
      <c r="H26" s="114" t="str">
        <f>IF(COUNTIFS(mapping!$B:$B,H$2,mapping!$D:$D,$B26)&gt;0,"X","")</f>
        <v/>
      </c>
      <c r="I26" s="114" t="str">
        <f>IF(COUNTIFS(mapping!$B:$B,I$2,mapping!$D:$D,$B26)&gt;0,"X","")</f>
        <v>X</v>
      </c>
      <c r="J26" s="114" t="str">
        <f>IF(COUNTIFS(mapping!$B:$B,J$2,mapping!$D:$D,$B26)&gt;0,"X","")</f>
        <v/>
      </c>
      <c r="K26" s="114" t="str">
        <f>IF(COUNTIFS(mapping!$B:$B,K$2,mapping!$D:$D,$B26)&gt;0,"X","")</f>
        <v/>
      </c>
      <c r="L26" s="114" t="str">
        <f>IF(COUNTIFS(mapping!$B:$B,L$2,mapping!$D:$D,$B26)&gt;0,"X","")</f>
        <v/>
      </c>
      <c r="M26" s="114" t="str">
        <f>IF(COUNTIFS(mapping!$B:$B,M$2,mapping!$D:$D,$B26)&gt;0,"X","")</f>
        <v/>
      </c>
      <c r="N26" s="114" t="str">
        <f>IF(COUNTIFS(mapping!$B:$B,N$2,mapping!$D:$D,$B26)&gt;0,"X","")</f>
        <v/>
      </c>
      <c r="O26" s="114" t="str">
        <f>IF(COUNTIFS(mapping!$B:$B,O$2,mapping!$D:$D,$B26)&gt;0,"X","")</f>
        <v/>
      </c>
      <c r="P26" s="114" t="str">
        <f>IF(COUNTIFS(mapping!$B:$B,P$2,mapping!$D:$D,$B26)&gt;0,"X","")</f>
        <v/>
      </c>
      <c r="Q26" s="114" t="str">
        <f>IF(COUNTIFS(mapping!$B:$B,Q$2,mapping!$D:$D,$B26)&gt;0,"X","")</f>
        <v/>
      </c>
      <c r="R26" s="114" t="str">
        <f>IF(COUNTIFS(mapping!$B:$B,R$2,mapping!$D:$D,$B26)&gt;0,"X","")</f>
        <v/>
      </c>
      <c r="S26" s="114" t="str">
        <f>IF(COUNTIFS(mapping!$B:$B,S$2,mapping!$D:$D,$B26)&gt;0,"X","")</f>
        <v/>
      </c>
      <c r="T26" s="114" t="str">
        <f>IF(COUNTIFS(mapping!$B:$B,T$2,mapping!$D:$D,$B26)&gt;0,"X","")</f>
        <v/>
      </c>
      <c r="U26" s="114" t="str">
        <f>IF(COUNTIFS(mapping!$B:$B,U$2,mapping!$D:$D,$B26)&gt;0,"X","")</f>
        <v/>
      </c>
      <c r="V26" s="114" t="str">
        <f>IF(COUNTIFS(mapping!$B:$B,V$2,mapping!$D:$D,$B26)&gt;0,"X","")</f>
        <v/>
      </c>
      <c r="W26" s="114" t="str">
        <f>IF(COUNTIFS(mapping!$B:$B,W$2,mapping!$D:$D,$B26)&gt;0,"X","")</f>
        <v/>
      </c>
      <c r="X26" s="114" t="str">
        <f>IF(COUNTIFS(mapping!$B:$B,X$2,mapping!$D:$D,$B26)&gt;0,"X","")</f>
        <v/>
      </c>
      <c r="Y26" s="114" t="str">
        <f>IF(COUNTIFS(mapping!$B:$B,Y$2,mapping!$D:$D,$B26)&gt;0,"X","")</f>
        <v/>
      </c>
      <c r="Z26" s="114" t="str">
        <f>IF(COUNTIFS(mapping!$B:$B,Z$2,mapping!$D:$D,$B26)&gt;0,"X","")</f>
        <v/>
      </c>
      <c r="AA26" s="114" t="str">
        <f>IF(COUNTIFS(mapping!$B:$B,AA$2,mapping!$D:$D,$B26)&gt;0,"X","")</f>
        <v/>
      </c>
      <c r="AB26" s="114" t="str">
        <f>IF(COUNTIFS(mapping!$B:$B,AB$2,mapping!$D:$D,$B26)&gt;0,"X","")</f>
        <v/>
      </c>
      <c r="AC26" s="114" t="str">
        <f>IF(COUNTIFS(mapping!$B:$B,AC$2,mapping!$D:$D,$B26)&gt;0,"X","")</f>
        <v/>
      </c>
      <c r="AD26" s="114" t="str">
        <f>IF(COUNTIFS(mapping!$B:$B,AD$2,mapping!$D:$D,$B26)&gt;0,"X","")</f>
        <v/>
      </c>
      <c r="AE26" s="114" t="str">
        <f>IF(COUNTIFS(mapping!$B:$B,AE$2,mapping!$D:$D,$B26)&gt;0,"X","")</f>
        <v/>
      </c>
      <c r="AF26" s="114" t="str">
        <f>IF(COUNTIFS(mapping!$B:$B,AF$2,mapping!$D:$D,$B26)&gt;0,"X","")</f>
        <v/>
      </c>
      <c r="AG26" s="114" t="str">
        <f>IF(COUNTIFS(mapping!$B:$B,AG$2,mapping!$D:$D,$B26)&gt;0,"X","")</f>
        <v/>
      </c>
      <c r="AH26" s="114" t="str">
        <f>IF(COUNTIFS(mapping!$B:$B,AH$2,mapping!$D:$D,$B26)&gt;0,"X","")</f>
        <v/>
      </c>
      <c r="AI26" s="114" t="str">
        <f>IF(COUNTIFS(mapping!$B:$B,AI$2,mapping!$D:$D,$B26)&gt;0,"X","")</f>
        <v/>
      </c>
      <c r="AJ26" s="114" t="str">
        <f>IF(COUNTIFS(mapping!$B:$B,AJ$2,mapping!$D:$D,$B26)&gt;0,"X","")</f>
        <v/>
      </c>
      <c r="AK26" s="114" t="str">
        <f>IF(COUNTIFS(mapping!$B:$B,AK$2,mapping!$D:$D,$B26)&gt;0,"X","")</f>
        <v/>
      </c>
      <c r="AL26" s="114" t="str">
        <f>IF(COUNTIFS(mapping!$B:$B,AL$2,mapping!$D:$D,$B26)&gt;0,"X","")</f>
        <v/>
      </c>
      <c r="AM26" s="114" t="str">
        <f>IF(COUNTIFS(mapping!$B:$B,AM$2,mapping!$D:$D,$B26)&gt;0,"X","")</f>
        <v/>
      </c>
      <c r="AN26" s="114" t="str">
        <f>IF(COUNTIFS(mapping!$B:$B,AN$2,mapping!$D:$D,$B26)&gt;0,"X","")</f>
        <v/>
      </c>
      <c r="AO26" s="114" t="str">
        <f>IF(COUNTIFS(mapping!$B:$B,AO$2,mapping!$D:$D,$B26)&gt;0,"X","")</f>
        <v/>
      </c>
      <c r="AP26" s="114" t="str">
        <f>IF(COUNTIFS(mapping!$B:$B,AP$2,mapping!$D:$D,$B26)&gt;0,"X","")</f>
        <v/>
      </c>
      <c r="AQ26" s="114" t="str">
        <f>IF(COUNTIFS(mapping!$B:$B,AQ$2,mapping!$D:$D,$B26)&gt;0,"X","")</f>
        <v/>
      </c>
      <c r="AR26" s="114" t="str">
        <f>IF(COUNTIFS(mapping!$B:$B,AR$2,mapping!$D:$D,$B26)&gt;0,"X","")</f>
        <v/>
      </c>
      <c r="AS26" s="114" t="str">
        <f>IF(COUNTIFS(mapping!$B:$B,AS$2,mapping!$D:$D,$B26)&gt;0,"X","")</f>
        <v/>
      </c>
      <c r="AT26" s="114" t="str">
        <f>IF(COUNTIFS(mapping!$B:$B,AT$2,mapping!$D:$D,$B26)&gt;0,"X","")</f>
        <v/>
      </c>
      <c r="AU26" s="114" t="str">
        <f>IF(COUNTIFS(mapping!$B:$B,AU$2,mapping!$D:$D,$B26)&gt;0,"X","")</f>
        <v/>
      </c>
      <c r="AV26" s="114" t="str">
        <f>IF(COUNTIFS(mapping!$B:$B,AV$2,mapping!$D:$D,$B26)&gt;0,"X","")</f>
        <v/>
      </c>
      <c r="AW26" s="114" t="str">
        <f>IF(COUNTIFS(mapping!$B:$B,AW$2,mapping!$D:$D,$B26)&gt;0,"X","")</f>
        <v/>
      </c>
      <c r="AX26" s="114" t="str">
        <f>IF(COUNTIFS(mapping!$B:$B,AX$2,mapping!$D:$D,$B26)&gt;0,"X","")</f>
        <v/>
      </c>
      <c r="AY26" s="114" t="str">
        <f>IF(COUNTIFS(mapping!$B:$B,AY$2,mapping!$D:$D,$B26)&gt;0,"X","")</f>
        <v/>
      </c>
      <c r="AZ26" s="114" t="str">
        <f>IF(COUNTIFS(mapping!$B:$B,AZ$2,mapping!$D:$D,$B26)&gt;0,"X","")</f>
        <v/>
      </c>
      <c r="BA26" s="114" t="str">
        <f>IF(COUNTIFS(mapping!$B:$B,BA$2,mapping!$D:$D,$B26)&gt;0,"X","")</f>
        <v/>
      </c>
      <c r="BB26" s="114" t="str">
        <f>IF(COUNTIFS(mapping!$B:$B,BB$2,mapping!$D:$D,$B26)&gt;0,"X","")</f>
        <v/>
      </c>
      <c r="BC26" s="114" t="str">
        <f>IF(COUNTIFS(mapping!$B:$B,BC$2,mapping!$D:$D,$B26)&gt;0,"X","")</f>
        <v/>
      </c>
      <c r="BD26" s="114" t="str">
        <f>IF(COUNTIFS(mapping!$B:$B,BD$2,mapping!$D:$D,$B26)&gt;0,"X","")</f>
        <v/>
      </c>
      <c r="BE26" s="114" t="str">
        <f>IF(COUNTIFS(mapping!$B:$B,BE$2,mapping!$D:$D,$B26)&gt;0,"X","")</f>
        <v/>
      </c>
      <c r="BF26" s="114" t="str">
        <f>IF(COUNTIFS(mapping!$B:$B,BF$2,mapping!$D:$D,$B26)&gt;0,"X","")</f>
        <v/>
      </c>
      <c r="BG26" s="114" t="str">
        <f>IF(COUNTIFS(mapping!$B:$B,BG$2,mapping!$D:$D,$B26)&gt;0,"X","")</f>
        <v/>
      </c>
      <c r="BH26" s="114" t="str">
        <f>IF(COUNTIFS(mapping!$B:$B,BH$2,mapping!$D:$D,$B26)&gt;0,"X","")</f>
        <v/>
      </c>
      <c r="BI26" s="114" t="str">
        <f>IF(COUNTIFS(mapping!$B:$B,BI$2,mapping!$D:$D,$B26)&gt;0,"X","")</f>
        <v>X</v>
      </c>
      <c r="BJ26" s="114" t="str">
        <f>IF(COUNTIFS(mapping!$B:$B,BJ$2,mapping!$D:$D,$B26)&gt;0,"X","")</f>
        <v/>
      </c>
      <c r="BK26" s="114" t="str">
        <f>IF(COUNTIFS(mapping!$B:$B,BK$2,mapping!$D:$D,$B26)&gt;0,"X","")</f>
        <v/>
      </c>
      <c r="BL26" s="114" t="str">
        <f>IF(COUNTIFS(mapping!$B:$B,BL$2,mapping!$D:$D,$B26)&gt;0,"X","")</f>
        <v/>
      </c>
      <c r="BM26" s="114" t="str">
        <f>IF(COUNTIFS(mapping!$B:$B,BM$2,mapping!$D:$D,$B26)&gt;0,"X","")</f>
        <v>X</v>
      </c>
      <c r="BN26" s="114" t="str">
        <f>IF(COUNTIFS(mapping!$B:$B,BN$2,mapping!$D:$D,$B26)&gt;0,"X","")</f>
        <v/>
      </c>
      <c r="BO26" s="114" t="str">
        <f>IF(COUNTIFS(mapping!$B:$B,BO$2,mapping!$D:$D,$B26)&gt;0,"X","")</f>
        <v/>
      </c>
      <c r="BP26" s="114" t="str">
        <f>IF(COUNTIFS(mapping!$B:$B,BP$2,mapping!$D:$D,$B26)&gt;0,"X","")</f>
        <v/>
      </c>
      <c r="BQ26" s="114" t="str">
        <f>IF(COUNTIFS(mapping!$B:$B,BQ$2,mapping!$D:$D,$B26)&gt;0,"X","")</f>
        <v/>
      </c>
      <c r="BR26" s="114" t="str">
        <f>IF(COUNTIFS(mapping!$B:$B,BR$2,mapping!$D:$D,$B26)&gt;0,"X","")</f>
        <v/>
      </c>
      <c r="BS26" s="114" t="str">
        <f>IF(COUNTIFS(mapping!$B:$B,BS$2,mapping!$D:$D,$B26)&gt;0,"X","")</f>
        <v/>
      </c>
      <c r="BT26" s="114" t="str">
        <f>IF(COUNTIFS(mapping!$B:$B,BT$2,mapping!$D:$D,$B26)&gt;0,"X","")</f>
        <v/>
      </c>
      <c r="BU26" s="114" t="str">
        <f>IF(COUNTIFS(mapping!$B:$B,BU$2,mapping!$D:$D,$B26)&gt;0,"X","")</f>
        <v>X</v>
      </c>
      <c r="BV26" s="114" t="str">
        <f>IF(COUNTIFS(mapping!$B:$B,BV$2,mapping!$D:$D,$B26)&gt;0,"X","")</f>
        <v/>
      </c>
      <c r="BW26" s="114" t="str">
        <f>IF(COUNTIFS(mapping!$B:$B,BW$2,mapping!$D:$D,$B26)&gt;0,"X","")</f>
        <v/>
      </c>
      <c r="BX26" s="114" t="str">
        <f>IF(COUNTIFS(mapping!$B:$B,BX$2,mapping!$D:$D,$B26)&gt;0,"X","")</f>
        <v/>
      </c>
      <c r="BY26" s="114" t="str">
        <f>IF(COUNTIFS(mapping!$B:$B,BY$2,mapping!$D:$D,$B26)&gt;0,"X","")</f>
        <v/>
      </c>
      <c r="BZ26" s="114" t="str">
        <f>IF(COUNTIFS(mapping!$B:$B,BZ$2,mapping!$D:$D,$B26)&gt;0,"X","")</f>
        <v/>
      </c>
      <c r="CA26" s="114" t="str">
        <f>IF(COUNTIFS(mapping!$B:$B,CA$2,mapping!$D:$D,$B26)&gt;0,"X","")</f>
        <v/>
      </c>
      <c r="CB26" s="114" t="str">
        <f>IF(COUNTIFS(mapping!$B:$B,CB$2,mapping!$D:$D,$B26)&gt;0,"X","")</f>
        <v/>
      </c>
      <c r="CC26" s="114" t="str">
        <f>IF(COUNTIFS(mapping!$B:$B,CC$2,mapping!$D:$D,$B26)&gt;0,"X","")</f>
        <v/>
      </c>
      <c r="CD26" s="114" t="str">
        <f>IF(COUNTIFS(mapping!$B:$B,CD$2,mapping!$D:$D,$B26)&gt;0,"X","")</f>
        <v/>
      </c>
      <c r="CE26" s="114" t="str">
        <f>IF(COUNTIFS(mapping!$B:$B,CE$2,mapping!$D:$D,$B26)&gt;0,"X","")</f>
        <v/>
      </c>
      <c r="CF26" s="114" t="str">
        <f>IF(COUNTIFS(mapping!$B:$B,CF$2,mapping!$D:$D,$B26)&gt;0,"X","")</f>
        <v/>
      </c>
      <c r="CG26" s="114" t="str">
        <f>IF(COUNTIFS(mapping!$B:$B,CG$2,mapping!$D:$D,$B26)&gt;0,"X","")</f>
        <v/>
      </c>
      <c r="CH26" s="114" t="str">
        <f>IF(COUNTIFS(mapping!$B:$B,CH$2,mapping!$D:$D,$B26)&gt;0,"X","")</f>
        <v/>
      </c>
    </row>
    <row r="27" spans="1:86" ht="16">
      <c r="A27" s="257"/>
      <c r="B27" s="122" t="s">
        <v>485</v>
      </c>
      <c r="C27" s="114" t="s">
        <v>484</v>
      </c>
      <c r="E27" s="114" t="str">
        <f>IF(COUNTIFS(mapping!$B:$B,E$2,mapping!$D:$D,$B27)&gt;0,"X","")</f>
        <v/>
      </c>
      <c r="F27" s="114" t="str">
        <f>IF(COUNTIFS(mapping!$B:$B,F$2,mapping!$D:$D,$B27)&gt;0,"X","")</f>
        <v/>
      </c>
      <c r="G27" s="114" t="str">
        <f>IF(COUNTIFS(mapping!$B:$B,G$2,mapping!$D:$D,$B27)&gt;0,"X","")</f>
        <v/>
      </c>
      <c r="H27" s="114" t="str">
        <f>IF(COUNTIFS(mapping!$B:$B,H$2,mapping!$D:$D,$B27)&gt;0,"X","")</f>
        <v/>
      </c>
      <c r="I27" s="114" t="str">
        <f>IF(COUNTIFS(mapping!$B:$B,I$2,mapping!$D:$D,$B27)&gt;0,"X","")</f>
        <v/>
      </c>
      <c r="J27" s="114" t="str">
        <f>IF(COUNTIFS(mapping!$B:$B,J$2,mapping!$D:$D,$B27)&gt;0,"X","")</f>
        <v/>
      </c>
      <c r="K27" s="114" t="str">
        <f>IF(COUNTIFS(mapping!$B:$B,K$2,mapping!$D:$D,$B27)&gt;0,"X","")</f>
        <v/>
      </c>
      <c r="L27" s="114" t="str">
        <f>IF(COUNTIFS(mapping!$B:$B,L$2,mapping!$D:$D,$B27)&gt;0,"X","")</f>
        <v/>
      </c>
      <c r="M27" s="114" t="str">
        <f>IF(COUNTIFS(mapping!$B:$B,M$2,mapping!$D:$D,$B27)&gt;0,"X","")</f>
        <v/>
      </c>
      <c r="N27" s="114" t="str">
        <f>IF(COUNTIFS(mapping!$B:$B,N$2,mapping!$D:$D,$B27)&gt;0,"X","")</f>
        <v/>
      </c>
      <c r="O27" s="114" t="str">
        <f>IF(COUNTIFS(mapping!$B:$B,O$2,mapping!$D:$D,$B27)&gt;0,"X","")</f>
        <v/>
      </c>
      <c r="P27" s="114" t="str">
        <f>IF(COUNTIFS(mapping!$B:$B,P$2,mapping!$D:$D,$B27)&gt;0,"X","")</f>
        <v/>
      </c>
      <c r="Q27" s="114" t="str">
        <f>IF(COUNTIFS(mapping!$B:$B,Q$2,mapping!$D:$D,$B27)&gt;0,"X","")</f>
        <v/>
      </c>
      <c r="R27" s="114" t="str">
        <f>IF(COUNTIFS(mapping!$B:$B,R$2,mapping!$D:$D,$B27)&gt;0,"X","")</f>
        <v/>
      </c>
      <c r="S27" s="114" t="str">
        <f>IF(COUNTIFS(mapping!$B:$B,S$2,mapping!$D:$D,$B27)&gt;0,"X","")</f>
        <v/>
      </c>
      <c r="T27" s="114" t="str">
        <f>IF(COUNTIFS(mapping!$B:$B,T$2,mapping!$D:$D,$B27)&gt;0,"X","")</f>
        <v/>
      </c>
      <c r="U27" s="114" t="str">
        <f>IF(COUNTIFS(mapping!$B:$B,U$2,mapping!$D:$D,$B27)&gt;0,"X","")</f>
        <v/>
      </c>
      <c r="V27" s="114" t="str">
        <f>IF(COUNTIFS(mapping!$B:$B,V$2,mapping!$D:$D,$B27)&gt;0,"X","")</f>
        <v/>
      </c>
      <c r="W27" s="114" t="str">
        <f>IF(COUNTIFS(mapping!$B:$B,W$2,mapping!$D:$D,$B27)&gt;0,"X","")</f>
        <v/>
      </c>
      <c r="X27" s="114" t="str">
        <f>IF(COUNTIFS(mapping!$B:$B,X$2,mapping!$D:$D,$B27)&gt;0,"X","")</f>
        <v/>
      </c>
      <c r="Y27" s="114" t="str">
        <f>IF(COUNTIFS(mapping!$B:$B,Y$2,mapping!$D:$D,$B27)&gt;0,"X","")</f>
        <v/>
      </c>
      <c r="Z27" s="114" t="str">
        <f>IF(COUNTIFS(mapping!$B:$B,Z$2,mapping!$D:$D,$B27)&gt;0,"X","")</f>
        <v>X</v>
      </c>
      <c r="AA27" s="114" t="str">
        <f>IF(COUNTIFS(mapping!$B:$B,AA$2,mapping!$D:$D,$B27)&gt;0,"X","")</f>
        <v/>
      </c>
      <c r="AB27" s="114" t="str">
        <f>IF(COUNTIFS(mapping!$B:$B,AB$2,mapping!$D:$D,$B27)&gt;0,"X","")</f>
        <v/>
      </c>
      <c r="AC27" s="114" t="str">
        <f>IF(COUNTIFS(mapping!$B:$B,AC$2,mapping!$D:$D,$B27)&gt;0,"X","")</f>
        <v/>
      </c>
      <c r="AD27" s="114" t="str">
        <f>IF(COUNTIFS(mapping!$B:$B,AD$2,mapping!$D:$D,$B27)&gt;0,"X","")</f>
        <v/>
      </c>
      <c r="AE27" s="114" t="str">
        <f>IF(COUNTIFS(mapping!$B:$B,AE$2,mapping!$D:$D,$B27)&gt;0,"X","")</f>
        <v/>
      </c>
      <c r="AF27" s="114" t="str">
        <f>IF(COUNTIFS(mapping!$B:$B,AF$2,mapping!$D:$D,$B27)&gt;0,"X","")</f>
        <v/>
      </c>
      <c r="AG27" s="114" t="str">
        <f>IF(COUNTIFS(mapping!$B:$B,AG$2,mapping!$D:$D,$B27)&gt;0,"X","")</f>
        <v/>
      </c>
      <c r="AH27" s="114" t="str">
        <f>IF(COUNTIFS(mapping!$B:$B,AH$2,mapping!$D:$D,$B27)&gt;0,"X","")</f>
        <v/>
      </c>
      <c r="AI27" s="114" t="str">
        <f>IF(COUNTIFS(mapping!$B:$B,AI$2,mapping!$D:$D,$B27)&gt;0,"X","")</f>
        <v/>
      </c>
      <c r="AJ27" s="114" t="str">
        <f>IF(COUNTIFS(mapping!$B:$B,AJ$2,mapping!$D:$D,$B27)&gt;0,"X","")</f>
        <v/>
      </c>
      <c r="AK27" s="114" t="str">
        <f>IF(COUNTIFS(mapping!$B:$B,AK$2,mapping!$D:$D,$B27)&gt;0,"X","")</f>
        <v/>
      </c>
      <c r="AL27" s="114" t="str">
        <f>IF(COUNTIFS(mapping!$B:$B,AL$2,mapping!$D:$D,$B27)&gt;0,"X","")</f>
        <v/>
      </c>
      <c r="AM27" s="114" t="str">
        <f>IF(COUNTIFS(mapping!$B:$B,AM$2,mapping!$D:$D,$B27)&gt;0,"X","")</f>
        <v/>
      </c>
      <c r="AN27" s="114" t="str">
        <f>IF(COUNTIFS(mapping!$B:$B,AN$2,mapping!$D:$D,$B27)&gt;0,"X","")</f>
        <v/>
      </c>
      <c r="AO27" s="114" t="str">
        <f>IF(COUNTIFS(mapping!$B:$B,AO$2,mapping!$D:$D,$B27)&gt;0,"X","")</f>
        <v/>
      </c>
      <c r="AP27" s="114" t="str">
        <f>IF(COUNTIFS(mapping!$B:$B,AP$2,mapping!$D:$D,$B27)&gt;0,"X","")</f>
        <v/>
      </c>
      <c r="AQ27" s="114" t="str">
        <f>IF(COUNTIFS(mapping!$B:$B,AQ$2,mapping!$D:$D,$B27)&gt;0,"X","")</f>
        <v/>
      </c>
      <c r="AR27" s="114" t="str">
        <f>IF(COUNTIFS(mapping!$B:$B,AR$2,mapping!$D:$D,$B27)&gt;0,"X","")</f>
        <v/>
      </c>
      <c r="AS27" s="114" t="str">
        <f>IF(COUNTIFS(mapping!$B:$B,AS$2,mapping!$D:$D,$B27)&gt;0,"X","")</f>
        <v/>
      </c>
      <c r="AT27" s="114" t="str">
        <f>IF(COUNTIFS(mapping!$B:$B,AT$2,mapping!$D:$D,$B27)&gt;0,"X","")</f>
        <v/>
      </c>
      <c r="AU27" s="114" t="str">
        <f>IF(COUNTIFS(mapping!$B:$B,AU$2,mapping!$D:$D,$B27)&gt;0,"X","")</f>
        <v/>
      </c>
      <c r="AV27" s="114" t="str">
        <f>IF(COUNTIFS(mapping!$B:$B,AV$2,mapping!$D:$D,$B27)&gt;0,"X","")</f>
        <v/>
      </c>
      <c r="AW27" s="114" t="str">
        <f>IF(COUNTIFS(mapping!$B:$B,AW$2,mapping!$D:$D,$B27)&gt;0,"X","")</f>
        <v/>
      </c>
      <c r="AX27" s="114" t="str">
        <f>IF(COUNTIFS(mapping!$B:$B,AX$2,mapping!$D:$D,$B27)&gt;0,"X","")</f>
        <v/>
      </c>
      <c r="AY27" s="114" t="str">
        <f>IF(COUNTIFS(mapping!$B:$B,AY$2,mapping!$D:$D,$B27)&gt;0,"X","")</f>
        <v/>
      </c>
      <c r="AZ27" s="114" t="str">
        <f>IF(COUNTIFS(mapping!$B:$B,AZ$2,mapping!$D:$D,$B27)&gt;0,"X","")</f>
        <v/>
      </c>
      <c r="BA27" s="114" t="str">
        <f>IF(COUNTIFS(mapping!$B:$B,BA$2,mapping!$D:$D,$B27)&gt;0,"X","")</f>
        <v>X</v>
      </c>
      <c r="BB27" s="114" t="str">
        <f>IF(COUNTIFS(mapping!$B:$B,BB$2,mapping!$D:$D,$B27)&gt;0,"X","")</f>
        <v/>
      </c>
      <c r="BC27" s="114" t="str">
        <f>IF(COUNTIFS(mapping!$B:$B,BC$2,mapping!$D:$D,$B27)&gt;0,"X","")</f>
        <v/>
      </c>
      <c r="BD27" s="114" t="str">
        <f>IF(COUNTIFS(mapping!$B:$B,BD$2,mapping!$D:$D,$B27)&gt;0,"X","")</f>
        <v/>
      </c>
      <c r="BE27" s="114" t="str">
        <f>IF(COUNTIFS(mapping!$B:$B,BE$2,mapping!$D:$D,$B27)&gt;0,"X","")</f>
        <v/>
      </c>
      <c r="BF27" s="114" t="str">
        <f>IF(COUNTIFS(mapping!$B:$B,BF$2,mapping!$D:$D,$B27)&gt;0,"X","")</f>
        <v>X</v>
      </c>
      <c r="BG27" s="114" t="str">
        <f>IF(COUNTIFS(mapping!$B:$B,BG$2,mapping!$D:$D,$B27)&gt;0,"X","")</f>
        <v/>
      </c>
      <c r="BH27" s="114" t="str">
        <f>IF(COUNTIFS(mapping!$B:$B,BH$2,mapping!$D:$D,$B27)&gt;0,"X","")</f>
        <v/>
      </c>
      <c r="BI27" s="114" t="str">
        <f>IF(COUNTIFS(mapping!$B:$B,BI$2,mapping!$D:$D,$B27)&gt;0,"X","")</f>
        <v/>
      </c>
      <c r="BJ27" s="114" t="str">
        <f>IF(COUNTIFS(mapping!$B:$B,BJ$2,mapping!$D:$D,$B27)&gt;0,"X","")</f>
        <v/>
      </c>
      <c r="BK27" s="114" t="str">
        <f>IF(COUNTIFS(mapping!$B:$B,BK$2,mapping!$D:$D,$B27)&gt;0,"X","")</f>
        <v/>
      </c>
      <c r="BL27" s="114" t="str">
        <f>IF(COUNTIFS(mapping!$B:$B,BL$2,mapping!$D:$D,$B27)&gt;0,"X","")</f>
        <v/>
      </c>
      <c r="BM27" s="114" t="str">
        <f>IF(COUNTIFS(mapping!$B:$B,BM$2,mapping!$D:$D,$B27)&gt;0,"X","")</f>
        <v/>
      </c>
      <c r="BN27" s="114" t="str">
        <f>IF(COUNTIFS(mapping!$B:$B,BN$2,mapping!$D:$D,$B27)&gt;0,"X","")</f>
        <v/>
      </c>
      <c r="BO27" s="114" t="str">
        <f>IF(COUNTIFS(mapping!$B:$B,BO$2,mapping!$D:$D,$B27)&gt;0,"X","")</f>
        <v/>
      </c>
      <c r="BP27" s="114" t="str">
        <f>IF(COUNTIFS(mapping!$B:$B,BP$2,mapping!$D:$D,$B27)&gt;0,"X","")</f>
        <v/>
      </c>
      <c r="BQ27" s="114" t="str">
        <f>IF(COUNTIFS(mapping!$B:$B,BQ$2,mapping!$D:$D,$B27)&gt;0,"X","")</f>
        <v/>
      </c>
      <c r="BR27" s="114" t="str">
        <f>IF(COUNTIFS(mapping!$B:$B,BR$2,mapping!$D:$D,$B27)&gt;0,"X","")</f>
        <v/>
      </c>
      <c r="BS27" s="114" t="str">
        <f>IF(COUNTIFS(mapping!$B:$B,BS$2,mapping!$D:$D,$B27)&gt;0,"X","")</f>
        <v/>
      </c>
      <c r="BT27" s="114" t="str">
        <f>IF(COUNTIFS(mapping!$B:$B,BT$2,mapping!$D:$D,$B27)&gt;0,"X","")</f>
        <v/>
      </c>
      <c r="BU27" s="114" t="str">
        <f>IF(COUNTIFS(mapping!$B:$B,BU$2,mapping!$D:$D,$B27)&gt;0,"X","")</f>
        <v/>
      </c>
      <c r="BV27" s="114" t="str">
        <f>IF(COUNTIFS(mapping!$B:$B,BV$2,mapping!$D:$D,$B27)&gt;0,"X","")</f>
        <v/>
      </c>
      <c r="BW27" s="114" t="str">
        <f>IF(COUNTIFS(mapping!$B:$B,BW$2,mapping!$D:$D,$B27)&gt;0,"X","")</f>
        <v/>
      </c>
      <c r="BX27" s="114" t="str">
        <f>IF(COUNTIFS(mapping!$B:$B,BX$2,mapping!$D:$D,$B27)&gt;0,"X","")</f>
        <v/>
      </c>
      <c r="BY27" s="114" t="str">
        <f>IF(COUNTIFS(mapping!$B:$B,BY$2,mapping!$D:$D,$B27)&gt;0,"X","")</f>
        <v/>
      </c>
      <c r="BZ27" s="114" t="str">
        <f>IF(COUNTIFS(mapping!$B:$B,BZ$2,mapping!$D:$D,$B27)&gt;0,"X","")</f>
        <v/>
      </c>
      <c r="CA27" s="114" t="str">
        <f>IF(COUNTIFS(mapping!$B:$B,CA$2,mapping!$D:$D,$B27)&gt;0,"X","")</f>
        <v/>
      </c>
      <c r="CB27" s="114" t="str">
        <f>IF(COUNTIFS(mapping!$B:$B,CB$2,mapping!$D:$D,$B27)&gt;0,"X","")</f>
        <v/>
      </c>
      <c r="CC27" s="114" t="str">
        <f>IF(COUNTIFS(mapping!$B:$B,CC$2,mapping!$D:$D,$B27)&gt;0,"X","")</f>
        <v/>
      </c>
      <c r="CD27" s="114" t="str">
        <f>IF(COUNTIFS(mapping!$B:$B,CD$2,mapping!$D:$D,$B27)&gt;0,"X","")</f>
        <v/>
      </c>
      <c r="CE27" s="114" t="str">
        <f>IF(COUNTIFS(mapping!$B:$B,CE$2,mapping!$D:$D,$B27)&gt;0,"X","")</f>
        <v/>
      </c>
      <c r="CF27" s="114" t="str">
        <f>IF(COUNTIFS(mapping!$B:$B,CF$2,mapping!$D:$D,$B27)&gt;0,"X","")</f>
        <v/>
      </c>
      <c r="CG27" s="114" t="str">
        <f>IF(COUNTIFS(mapping!$B:$B,CG$2,mapping!$D:$D,$B27)&gt;0,"X","")</f>
        <v/>
      </c>
      <c r="CH27" s="114" t="str">
        <f>IF(COUNTIFS(mapping!$B:$B,CH$2,mapping!$D:$D,$B27)&gt;0,"X","")</f>
        <v/>
      </c>
    </row>
    <row r="28" spans="1:86" ht="16">
      <c r="A28" s="257"/>
      <c r="B28" s="125" t="s">
        <v>483</v>
      </c>
      <c r="C28" s="126" t="s">
        <v>482</v>
      </c>
      <c r="E28" s="114" t="str">
        <f>IF(COUNTIFS(mapping!$B:$B,E$2,mapping!$D:$D,$B28)&gt;0,"X","")</f>
        <v/>
      </c>
      <c r="F28" s="114" t="str">
        <f>IF(COUNTIFS(mapping!$B:$B,F$2,mapping!$D:$D,$B28)&gt;0,"X","")</f>
        <v/>
      </c>
      <c r="G28" s="114" t="str">
        <f>IF(COUNTIFS(mapping!$B:$B,G$2,mapping!$D:$D,$B28)&gt;0,"X","")</f>
        <v/>
      </c>
      <c r="H28" s="114" t="str">
        <f>IF(COUNTIFS(mapping!$B:$B,H$2,mapping!$D:$D,$B28)&gt;0,"X","")</f>
        <v/>
      </c>
      <c r="I28" s="114" t="str">
        <f>IF(COUNTIFS(mapping!$B:$B,I$2,mapping!$D:$D,$B28)&gt;0,"X","")</f>
        <v/>
      </c>
      <c r="J28" s="114" t="str">
        <f>IF(COUNTIFS(mapping!$B:$B,J$2,mapping!$D:$D,$B28)&gt;0,"X","")</f>
        <v/>
      </c>
      <c r="K28" s="114" t="str">
        <f>IF(COUNTIFS(mapping!$B:$B,K$2,mapping!$D:$D,$B28)&gt;0,"X","")</f>
        <v/>
      </c>
      <c r="L28" s="114" t="str">
        <f>IF(COUNTIFS(mapping!$B:$B,L$2,mapping!$D:$D,$B28)&gt;0,"X","")</f>
        <v/>
      </c>
      <c r="M28" s="114" t="str">
        <f>IF(COUNTIFS(mapping!$B:$B,M$2,mapping!$D:$D,$B28)&gt;0,"X","")</f>
        <v/>
      </c>
      <c r="N28" s="114" t="str">
        <f>IF(COUNTIFS(mapping!$B:$B,N$2,mapping!$D:$D,$B28)&gt;0,"X","")</f>
        <v/>
      </c>
      <c r="O28" s="114" t="str">
        <f>IF(COUNTIFS(mapping!$B:$B,O$2,mapping!$D:$D,$B28)&gt;0,"X","")</f>
        <v/>
      </c>
      <c r="P28" s="114" t="str">
        <f>IF(COUNTIFS(mapping!$B:$B,P$2,mapping!$D:$D,$B28)&gt;0,"X","")</f>
        <v/>
      </c>
      <c r="Q28" s="114" t="str">
        <f>IF(COUNTIFS(mapping!$B:$B,Q$2,mapping!$D:$D,$B28)&gt;0,"X","")</f>
        <v/>
      </c>
      <c r="R28" s="114" t="str">
        <f>IF(COUNTIFS(mapping!$B:$B,R$2,mapping!$D:$D,$B28)&gt;0,"X","")</f>
        <v/>
      </c>
      <c r="S28" s="114" t="str">
        <f>IF(COUNTIFS(mapping!$B:$B,S$2,mapping!$D:$D,$B28)&gt;0,"X","")</f>
        <v/>
      </c>
      <c r="T28" s="114" t="str">
        <f>IF(COUNTIFS(mapping!$B:$B,T$2,mapping!$D:$D,$B28)&gt;0,"X","")</f>
        <v/>
      </c>
      <c r="U28" s="114" t="str">
        <f>IF(COUNTIFS(mapping!$B:$B,U$2,mapping!$D:$D,$B28)&gt;0,"X","")</f>
        <v/>
      </c>
      <c r="V28" s="114" t="str">
        <f>IF(COUNTIFS(mapping!$B:$B,V$2,mapping!$D:$D,$B28)&gt;0,"X","")</f>
        <v/>
      </c>
      <c r="W28" s="114" t="str">
        <f>IF(COUNTIFS(mapping!$B:$B,W$2,mapping!$D:$D,$B28)&gt;0,"X","")</f>
        <v/>
      </c>
      <c r="X28" s="114" t="str">
        <f>IF(COUNTIFS(mapping!$B:$B,X$2,mapping!$D:$D,$B28)&gt;0,"X","")</f>
        <v/>
      </c>
      <c r="Y28" s="114" t="str">
        <f>IF(COUNTIFS(mapping!$B:$B,Y$2,mapping!$D:$D,$B28)&gt;0,"X","")</f>
        <v/>
      </c>
      <c r="Z28" s="114" t="str">
        <f>IF(COUNTIFS(mapping!$B:$B,Z$2,mapping!$D:$D,$B28)&gt;0,"X","")</f>
        <v/>
      </c>
      <c r="AA28" s="114" t="str">
        <f>IF(COUNTIFS(mapping!$B:$B,AA$2,mapping!$D:$D,$B28)&gt;0,"X","")</f>
        <v/>
      </c>
      <c r="AB28" s="114" t="str">
        <f>IF(COUNTIFS(mapping!$B:$B,AB$2,mapping!$D:$D,$B28)&gt;0,"X","")</f>
        <v/>
      </c>
      <c r="AC28" s="114" t="str">
        <f>IF(COUNTIFS(mapping!$B:$B,AC$2,mapping!$D:$D,$B28)&gt;0,"X","")</f>
        <v/>
      </c>
      <c r="AD28" s="114" t="str">
        <f>IF(COUNTIFS(mapping!$B:$B,AD$2,mapping!$D:$D,$B28)&gt;0,"X","")</f>
        <v/>
      </c>
      <c r="AE28" s="114" t="str">
        <f>IF(COUNTIFS(mapping!$B:$B,AE$2,mapping!$D:$D,$B28)&gt;0,"X","")</f>
        <v/>
      </c>
      <c r="AF28" s="114" t="str">
        <f>IF(COUNTIFS(mapping!$B:$B,AF$2,mapping!$D:$D,$B28)&gt;0,"X","")</f>
        <v/>
      </c>
      <c r="AG28" s="114" t="str">
        <f>IF(COUNTIFS(mapping!$B:$B,AG$2,mapping!$D:$D,$B28)&gt;0,"X","")</f>
        <v/>
      </c>
      <c r="AH28" s="114" t="str">
        <f>IF(COUNTIFS(mapping!$B:$B,AH$2,mapping!$D:$D,$B28)&gt;0,"X","")</f>
        <v/>
      </c>
      <c r="AI28" s="114" t="str">
        <f>IF(COUNTIFS(mapping!$B:$B,AI$2,mapping!$D:$D,$B28)&gt;0,"X","")</f>
        <v/>
      </c>
      <c r="AJ28" s="114" t="str">
        <f>IF(COUNTIFS(mapping!$B:$B,AJ$2,mapping!$D:$D,$B28)&gt;0,"X","")</f>
        <v/>
      </c>
      <c r="AK28" s="114" t="str">
        <f>IF(COUNTIFS(mapping!$B:$B,AK$2,mapping!$D:$D,$B28)&gt;0,"X","")</f>
        <v/>
      </c>
      <c r="AL28" s="114" t="str">
        <f>IF(COUNTIFS(mapping!$B:$B,AL$2,mapping!$D:$D,$B28)&gt;0,"X","")</f>
        <v/>
      </c>
      <c r="AM28" s="114" t="str">
        <f>IF(COUNTIFS(mapping!$B:$B,AM$2,mapping!$D:$D,$B28)&gt;0,"X","")</f>
        <v/>
      </c>
      <c r="AN28" s="114" t="str">
        <f>IF(COUNTIFS(mapping!$B:$B,AN$2,mapping!$D:$D,$B28)&gt;0,"X","")</f>
        <v/>
      </c>
      <c r="AO28" s="114" t="str">
        <f>IF(COUNTIFS(mapping!$B:$B,AO$2,mapping!$D:$D,$B28)&gt;0,"X","")</f>
        <v/>
      </c>
      <c r="AP28" s="114" t="str">
        <f>IF(COUNTIFS(mapping!$B:$B,AP$2,mapping!$D:$D,$B28)&gt;0,"X","")</f>
        <v/>
      </c>
      <c r="AQ28" s="114" t="str">
        <f>IF(COUNTIFS(mapping!$B:$B,AQ$2,mapping!$D:$D,$B28)&gt;0,"X","")</f>
        <v/>
      </c>
      <c r="AR28" s="114" t="str">
        <f>IF(COUNTIFS(mapping!$B:$B,AR$2,mapping!$D:$D,$B28)&gt;0,"X","")</f>
        <v/>
      </c>
      <c r="AS28" s="114" t="str">
        <f>IF(COUNTIFS(mapping!$B:$B,AS$2,mapping!$D:$D,$B28)&gt;0,"X","")</f>
        <v/>
      </c>
      <c r="AT28" s="114" t="str">
        <f>IF(COUNTIFS(mapping!$B:$B,AT$2,mapping!$D:$D,$B28)&gt;0,"X","")</f>
        <v/>
      </c>
      <c r="AU28" s="114" t="str">
        <f>IF(COUNTIFS(mapping!$B:$B,AU$2,mapping!$D:$D,$B28)&gt;0,"X","")</f>
        <v/>
      </c>
      <c r="AV28" s="114" t="str">
        <f>IF(COUNTIFS(mapping!$B:$B,AV$2,mapping!$D:$D,$B28)&gt;0,"X","")</f>
        <v>X</v>
      </c>
      <c r="AW28" s="114" t="str">
        <f>IF(COUNTIFS(mapping!$B:$B,AW$2,mapping!$D:$D,$B28)&gt;0,"X","")</f>
        <v/>
      </c>
      <c r="AX28" s="114" t="str">
        <f>IF(COUNTIFS(mapping!$B:$B,AX$2,mapping!$D:$D,$B28)&gt;0,"X","")</f>
        <v/>
      </c>
      <c r="AY28" s="114" t="str">
        <f>IF(COUNTIFS(mapping!$B:$B,AY$2,mapping!$D:$D,$B28)&gt;0,"X","")</f>
        <v>X</v>
      </c>
      <c r="AZ28" s="114" t="str">
        <f>IF(COUNTIFS(mapping!$B:$B,AZ$2,mapping!$D:$D,$B28)&gt;0,"X","")</f>
        <v/>
      </c>
      <c r="BA28" s="114" t="str">
        <f>IF(COUNTIFS(mapping!$B:$B,BA$2,mapping!$D:$D,$B28)&gt;0,"X","")</f>
        <v/>
      </c>
      <c r="BB28" s="114" t="str">
        <f>IF(COUNTIFS(mapping!$B:$B,BB$2,mapping!$D:$D,$B28)&gt;0,"X","")</f>
        <v>X</v>
      </c>
      <c r="BC28" s="114" t="str">
        <f>IF(COUNTIFS(mapping!$B:$B,BC$2,mapping!$D:$D,$B28)&gt;0,"X","")</f>
        <v/>
      </c>
      <c r="BD28" s="114" t="str">
        <f>IF(COUNTIFS(mapping!$B:$B,BD$2,mapping!$D:$D,$B28)&gt;0,"X","")</f>
        <v>X</v>
      </c>
      <c r="BE28" s="114" t="str">
        <f>IF(COUNTIFS(mapping!$B:$B,BE$2,mapping!$D:$D,$B28)&gt;0,"X","")</f>
        <v/>
      </c>
      <c r="BF28" s="114" t="str">
        <f>IF(COUNTIFS(mapping!$B:$B,BF$2,mapping!$D:$D,$B28)&gt;0,"X","")</f>
        <v/>
      </c>
      <c r="BG28" s="114" t="str">
        <f>IF(COUNTIFS(mapping!$B:$B,BG$2,mapping!$D:$D,$B28)&gt;0,"X","")</f>
        <v/>
      </c>
      <c r="BH28" s="114" t="str">
        <f>IF(COUNTIFS(mapping!$B:$B,BH$2,mapping!$D:$D,$B28)&gt;0,"X","")</f>
        <v/>
      </c>
      <c r="BI28" s="114" t="str">
        <f>IF(COUNTIFS(mapping!$B:$B,BI$2,mapping!$D:$D,$B28)&gt;0,"X","")</f>
        <v/>
      </c>
      <c r="BJ28" s="114" t="str">
        <f>IF(COUNTIFS(mapping!$B:$B,BJ$2,mapping!$D:$D,$B28)&gt;0,"X","")</f>
        <v/>
      </c>
      <c r="BK28" s="114" t="str">
        <f>IF(COUNTIFS(mapping!$B:$B,BK$2,mapping!$D:$D,$B28)&gt;0,"X","")</f>
        <v/>
      </c>
      <c r="BL28" s="114" t="str">
        <f>IF(COUNTIFS(mapping!$B:$B,BL$2,mapping!$D:$D,$B28)&gt;0,"X","")</f>
        <v/>
      </c>
      <c r="BM28" s="114" t="str">
        <f>IF(COUNTIFS(mapping!$B:$B,BM$2,mapping!$D:$D,$B28)&gt;0,"X","")</f>
        <v/>
      </c>
      <c r="BN28" s="114" t="str">
        <f>IF(COUNTIFS(mapping!$B:$B,BN$2,mapping!$D:$D,$B28)&gt;0,"X","")</f>
        <v/>
      </c>
      <c r="BO28" s="114" t="str">
        <f>IF(COUNTIFS(mapping!$B:$B,BO$2,mapping!$D:$D,$B28)&gt;0,"X","")</f>
        <v/>
      </c>
      <c r="BP28" s="114" t="str">
        <f>IF(COUNTIFS(mapping!$B:$B,BP$2,mapping!$D:$D,$B28)&gt;0,"X","")</f>
        <v/>
      </c>
      <c r="BQ28" s="114" t="str">
        <f>IF(COUNTIFS(mapping!$B:$B,BQ$2,mapping!$D:$D,$B28)&gt;0,"X","")</f>
        <v/>
      </c>
      <c r="BR28" s="114" t="str">
        <f>IF(COUNTIFS(mapping!$B:$B,BR$2,mapping!$D:$D,$B28)&gt;0,"X","")</f>
        <v/>
      </c>
      <c r="BS28" s="114" t="str">
        <f>IF(COUNTIFS(mapping!$B:$B,BS$2,mapping!$D:$D,$B28)&gt;0,"X","")</f>
        <v/>
      </c>
      <c r="BT28" s="114" t="str">
        <f>IF(COUNTIFS(mapping!$B:$B,BT$2,mapping!$D:$D,$B28)&gt;0,"X","")</f>
        <v/>
      </c>
      <c r="BU28" s="114" t="str">
        <f>IF(COUNTIFS(mapping!$B:$B,BU$2,mapping!$D:$D,$B28)&gt;0,"X","")</f>
        <v/>
      </c>
      <c r="BV28" s="114" t="str">
        <f>IF(COUNTIFS(mapping!$B:$B,BV$2,mapping!$D:$D,$B28)&gt;0,"X","")</f>
        <v/>
      </c>
      <c r="BW28" s="114" t="str">
        <f>IF(COUNTIFS(mapping!$B:$B,BW$2,mapping!$D:$D,$B28)&gt;0,"X","")</f>
        <v/>
      </c>
      <c r="BX28" s="114" t="str">
        <f>IF(COUNTIFS(mapping!$B:$B,BX$2,mapping!$D:$D,$B28)&gt;0,"X","")</f>
        <v/>
      </c>
      <c r="BY28" s="114" t="str">
        <f>IF(COUNTIFS(mapping!$B:$B,BY$2,mapping!$D:$D,$B28)&gt;0,"X","")</f>
        <v/>
      </c>
      <c r="BZ28" s="114" t="str">
        <f>IF(COUNTIFS(mapping!$B:$B,BZ$2,mapping!$D:$D,$B28)&gt;0,"X","")</f>
        <v/>
      </c>
      <c r="CA28" s="114" t="str">
        <f>IF(COUNTIFS(mapping!$B:$B,CA$2,mapping!$D:$D,$B28)&gt;0,"X","")</f>
        <v/>
      </c>
      <c r="CB28" s="114" t="str">
        <f>IF(COUNTIFS(mapping!$B:$B,CB$2,mapping!$D:$D,$B28)&gt;0,"X","")</f>
        <v/>
      </c>
      <c r="CC28" s="114" t="str">
        <f>IF(COUNTIFS(mapping!$B:$B,CC$2,mapping!$D:$D,$B28)&gt;0,"X","")</f>
        <v/>
      </c>
      <c r="CD28" s="114" t="str">
        <f>IF(COUNTIFS(mapping!$B:$B,CD$2,mapping!$D:$D,$B28)&gt;0,"X","")</f>
        <v/>
      </c>
      <c r="CE28" s="114" t="str">
        <f>IF(COUNTIFS(mapping!$B:$B,CE$2,mapping!$D:$D,$B28)&gt;0,"X","")</f>
        <v/>
      </c>
      <c r="CF28" s="114" t="str">
        <f>IF(COUNTIFS(mapping!$B:$B,CF$2,mapping!$D:$D,$B28)&gt;0,"X","")</f>
        <v/>
      </c>
      <c r="CG28" s="114" t="str">
        <f>IF(COUNTIFS(mapping!$B:$B,CG$2,mapping!$D:$D,$B28)&gt;0,"X","")</f>
        <v/>
      </c>
      <c r="CH28" s="114" t="str">
        <f>IF(COUNTIFS(mapping!$B:$B,CH$2,mapping!$D:$D,$B28)&gt;0,"X","")</f>
        <v/>
      </c>
    </row>
    <row r="29" spans="1:86" ht="16">
      <c r="A29" s="257"/>
      <c r="B29" s="122" t="s">
        <v>481</v>
      </c>
      <c r="C29" s="114" t="s">
        <v>480</v>
      </c>
      <c r="E29" s="114" t="str">
        <f>IF(COUNTIFS(mapping!$B:$B,E$2,mapping!$D:$D,$B29)&gt;0,"X","")</f>
        <v/>
      </c>
      <c r="F29" s="114" t="str">
        <f>IF(COUNTIFS(mapping!$B:$B,F$2,mapping!$D:$D,$B29)&gt;0,"X","")</f>
        <v/>
      </c>
      <c r="G29" s="114" t="str">
        <f>IF(COUNTIFS(mapping!$B:$B,G$2,mapping!$D:$D,$B29)&gt;0,"X","")</f>
        <v/>
      </c>
      <c r="H29" s="114" t="str">
        <f>IF(COUNTIFS(mapping!$B:$B,H$2,mapping!$D:$D,$B29)&gt;0,"X","")</f>
        <v/>
      </c>
      <c r="I29" s="114" t="str">
        <f>IF(COUNTIFS(mapping!$B:$B,I$2,mapping!$D:$D,$B29)&gt;0,"X","")</f>
        <v/>
      </c>
      <c r="J29" s="114" t="str">
        <f>IF(COUNTIFS(mapping!$B:$B,J$2,mapping!$D:$D,$B29)&gt;0,"X","")</f>
        <v/>
      </c>
      <c r="K29" s="114" t="str">
        <f>IF(COUNTIFS(mapping!$B:$B,K$2,mapping!$D:$D,$B29)&gt;0,"X","")</f>
        <v/>
      </c>
      <c r="L29" s="114" t="str">
        <f>IF(COUNTIFS(mapping!$B:$B,L$2,mapping!$D:$D,$B29)&gt;0,"X","")</f>
        <v/>
      </c>
      <c r="M29" s="114" t="str">
        <f>IF(COUNTIFS(mapping!$B:$B,M$2,mapping!$D:$D,$B29)&gt;0,"X","")</f>
        <v/>
      </c>
      <c r="N29" s="114" t="str">
        <f>IF(COUNTIFS(mapping!$B:$B,N$2,mapping!$D:$D,$B29)&gt;0,"X","")</f>
        <v/>
      </c>
      <c r="O29" s="114" t="str">
        <f>IF(COUNTIFS(mapping!$B:$B,O$2,mapping!$D:$D,$B29)&gt;0,"X","")</f>
        <v/>
      </c>
      <c r="P29" s="114" t="str">
        <f>IF(COUNTIFS(mapping!$B:$B,P$2,mapping!$D:$D,$B29)&gt;0,"X","")</f>
        <v/>
      </c>
      <c r="Q29" s="114" t="str">
        <f>IF(COUNTIFS(mapping!$B:$B,Q$2,mapping!$D:$D,$B29)&gt;0,"X","")</f>
        <v/>
      </c>
      <c r="R29" s="114" t="str">
        <f>IF(COUNTIFS(mapping!$B:$B,R$2,mapping!$D:$D,$B29)&gt;0,"X","")</f>
        <v/>
      </c>
      <c r="S29" s="114" t="str">
        <f>IF(COUNTIFS(mapping!$B:$B,S$2,mapping!$D:$D,$B29)&gt;0,"X","")</f>
        <v/>
      </c>
      <c r="T29" s="114" t="str">
        <f>IF(COUNTIFS(mapping!$B:$B,T$2,mapping!$D:$D,$B29)&gt;0,"X","")</f>
        <v/>
      </c>
      <c r="U29" s="114" t="str">
        <f>IF(COUNTIFS(mapping!$B:$B,U$2,mapping!$D:$D,$B29)&gt;0,"X","")</f>
        <v/>
      </c>
      <c r="V29" s="114" t="str">
        <f>IF(COUNTIFS(mapping!$B:$B,V$2,mapping!$D:$D,$B29)&gt;0,"X","")</f>
        <v/>
      </c>
      <c r="W29" s="114" t="str">
        <f>IF(COUNTIFS(mapping!$B:$B,W$2,mapping!$D:$D,$B29)&gt;0,"X","")</f>
        <v/>
      </c>
      <c r="X29" s="114" t="str">
        <f>IF(COUNTIFS(mapping!$B:$B,X$2,mapping!$D:$D,$B29)&gt;0,"X","")</f>
        <v/>
      </c>
      <c r="Y29" s="114" t="str">
        <f>IF(COUNTIFS(mapping!$B:$B,Y$2,mapping!$D:$D,$B29)&gt;0,"X","")</f>
        <v/>
      </c>
      <c r="Z29" s="114" t="str">
        <f>IF(COUNTIFS(mapping!$B:$B,Z$2,mapping!$D:$D,$B29)&gt;0,"X","")</f>
        <v/>
      </c>
      <c r="AA29" s="114" t="str">
        <f>IF(COUNTIFS(mapping!$B:$B,AA$2,mapping!$D:$D,$B29)&gt;0,"X","")</f>
        <v/>
      </c>
      <c r="AB29" s="114" t="str">
        <f>IF(COUNTIFS(mapping!$B:$B,AB$2,mapping!$D:$D,$B29)&gt;0,"X","")</f>
        <v/>
      </c>
      <c r="AC29" s="114" t="str">
        <f>IF(COUNTIFS(mapping!$B:$B,AC$2,mapping!$D:$D,$B29)&gt;0,"X","")</f>
        <v/>
      </c>
      <c r="AD29" s="114" t="str">
        <f>IF(COUNTIFS(mapping!$B:$B,AD$2,mapping!$D:$D,$B29)&gt;0,"X","")</f>
        <v/>
      </c>
      <c r="AE29" s="114" t="str">
        <f>IF(COUNTIFS(mapping!$B:$B,AE$2,mapping!$D:$D,$B29)&gt;0,"X","")</f>
        <v/>
      </c>
      <c r="AF29" s="114" t="str">
        <f>IF(COUNTIFS(mapping!$B:$B,AF$2,mapping!$D:$D,$B29)&gt;0,"X","")</f>
        <v/>
      </c>
      <c r="AG29" s="114" t="str">
        <f>IF(COUNTIFS(mapping!$B:$B,AG$2,mapping!$D:$D,$B29)&gt;0,"X","")</f>
        <v/>
      </c>
      <c r="AH29" s="114" t="str">
        <f>IF(COUNTIFS(mapping!$B:$B,AH$2,mapping!$D:$D,$B29)&gt;0,"X","")</f>
        <v/>
      </c>
      <c r="AI29" s="114" t="str">
        <f>IF(COUNTIFS(mapping!$B:$B,AI$2,mapping!$D:$D,$B29)&gt;0,"X","")</f>
        <v/>
      </c>
      <c r="AJ29" s="114" t="str">
        <f>IF(COUNTIFS(mapping!$B:$B,AJ$2,mapping!$D:$D,$B29)&gt;0,"X","")</f>
        <v/>
      </c>
      <c r="AK29" s="114" t="str">
        <f>IF(COUNTIFS(mapping!$B:$B,AK$2,mapping!$D:$D,$B29)&gt;0,"X","")</f>
        <v/>
      </c>
      <c r="AL29" s="114" t="str">
        <f>IF(COUNTIFS(mapping!$B:$B,AL$2,mapping!$D:$D,$B29)&gt;0,"X","")</f>
        <v/>
      </c>
      <c r="AM29" s="114" t="str">
        <f>IF(COUNTIFS(mapping!$B:$B,AM$2,mapping!$D:$D,$B29)&gt;0,"X","")</f>
        <v/>
      </c>
      <c r="AN29" s="114" t="str">
        <f>IF(COUNTIFS(mapping!$B:$B,AN$2,mapping!$D:$D,$B29)&gt;0,"X","")</f>
        <v/>
      </c>
      <c r="AO29" s="114" t="str">
        <f>IF(COUNTIFS(mapping!$B:$B,AO$2,mapping!$D:$D,$B29)&gt;0,"X","")</f>
        <v/>
      </c>
      <c r="AP29" s="114" t="str">
        <f>IF(COUNTIFS(mapping!$B:$B,AP$2,mapping!$D:$D,$B29)&gt;0,"X","")</f>
        <v/>
      </c>
      <c r="AQ29" s="114" t="str">
        <f>IF(COUNTIFS(mapping!$B:$B,AQ$2,mapping!$D:$D,$B29)&gt;0,"X","")</f>
        <v/>
      </c>
      <c r="AR29" s="114" t="str">
        <f>IF(COUNTIFS(mapping!$B:$B,AR$2,mapping!$D:$D,$B29)&gt;0,"X","")</f>
        <v/>
      </c>
      <c r="AS29" s="114" t="str">
        <f>IF(COUNTIFS(mapping!$B:$B,AS$2,mapping!$D:$D,$B29)&gt;0,"X","")</f>
        <v/>
      </c>
      <c r="AT29" s="114" t="str">
        <f>IF(COUNTIFS(mapping!$B:$B,AT$2,mapping!$D:$D,$B29)&gt;0,"X","")</f>
        <v/>
      </c>
      <c r="AU29" s="114" t="str">
        <f>IF(COUNTIFS(mapping!$B:$B,AU$2,mapping!$D:$D,$B29)&gt;0,"X","")</f>
        <v/>
      </c>
      <c r="AV29" s="114" t="str">
        <f>IF(COUNTIFS(mapping!$B:$B,AV$2,mapping!$D:$D,$B29)&gt;0,"X","")</f>
        <v/>
      </c>
      <c r="AW29" s="114" t="str">
        <f>IF(COUNTIFS(mapping!$B:$B,AW$2,mapping!$D:$D,$B29)&gt;0,"X","")</f>
        <v/>
      </c>
      <c r="AX29" s="114" t="str">
        <f>IF(COUNTIFS(mapping!$B:$B,AX$2,mapping!$D:$D,$B29)&gt;0,"X","")</f>
        <v/>
      </c>
      <c r="AY29" s="114" t="str">
        <f>IF(COUNTIFS(mapping!$B:$B,AY$2,mapping!$D:$D,$B29)&gt;0,"X","")</f>
        <v>X</v>
      </c>
      <c r="AZ29" s="114" t="str">
        <f>IF(COUNTIFS(mapping!$B:$B,AZ$2,mapping!$D:$D,$B29)&gt;0,"X","")</f>
        <v/>
      </c>
      <c r="BA29" s="114" t="str">
        <f>IF(COUNTIFS(mapping!$B:$B,BA$2,mapping!$D:$D,$B29)&gt;0,"X","")</f>
        <v/>
      </c>
      <c r="BB29" s="114" t="str">
        <f>IF(COUNTIFS(mapping!$B:$B,BB$2,mapping!$D:$D,$B29)&gt;0,"X","")</f>
        <v/>
      </c>
      <c r="BC29" s="114" t="str">
        <f>IF(COUNTIFS(mapping!$B:$B,BC$2,mapping!$D:$D,$B29)&gt;0,"X","")</f>
        <v/>
      </c>
      <c r="BD29" s="114" t="str">
        <f>IF(COUNTIFS(mapping!$B:$B,BD$2,mapping!$D:$D,$B29)&gt;0,"X","")</f>
        <v/>
      </c>
      <c r="BE29" s="114" t="str">
        <f>IF(COUNTIFS(mapping!$B:$B,BE$2,mapping!$D:$D,$B29)&gt;0,"X","")</f>
        <v/>
      </c>
      <c r="BF29" s="114" t="str">
        <f>IF(COUNTIFS(mapping!$B:$B,BF$2,mapping!$D:$D,$B29)&gt;0,"X","")</f>
        <v/>
      </c>
      <c r="BG29" s="114" t="str">
        <f>IF(COUNTIFS(mapping!$B:$B,BG$2,mapping!$D:$D,$B29)&gt;0,"X","")</f>
        <v/>
      </c>
      <c r="BH29" s="114" t="str">
        <f>IF(COUNTIFS(mapping!$B:$B,BH$2,mapping!$D:$D,$B29)&gt;0,"X","")</f>
        <v/>
      </c>
      <c r="BI29" s="114" t="str">
        <f>IF(COUNTIFS(mapping!$B:$B,BI$2,mapping!$D:$D,$B29)&gt;0,"X","")</f>
        <v/>
      </c>
      <c r="BJ29" s="114" t="str">
        <f>IF(COUNTIFS(mapping!$B:$B,BJ$2,mapping!$D:$D,$B29)&gt;0,"X","")</f>
        <v/>
      </c>
      <c r="BK29" s="114" t="str">
        <f>IF(COUNTIFS(mapping!$B:$B,BK$2,mapping!$D:$D,$B29)&gt;0,"X","")</f>
        <v/>
      </c>
      <c r="BL29" s="114" t="str">
        <f>IF(COUNTIFS(mapping!$B:$B,BL$2,mapping!$D:$D,$B29)&gt;0,"X","")</f>
        <v/>
      </c>
      <c r="BM29" s="114" t="str">
        <f>IF(COUNTIFS(mapping!$B:$B,BM$2,mapping!$D:$D,$B29)&gt;0,"X","")</f>
        <v/>
      </c>
      <c r="BN29" s="114" t="str">
        <f>IF(COUNTIFS(mapping!$B:$B,BN$2,mapping!$D:$D,$B29)&gt;0,"X","")</f>
        <v/>
      </c>
      <c r="BO29" s="114" t="str">
        <f>IF(COUNTIFS(mapping!$B:$B,BO$2,mapping!$D:$D,$B29)&gt;0,"X","")</f>
        <v/>
      </c>
      <c r="BP29" s="114" t="str">
        <f>IF(COUNTIFS(mapping!$B:$B,BP$2,mapping!$D:$D,$B29)&gt;0,"X","")</f>
        <v/>
      </c>
      <c r="BQ29" s="114" t="str">
        <f>IF(COUNTIFS(mapping!$B:$B,BQ$2,mapping!$D:$D,$B29)&gt;0,"X","")</f>
        <v/>
      </c>
      <c r="BR29" s="114" t="str">
        <f>IF(COUNTIFS(mapping!$B:$B,BR$2,mapping!$D:$D,$B29)&gt;0,"X","")</f>
        <v/>
      </c>
      <c r="BS29" s="114" t="str">
        <f>IF(COUNTIFS(mapping!$B:$B,BS$2,mapping!$D:$D,$B29)&gt;0,"X","")</f>
        <v/>
      </c>
      <c r="BT29" s="114" t="str">
        <f>IF(COUNTIFS(mapping!$B:$B,BT$2,mapping!$D:$D,$B29)&gt;0,"X","")</f>
        <v/>
      </c>
      <c r="BU29" s="114" t="str">
        <f>IF(COUNTIFS(mapping!$B:$B,BU$2,mapping!$D:$D,$B29)&gt;0,"X","")</f>
        <v/>
      </c>
      <c r="BV29" s="114" t="str">
        <f>IF(COUNTIFS(mapping!$B:$B,BV$2,mapping!$D:$D,$B29)&gt;0,"X","")</f>
        <v/>
      </c>
      <c r="BW29" s="114" t="str">
        <f>IF(COUNTIFS(mapping!$B:$B,BW$2,mapping!$D:$D,$B29)&gt;0,"X","")</f>
        <v/>
      </c>
      <c r="BX29" s="114" t="str">
        <f>IF(COUNTIFS(mapping!$B:$B,BX$2,mapping!$D:$D,$B29)&gt;0,"X","")</f>
        <v/>
      </c>
      <c r="BY29" s="114" t="str">
        <f>IF(COUNTIFS(mapping!$B:$B,BY$2,mapping!$D:$D,$B29)&gt;0,"X","")</f>
        <v/>
      </c>
      <c r="BZ29" s="114" t="str">
        <f>IF(COUNTIFS(mapping!$B:$B,BZ$2,mapping!$D:$D,$B29)&gt;0,"X","")</f>
        <v/>
      </c>
      <c r="CA29" s="114" t="str">
        <f>IF(COUNTIFS(mapping!$B:$B,CA$2,mapping!$D:$D,$B29)&gt;0,"X","")</f>
        <v/>
      </c>
      <c r="CB29" s="114" t="str">
        <f>IF(COUNTIFS(mapping!$B:$B,CB$2,mapping!$D:$D,$B29)&gt;0,"X","")</f>
        <v/>
      </c>
      <c r="CC29" s="114" t="str">
        <f>IF(COUNTIFS(mapping!$B:$B,CC$2,mapping!$D:$D,$B29)&gt;0,"X","")</f>
        <v/>
      </c>
      <c r="CD29" s="114" t="str">
        <f>IF(COUNTIFS(mapping!$B:$B,CD$2,mapping!$D:$D,$B29)&gt;0,"X","")</f>
        <v/>
      </c>
      <c r="CE29" s="114" t="str">
        <f>IF(COUNTIFS(mapping!$B:$B,CE$2,mapping!$D:$D,$B29)&gt;0,"X","")</f>
        <v/>
      </c>
      <c r="CF29" s="114" t="str">
        <f>IF(COUNTIFS(mapping!$B:$B,CF$2,mapping!$D:$D,$B29)&gt;0,"X","")</f>
        <v/>
      </c>
      <c r="CG29" s="114" t="str">
        <f>IF(COUNTIFS(mapping!$B:$B,CG$2,mapping!$D:$D,$B29)&gt;0,"X","")</f>
        <v/>
      </c>
      <c r="CH29" s="114" t="str">
        <f>IF(COUNTIFS(mapping!$B:$B,CH$2,mapping!$D:$D,$B29)&gt;0,"X","")</f>
        <v/>
      </c>
    </row>
    <row r="30" spans="1:86" ht="16">
      <c r="A30" s="257"/>
      <c r="B30" s="122" t="s">
        <v>479</v>
      </c>
      <c r="C30" s="114" t="s">
        <v>478</v>
      </c>
      <c r="E30" s="114" t="str">
        <f>IF(COUNTIFS(mapping!$B:$B,E$2,mapping!$D:$D,$B30)&gt;0,"X","")</f>
        <v/>
      </c>
      <c r="F30" s="114" t="str">
        <f>IF(COUNTIFS(mapping!$B:$B,F$2,mapping!$D:$D,$B30)&gt;0,"X","")</f>
        <v/>
      </c>
      <c r="G30" s="114" t="str">
        <f>IF(COUNTIFS(mapping!$B:$B,G$2,mapping!$D:$D,$B30)&gt;0,"X","")</f>
        <v/>
      </c>
      <c r="H30" s="114" t="str">
        <f>IF(COUNTIFS(mapping!$B:$B,H$2,mapping!$D:$D,$B30)&gt;0,"X","")</f>
        <v/>
      </c>
      <c r="I30" s="114" t="str">
        <f>IF(COUNTIFS(mapping!$B:$B,I$2,mapping!$D:$D,$B30)&gt;0,"X","")</f>
        <v/>
      </c>
      <c r="J30" s="114" t="str">
        <f>IF(COUNTIFS(mapping!$B:$B,J$2,mapping!$D:$D,$B30)&gt;0,"X","")</f>
        <v/>
      </c>
      <c r="K30" s="114" t="str">
        <f>IF(COUNTIFS(mapping!$B:$B,K$2,mapping!$D:$D,$B30)&gt;0,"X","")</f>
        <v/>
      </c>
      <c r="L30" s="114" t="str">
        <f>IF(COUNTIFS(mapping!$B:$B,L$2,mapping!$D:$D,$B30)&gt;0,"X","")</f>
        <v/>
      </c>
      <c r="M30" s="114" t="str">
        <f>IF(COUNTIFS(mapping!$B:$B,M$2,mapping!$D:$D,$B30)&gt;0,"X","")</f>
        <v/>
      </c>
      <c r="N30" s="114" t="str">
        <f>IF(COUNTIFS(mapping!$B:$B,N$2,mapping!$D:$D,$B30)&gt;0,"X","")</f>
        <v/>
      </c>
      <c r="O30" s="114" t="str">
        <f>IF(COUNTIFS(mapping!$B:$B,O$2,mapping!$D:$D,$B30)&gt;0,"X","")</f>
        <v/>
      </c>
      <c r="P30" s="114" t="str">
        <f>IF(COUNTIFS(mapping!$B:$B,P$2,mapping!$D:$D,$B30)&gt;0,"X","")</f>
        <v/>
      </c>
      <c r="Q30" s="114" t="str">
        <f>IF(COUNTIFS(mapping!$B:$B,Q$2,mapping!$D:$D,$B30)&gt;0,"X","")</f>
        <v/>
      </c>
      <c r="R30" s="114" t="str">
        <f>IF(COUNTIFS(mapping!$B:$B,R$2,mapping!$D:$D,$B30)&gt;0,"X","")</f>
        <v/>
      </c>
      <c r="S30" s="114" t="str">
        <f>IF(COUNTIFS(mapping!$B:$B,S$2,mapping!$D:$D,$B30)&gt;0,"X","")</f>
        <v/>
      </c>
      <c r="T30" s="114" t="str">
        <f>IF(COUNTIFS(mapping!$B:$B,T$2,mapping!$D:$D,$B30)&gt;0,"X","")</f>
        <v/>
      </c>
      <c r="U30" s="114" t="str">
        <f>IF(COUNTIFS(mapping!$B:$B,U$2,mapping!$D:$D,$B30)&gt;0,"X","")</f>
        <v/>
      </c>
      <c r="V30" s="114" t="str">
        <f>IF(COUNTIFS(mapping!$B:$B,V$2,mapping!$D:$D,$B30)&gt;0,"X","")</f>
        <v/>
      </c>
      <c r="W30" s="114" t="str">
        <f>IF(COUNTIFS(mapping!$B:$B,W$2,mapping!$D:$D,$B30)&gt;0,"X","")</f>
        <v/>
      </c>
      <c r="X30" s="114" t="str">
        <f>IF(COUNTIFS(mapping!$B:$B,X$2,mapping!$D:$D,$B30)&gt;0,"X","")</f>
        <v/>
      </c>
      <c r="Y30" s="114" t="str">
        <f>IF(COUNTIFS(mapping!$B:$B,Y$2,mapping!$D:$D,$B30)&gt;0,"X","")</f>
        <v/>
      </c>
      <c r="Z30" s="114" t="str">
        <f>IF(COUNTIFS(mapping!$B:$B,Z$2,mapping!$D:$D,$B30)&gt;0,"X","")</f>
        <v/>
      </c>
      <c r="AA30" s="114" t="str">
        <f>IF(COUNTIFS(mapping!$B:$B,AA$2,mapping!$D:$D,$B30)&gt;0,"X","")</f>
        <v/>
      </c>
      <c r="AB30" s="114" t="str">
        <f>IF(COUNTIFS(mapping!$B:$B,AB$2,mapping!$D:$D,$B30)&gt;0,"X","")</f>
        <v/>
      </c>
      <c r="AC30" s="114" t="str">
        <f>IF(COUNTIFS(mapping!$B:$B,AC$2,mapping!$D:$D,$B30)&gt;0,"X","")</f>
        <v/>
      </c>
      <c r="AD30" s="114" t="str">
        <f>IF(COUNTIFS(mapping!$B:$B,AD$2,mapping!$D:$D,$B30)&gt;0,"X","")</f>
        <v/>
      </c>
      <c r="AE30" s="114" t="str">
        <f>IF(COUNTIFS(mapping!$B:$B,AE$2,mapping!$D:$D,$B30)&gt;0,"X","")</f>
        <v/>
      </c>
      <c r="AF30" s="114" t="str">
        <f>IF(COUNTIFS(mapping!$B:$B,AF$2,mapping!$D:$D,$B30)&gt;0,"X","")</f>
        <v/>
      </c>
      <c r="AG30" s="114" t="str">
        <f>IF(COUNTIFS(mapping!$B:$B,AG$2,mapping!$D:$D,$B30)&gt;0,"X","")</f>
        <v/>
      </c>
      <c r="AH30" s="114" t="str">
        <f>IF(COUNTIFS(mapping!$B:$B,AH$2,mapping!$D:$D,$B30)&gt;0,"X","")</f>
        <v/>
      </c>
      <c r="AI30" s="114" t="str">
        <f>IF(COUNTIFS(mapping!$B:$B,AI$2,mapping!$D:$D,$B30)&gt;0,"X","")</f>
        <v/>
      </c>
      <c r="AJ30" s="114" t="str">
        <f>IF(COUNTIFS(mapping!$B:$B,AJ$2,mapping!$D:$D,$B30)&gt;0,"X","")</f>
        <v/>
      </c>
      <c r="AK30" s="114" t="str">
        <f>IF(COUNTIFS(mapping!$B:$B,AK$2,mapping!$D:$D,$B30)&gt;0,"X","")</f>
        <v/>
      </c>
      <c r="AL30" s="114" t="str">
        <f>IF(COUNTIFS(mapping!$B:$B,AL$2,mapping!$D:$D,$B30)&gt;0,"X","")</f>
        <v/>
      </c>
      <c r="AM30" s="114" t="str">
        <f>IF(COUNTIFS(mapping!$B:$B,AM$2,mapping!$D:$D,$B30)&gt;0,"X","")</f>
        <v/>
      </c>
      <c r="AN30" s="114" t="str">
        <f>IF(COUNTIFS(mapping!$B:$B,AN$2,mapping!$D:$D,$B30)&gt;0,"X","")</f>
        <v/>
      </c>
      <c r="AO30" s="114" t="str">
        <f>IF(COUNTIFS(mapping!$B:$B,AO$2,mapping!$D:$D,$B30)&gt;0,"X","")</f>
        <v/>
      </c>
      <c r="AP30" s="114" t="str">
        <f>IF(COUNTIFS(mapping!$B:$B,AP$2,mapping!$D:$D,$B30)&gt;0,"X","")</f>
        <v/>
      </c>
      <c r="AQ30" s="114" t="str">
        <f>IF(COUNTIFS(mapping!$B:$B,AQ$2,mapping!$D:$D,$B30)&gt;0,"X","")</f>
        <v/>
      </c>
      <c r="AR30" s="114" t="str">
        <f>IF(COUNTIFS(mapping!$B:$B,AR$2,mapping!$D:$D,$B30)&gt;0,"X","")</f>
        <v/>
      </c>
      <c r="AS30" s="114" t="str">
        <f>IF(COUNTIFS(mapping!$B:$B,AS$2,mapping!$D:$D,$B30)&gt;0,"X","")</f>
        <v/>
      </c>
      <c r="AT30" s="114" t="str">
        <f>IF(COUNTIFS(mapping!$B:$B,AT$2,mapping!$D:$D,$B30)&gt;0,"X","")</f>
        <v/>
      </c>
      <c r="AU30" s="114" t="str">
        <f>IF(COUNTIFS(mapping!$B:$B,AU$2,mapping!$D:$D,$B30)&gt;0,"X","")</f>
        <v/>
      </c>
      <c r="AV30" s="114" t="str">
        <f>IF(COUNTIFS(mapping!$B:$B,AV$2,mapping!$D:$D,$B30)&gt;0,"X","")</f>
        <v/>
      </c>
      <c r="AW30" s="114" t="str">
        <f>IF(COUNTIFS(mapping!$B:$B,AW$2,mapping!$D:$D,$B30)&gt;0,"X","")</f>
        <v/>
      </c>
      <c r="AX30" s="114" t="str">
        <f>IF(COUNTIFS(mapping!$B:$B,AX$2,mapping!$D:$D,$B30)&gt;0,"X","")</f>
        <v/>
      </c>
      <c r="AY30" s="114" t="str">
        <f>IF(COUNTIFS(mapping!$B:$B,AY$2,mapping!$D:$D,$B30)&gt;0,"X","")</f>
        <v>X</v>
      </c>
      <c r="AZ30" s="114" t="str">
        <f>IF(COUNTIFS(mapping!$B:$B,AZ$2,mapping!$D:$D,$B30)&gt;0,"X","")</f>
        <v/>
      </c>
      <c r="BA30" s="114" t="str">
        <f>IF(COUNTIFS(mapping!$B:$B,BA$2,mapping!$D:$D,$B30)&gt;0,"X","")</f>
        <v/>
      </c>
      <c r="BB30" s="114" t="str">
        <f>IF(COUNTIFS(mapping!$B:$B,BB$2,mapping!$D:$D,$B30)&gt;0,"X","")</f>
        <v/>
      </c>
      <c r="BC30" s="114" t="str">
        <f>IF(COUNTIFS(mapping!$B:$B,BC$2,mapping!$D:$D,$B30)&gt;0,"X","")</f>
        <v/>
      </c>
      <c r="BD30" s="114" t="str">
        <f>IF(COUNTIFS(mapping!$B:$B,BD$2,mapping!$D:$D,$B30)&gt;0,"X","")</f>
        <v>X</v>
      </c>
      <c r="BE30" s="114" t="str">
        <f>IF(COUNTIFS(mapping!$B:$B,BE$2,mapping!$D:$D,$B30)&gt;0,"X","")</f>
        <v>X</v>
      </c>
      <c r="BF30" s="114" t="str">
        <f>IF(COUNTIFS(mapping!$B:$B,BF$2,mapping!$D:$D,$B30)&gt;0,"X","")</f>
        <v/>
      </c>
      <c r="BG30" s="114" t="str">
        <f>IF(COUNTIFS(mapping!$B:$B,BG$2,mapping!$D:$D,$B30)&gt;0,"X","")</f>
        <v/>
      </c>
      <c r="BH30" s="114" t="str">
        <f>IF(COUNTIFS(mapping!$B:$B,BH$2,mapping!$D:$D,$B30)&gt;0,"X","")</f>
        <v/>
      </c>
      <c r="BI30" s="114" t="str">
        <f>IF(COUNTIFS(mapping!$B:$B,BI$2,mapping!$D:$D,$B30)&gt;0,"X","")</f>
        <v/>
      </c>
      <c r="BJ30" s="114" t="str">
        <f>IF(COUNTIFS(mapping!$B:$B,BJ$2,mapping!$D:$D,$B30)&gt;0,"X","")</f>
        <v/>
      </c>
      <c r="BK30" s="114" t="str">
        <f>IF(COUNTIFS(mapping!$B:$B,BK$2,mapping!$D:$D,$B30)&gt;0,"X","")</f>
        <v/>
      </c>
      <c r="BL30" s="114" t="str">
        <f>IF(COUNTIFS(mapping!$B:$B,BL$2,mapping!$D:$D,$B30)&gt;0,"X","")</f>
        <v/>
      </c>
      <c r="BM30" s="114" t="str">
        <f>IF(COUNTIFS(mapping!$B:$B,BM$2,mapping!$D:$D,$B30)&gt;0,"X","")</f>
        <v/>
      </c>
      <c r="BN30" s="114" t="str">
        <f>IF(COUNTIFS(mapping!$B:$B,BN$2,mapping!$D:$D,$B30)&gt;0,"X","")</f>
        <v/>
      </c>
      <c r="BO30" s="114" t="str">
        <f>IF(COUNTIFS(mapping!$B:$B,BO$2,mapping!$D:$D,$B30)&gt;0,"X","")</f>
        <v/>
      </c>
      <c r="BP30" s="114" t="str">
        <f>IF(COUNTIFS(mapping!$B:$B,BP$2,mapping!$D:$D,$B30)&gt;0,"X","")</f>
        <v/>
      </c>
      <c r="BQ30" s="114" t="str">
        <f>IF(COUNTIFS(mapping!$B:$B,BQ$2,mapping!$D:$D,$B30)&gt;0,"X","")</f>
        <v/>
      </c>
      <c r="BR30" s="114" t="str">
        <f>IF(COUNTIFS(mapping!$B:$B,BR$2,mapping!$D:$D,$B30)&gt;0,"X","")</f>
        <v/>
      </c>
      <c r="BS30" s="114" t="str">
        <f>IF(COUNTIFS(mapping!$B:$B,BS$2,mapping!$D:$D,$B30)&gt;0,"X","")</f>
        <v/>
      </c>
      <c r="BT30" s="114" t="str">
        <f>IF(COUNTIFS(mapping!$B:$B,BT$2,mapping!$D:$D,$B30)&gt;0,"X","")</f>
        <v/>
      </c>
      <c r="BU30" s="114" t="str">
        <f>IF(COUNTIFS(mapping!$B:$B,BU$2,mapping!$D:$D,$B30)&gt;0,"X","")</f>
        <v/>
      </c>
      <c r="BV30" s="114" t="str">
        <f>IF(COUNTIFS(mapping!$B:$B,BV$2,mapping!$D:$D,$B30)&gt;0,"X","")</f>
        <v/>
      </c>
      <c r="BW30" s="114" t="str">
        <f>IF(COUNTIFS(mapping!$B:$B,BW$2,mapping!$D:$D,$B30)&gt;0,"X","")</f>
        <v/>
      </c>
      <c r="BX30" s="114" t="str">
        <f>IF(COUNTIFS(mapping!$B:$B,BX$2,mapping!$D:$D,$B30)&gt;0,"X","")</f>
        <v/>
      </c>
      <c r="BY30" s="114" t="str">
        <f>IF(COUNTIFS(mapping!$B:$B,BY$2,mapping!$D:$D,$B30)&gt;0,"X","")</f>
        <v/>
      </c>
      <c r="BZ30" s="114" t="str">
        <f>IF(COUNTIFS(mapping!$B:$B,BZ$2,mapping!$D:$D,$B30)&gt;0,"X","")</f>
        <v/>
      </c>
      <c r="CA30" s="114" t="str">
        <f>IF(COUNTIFS(mapping!$B:$B,CA$2,mapping!$D:$D,$B30)&gt;0,"X","")</f>
        <v/>
      </c>
      <c r="CB30" s="114" t="str">
        <f>IF(COUNTIFS(mapping!$B:$B,CB$2,mapping!$D:$D,$B30)&gt;0,"X","")</f>
        <v/>
      </c>
      <c r="CC30" s="114" t="str">
        <f>IF(COUNTIFS(mapping!$B:$B,CC$2,mapping!$D:$D,$B30)&gt;0,"X","")</f>
        <v/>
      </c>
      <c r="CD30" s="114" t="str">
        <f>IF(COUNTIFS(mapping!$B:$B,CD$2,mapping!$D:$D,$B30)&gt;0,"X","")</f>
        <v/>
      </c>
      <c r="CE30" s="114" t="str">
        <f>IF(COUNTIFS(mapping!$B:$B,CE$2,mapping!$D:$D,$B30)&gt;0,"X","")</f>
        <v/>
      </c>
      <c r="CF30" s="114" t="str">
        <f>IF(COUNTIFS(mapping!$B:$B,CF$2,mapping!$D:$D,$B30)&gt;0,"X","")</f>
        <v/>
      </c>
      <c r="CG30" s="114" t="str">
        <f>IF(COUNTIFS(mapping!$B:$B,CG$2,mapping!$D:$D,$B30)&gt;0,"X","")</f>
        <v/>
      </c>
      <c r="CH30" s="114" t="str">
        <f>IF(COUNTIFS(mapping!$B:$B,CH$2,mapping!$D:$D,$B30)&gt;0,"X","")</f>
        <v/>
      </c>
    </row>
    <row r="31" spans="1:86" ht="16">
      <c r="A31" s="257"/>
      <c r="B31" s="122" t="s">
        <v>477</v>
      </c>
      <c r="C31" s="114" t="s">
        <v>476</v>
      </c>
      <c r="E31" s="114" t="str">
        <f>IF(COUNTIFS(mapping!$B:$B,E$2,mapping!$D:$D,$B31)&gt;0,"X","")</f>
        <v/>
      </c>
      <c r="F31" s="114" t="str">
        <f>IF(COUNTIFS(mapping!$B:$B,F$2,mapping!$D:$D,$B31)&gt;0,"X","")</f>
        <v/>
      </c>
      <c r="G31" s="114" t="str">
        <f>IF(COUNTIFS(mapping!$B:$B,G$2,mapping!$D:$D,$B31)&gt;0,"X","")</f>
        <v/>
      </c>
      <c r="H31" s="114" t="str">
        <f>IF(COUNTIFS(mapping!$B:$B,H$2,mapping!$D:$D,$B31)&gt;0,"X","")</f>
        <v/>
      </c>
      <c r="I31" s="114" t="str">
        <f>IF(COUNTIFS(mapping!$B:$B,I$2,mapping!$D:$D,$B31)&gt;0,"X","")</f>
        <v/>
      </c>
      <c r="J31" s="114" t="str">
        <f>IF(COUNTIFS(mapping!$B:$B,J$2,mapping!$D:$D,$B31)&gt;0,"X","")</f>
        <v/>
      </c>
      <c r="K31" s="114" t="str">
        <f>IF(COUNTIFS(mapping!$B:$B,K$2,mapping!$D:$D,$B31)&gt;0,"X","")</f>
        <v/>
      </c>
      <c r="L31" s="114" t="str">
        <f>IF(COUNTIFS(mapping!$B:$B,L$2,mapping!$D:$D,$B31)&gt;0,"X","")</f>
        <v/>
      </c>
      <c r="M31" s="114" t="str">
        <f>IF(COUNTIFS(mapping!$B:$B,M$2,mapping!$D:$D,$B31)&gt;0,"X","")</f>
        <v/>
      </c>
      <c r="N31" s="114" t="str">
        <f>IF(COUNTIFS(mapping!$B:$B,N$2,mapping!$D:$D,$B31)&gt;0,"X","")</f>
        <v/>
      </c>
      <c r="O31" s="114" t="str">
        <f>IF(COUNTIFS(mapping!$B:$B,O$2,mapping!$D:$D,$B31)&gt;0,"X","")</f>
        <v/>
      </c>
      <c r="P31" s="114" t="str">
        <f>IF(COUNTIFS(mapping!$B:$B,P$2,mapping!$D:$D,$B31)&gt;0,"X","")</f>
        <v/>
      </c>
      <c r="Q31" s="114" t="str">
        <f>IF(COUNTIFS(mapping!$B:$B,Q$2,mapping!$D:$D,$B31)&gt;0,"X","")</f>
        <v/>
      </c>
      <c r="R31" s="114" t="str">
        <f>IF(COUNTIFS(mapping!$B:$B,R$2,mapping!$D:$D,$B31)&gt;0,"X","")</f>
        <v/>
      </c>
      <c r="S31" s="114" t="str">
        <f>IF(COUNTIFS(mapping!$B:$B,S$2,mapping!$D:$D,$B31)&gt;0,"X","")</f>
        <v/>
      </c>
      <c r="T31" s="114" t="str">
        <f>IF(COUNTIFS(mapping!$B:$B,T$2,mapping!$D:$D,$B31)&gt;0,"X","")</f>
        <v/>
      </c>
      <c r="U31" s="114" t="str">
        <f>IF(COUNTIFS(mapping!$B:$B,U$2,mapping!$D:$D,$B31)&gt;0,"X","")</f>
        <v/>
      </c>
      <c r="V31" s="114" t="str">
        <f>IF(COUNTIFS(mapping!$B:$B,V$2,mapping!$D:$D,$B31)&gt;0,"X","")</f>
        <v/>
      </c>
      <c r="W31" s="114" t="str">
        <f>IF(COUNTIFS(mapping!$B:$B,W$2,mapping!$D:$D,$B31)&gt;0,"X","")</f>
        <v/>
      </c>
      <c r="X31" s="114" t="str">
        <f>IF(COUNTIFS(mapping!$B:$B,X$2,mapping!$D:$D,$B31)&gt;0,"X","")</f>
        <v/>
      </c>
      <c r="Y31" s="114" t="str">
        <f>IF(COUNTIFS(mapping!$B:$B,Y$2,mapping!$D:$D,$B31)&gt;0,"X","")</f>
        <v/>
      </c>
      <c r="Z31" s="114" t="str">
        <f>IF(COUNTIFS(mapping!$B:$B,Z$2,mapping!$D:$D,$B31)&gt;0,"X","")</f>
        <v/>
      </c>
      <c r="AA31" s="114" t="str">
        <f>IF(COUNTIFS(mapping!$B:$B,AA$2,mapping!$D:$D,$B31)&gt;0,"X","")</f>
        <v/>
      </c>
      <c r="AB31" s="114" t="str">
        <f>IF(COUNTIFS(mapping!$B:$B,AB$2,mapping!$D:$D,$B31)&gt;0,"X","")</f>
        <v/>
      </c>
      <c r="AC31" s="114" t="str">
        <f>IF(COUNTIFS(mapping!$B:$B,AC$2,mapping!$D:$D,$B31)&gt;0,"X","")</f>
        <v/>
      </c>
      <c r="AD31" s="114" t="str">
        <f>IF(COUNTIFS(mapping!$B:$B,AD$2,mapping!$D:$D,$B31)&gt;0,"X","")</f>
        <v/>
      </c>
      <c r="AE31" s="114" t="str">
        <f>IF(COUNTIFS(mapping!$B:$B,AE$2,mapping!$D:$D,$B31)&gt;0,"X","")</f>
        <v/>
      </c>
      <c r="AF31" s="114" t="str">
        <f>IF(COUNTIFS(mapping!$B:$B,AF$2,mapping!$D:$D,$B31)&gt;0,"X","")</f>
        <v/>
      </c>
      <c r="AG31" s="114" t="str">
        <f>IF(COUNTIFS(mapping!$B:$B,AG$2,mapping!$D:$D,$B31)&gt;0,"X","")</f>
        <v/>
      </c>
      <c r="AH31" s="114" t="str">
        <f>IF(COUNTIFS(mapping!$B:$B,AH$2,mapping!$D:$D,$B31)&gt;0,"X","")</f>
        <v/>
      </c>
      <c r="AI31" s="114" t="str">
        <f>IF(COUNTIFS(mapping!$B:$B,AI$2,mapping!$D:$D,$B31)&gt;0,"X","")</f>
        <v/>
      </c>
      <c r="AJ31" s="114" t="str">
        <f>IF(COUNTIFS(mapping!$B:$B,AJ$2,mapping!$D:$D,$B31)&gt;0,"X","")</f>
        <v/>
      </c>
      <c r="AK31" s="114" t="str">
        <f>IF(COUNTIFS(mapping!$B:$B,AK$2,mapping!$D:$D,$B31)&gt;0,"X","")</f>
        <v/>
      </c>
      <c r="AL31" s="114" t="str">
        <f>IF(COUNTIFS(mapping!$B:$B,AL$2,mapping!$D:$D,$B31)&gt;0,"X","")</f>
        <v/>
      </c>
      <c r="AM31" s="114" t="str">
        <f>IF(COUNTIFS(mapping!$B:$B,AM$2,mapping!$D:$D,$B31)&gt;0,"X","")</f>
        <v/>
      </c>
      <c r="AN31" s="114" t="str">
        <f>IF(COUNTIFS(mapping!$B:$B,AN$2,mapping!$D:$D,$B31)&gt;0,"X","")</f>
        <v/>
      </c>
      <c r="AO31" s="114" t="str">
        <f>IF(COUNTIFS(mapping!$B:$B,AO$2,mapping!$D:$D,$B31)&gt;0,"X","")</f>
        <v/>
      </c>
      <c r="AP31" s="114" t="str">
        <f>IF(COUNTIFS(mapping!$B:$B,AP$2,mapping!$D:$D,$B31)&gt;0,"X","")</f>
        <v/>
      </c>
      <c r="AQ31" s="114" t="str">
        <f>IF(COUNTIFS(mapping!$B:$B,AQ$2,mapping!$D:$D,$B31)&gt;0,"X","")</f>
        <v/>
      </c>
      <c r="AR31" s="114" t="str">
        <f>IF(COUNTIFS(mapping!$B:$B,AR$2,mapping!$D:$D,$B31)&gt;0,"X","")</f>
        <v/>
      </c>
      <c r="AS31" s="114" t="str">
        <f>IF(COUNTIFS(mapping!$B:$B,AS$2,mapping!$D:$D,$B31)&gt;0,"X","")</f>
        <v/>
      </c>
      <c r="AT31" s="114" t="str">
        <f>IF(COUNTIFS(mapping!$B:$B,AT$2,mapping!$D:$D,$B31)&gt;0,"X","")</f>
        <v/>
      </c>
      <c r="AU31" s="114" t="str">
        <f>IF(COUNTIFS(mapping!$B:$B,AU$2,mapping!$D:$D,$B31)&gt;0,"X","")</f>
        <v>X</v>
      </c>
      <c r="AV31" s="114" t="str">
        <f>IF(COUNTIFS(mapping!$B:$B,AV$2,mapping!$D:$D,$B31)&gt;0,"X","")</f>
        <v/>
      </c>
      <c r="AW31" s="114" t="str">
        <f>IF(COUNTIFS(mapping!$B:$B,AW$2,mapping!$D:$D,$B31)&gt;0,"X","")</f>
        <v/>
      </c>
      <c r="AX31" s="114" t="str">
        <f>IF(COUNTIFS(mapping!$B:$B,AX$2,mapping!$D:$D,$B31)&gt;0,"X","")</f>
        <v/>
      </c>
      <c r="AY31" s="114" t="str">
        <f>IF(COUNTIFS(mapping!$B:$B,AY$2,mapping!$D:$D,$B31)&gt;0,"X","")</f>
        <v>X</v>
      </c>
      <c r="AZ31" s="114" t="str">
        <f>IF(COUNTIFS(mapping!$B:$B,AZ$2,mapping!$D:$D,$B31)&gt;0,"X","")</f>
        <v>X</v>
      </c>
      <c r="BA31" s="114" t="str">
        <f>IF(COUNTIFS(mapping!$B:$B,BA$2,mapping!$D:$D,$B31)&gt;0,"X","")</f>
        <v/>
      </c>
      <c r="BB31" s="114" t="str">
        <f>IF(COUNTIFS(mapping!$B:$B,BB$2,mapping!$D:$D,$B31)&gt;0,"X","")</f>
        <v/>
      </c>
      <c r="BC31" s="114" t="str">
        <f>IF(COUNTIFS(mapping!$B:$B,BC$2,mapping!$D:$D,$B31)&gt;0,"X","")</f>
        <v/>
      </c>
      <c r="BD31" s="114" t="str">
        <f>IF(COUNTIFS(mapping!$B:$B,BD$2,mapping!$D:$D,$B31)&gt;0,"X","")</f>
        <v/>
      </c>
      <c r="BE31" s="114" t="str">
        <f>IF(COUNTIFS(mapping!$B:$B,BE$2,mapping!$D:$D,$B31)&gt;0,"X","")</f>
        <v/>
      </c>
      <c r="BF31" s="114" t="str">
        <f>IF(COUNTIFS(mapping!$B:$B,BF$2,mapping!$D:$D,$B31)&gt;0,"X","")</f>
        <v/>
      </c>
      <c r="BG31" s="114" t="str">
        <f>IF(COUNTIFS(mapping!$B:$B,BG$2,mapping!$D:$D,$B31)&gt;0,"X","")</f>
        <v/>
      </c>
      <c r="BH31" s="114" t="str">
        <f>IF(COUNTIFS(mapping!$B:$B,BH$2,mapping!$D:$D,$B31)&gt;0,"X","")</f>
        <v/>
      </c>
      <c r="BI31" s="114" t="str">
        <f>IF(COUNTIFS(mapping!$B:$B,BI$2,mapping!$D:$D,$B31)&gt;0,"X","")</f>
        <v/>
      </c>
      <c r="BJ31" s="114" t="str">
        <f>IF(COUNTIFS(mapping!$B:$B,BJ$2,mapping!$D:$D,$B31)&gt;0,"X","")</f>
        <v/>
      </c>
      <c r="BK31" s="114" t="str">
        <f>IF(COUNTIFS(mapping!$B:$B,BK$2,mapping!$D:$D,$B31)&gt;0,"X","")</f>
        <v/>
      </c>
      <c r="BL31" s="114" t="str">
        <f>IF(COUNTIFS(mapping!$B:$B,BL$2,mapping!$D:$D,$B31)&gt;0,"X","")</f>
        <v/>
      </c>
      <c r="BM31" s="114" t="str">
        <f>IF(COUNTIFS(mapping!$B:$B,BM$2,mapping!$D:$D,$B31)&gt;0,"X","")</f>
        <v/>
      </c>
      <c r="BN31" s="114" t="str">
        <f>IF(COUNTIFS(mapping!$B:$B,BN$2,mapping!$D:$D,$B31)&gt;0,"X","")</f>
        <v/>
      </c>
      <c r="BO31" s="114" t="str">
        <f>IF(COUNTIFS(mapping!$B:$B,BO$2,mapping!$D:$D,$B31)&gt;0,"X","")</f>
        <v/>
      </c>
      <c r="BP31" s="114" t="str">
        <f>IF(COUNTIFS(mapping!$B:$B,BP$2,mapping!$D:$D,$B31)&gt;0,"X","")</f>
        <v/>
      </c>
      <c r="BQ31" s="114" t="str">
        <f>IF(COUNTIFS(mapping!$B:$B,BQ$2,mapping!$D:$D,$B31)&gt;0,"X","")</f>
        <v/>
      </c>
      <c r="BR31" s="114" t="str">
        <f>IF(COUNTIFS(mapping!$B:$B,BR$2,mapping!$D:$D,$B31)&gt;0,"X","")</f>
        <v/>
      </c>
      <c r="BS31" s="114" t="str">
        <f>IF(COUNTIFS(mapping!$B:$B,BS$2,mapping!$D:$D,$B31)&gt;0,"X","")</f>
        <v/>
      </c>
      <c r="BT31" s="114" t="str">
        <f>IF(COUNTIFS(mapping!$B:$B,BT$2,mapping!$D:$D,$B31)&gt;0,"X","")</f>
        <v/>
      </c>
      <c r="BU31" s="114" t="str">
        <f>IF(COUNTIFS(mapping!$B:$B,BU$2,mapping!$D:$D,$B31)&gt;0,"X","")</f>
        <v/>
      </c>
      <c r="BV31" s="114" t="str">
        <f>IF(COUNTIFS(mapping!$B:$B,BV$2,mapping!$D:$D,$B31)&gt;0,"X","")</f>
        <v/>
      </c>
      <c r="BW31" s="114" t="str">
        <f>IF(COUNTIFS(mapping!$B:$B,BW$2,mapping!$D:$D,$B31)&gt;0,"X","")</f>
        <v/>
      </c>
      <c r="BX31" s="114" t="str">
        <f>IF(COUNTIFS(mapping!$B:$B,BX$2,mapping!$D:$D,$B31)&gt;0,"X","")</f>
        <v/>
      </c>
      <c r="BY31" s="114" t="str">
        <f>IF(COUNTIFS(mapping!$B:$B,BY$2,mapping!$D:$D,$B31)&gt;0,"X","")</f>
        <v/>
      </c>
      <c r="BZ31" s="114" t="str">
        <f>IF(COUNTIFS(mapping!$B:$B,BZ$2,mapping!$D:$D,$B31)&gt;0,"X","")</f>
        <v/>
      </c>
      <c r="CA31" s="114" t="str">
        <f>IF(COUNTIFS(mapping!$B:$B,CA$2,mapping!$D:$D,$B31)&gt;0,"X","")</f>
        <v/>
      </c>
      <c r="CB31" s="114" t="str">
        <f>IF(COUNTIFS(mapping!$B:$B,CB$2,mapping!$D:$D,$B31)&gt;0,"X","")</f>
        <v/>
      </c>
      <c r="CC31" s="114" t="str">
        <f>IF(COUNTIFS(mapping!$B:$B,CC$2,mapping!$D:$D,$B31)&gt;0,"X","")</f>
        <v/>
      </c>
      <c r="CD31" s="114" t="str">
        <f>IF(COUNTIFS(mapping!$B:$B,CD$2,mapping!$D:$D,$B31)&gt;0,"X","")</f>
        <v/>
      </c>
      <c r="CE31" s="114" t="str">
        <f>IF(COUNTIFS(mapping!$B:$B,CE$2,mapping!$D:$D,$B31)&gt;0,"X","")</f>
        <v/>
      </c>
      <c r="CF31" s="114" t="str">
        <f>IF(COUNTIFS(mapping!$B:$B,CF$2,mapping!$D:$D,$B31)&gt;0,"X","")</f>
        <v/>
      </c>
      <c r="CG31" s="114" t="str">
        <f>IF(COUNTIFS(mapping!$B:$B,CG$2,mapping!$D:$D,$B31)&gt;0,"X","")</f>
        <v/>
      </c>
      <c r="CH31" s="114" t="str">
        <f>IF(COUNTIFS(mapping!$B:$B,CH$2,mapping!$D:$D,$B31)&gt;0,"X","")</f>
        <v/>
      </c>
    </row>
    <row r="32" spans="1:86" ht="16">
      <c r="A32" s="257"/>
      <c r="B32" s="122" t="s">
        <v>475</v>
      </c>
      <c r="C32" s="114" t="s">
        <v>474</v>
      </c>
      <c r="E32" s="114" t="str">
        <f>IF(COUNTIFS(mapping!$B:$B,E$2,mapping!$D:$D,$B32)&gt;0,"X","")</f>
        <v/>
      </c>
      <c r="F32" s="114" t="str">
        <f>IF(COUNTIFS(mapping!$B:$B,F$2,mapping!$D:$D,$B32)&gt;0,"X","")</f>
        <v/>
      </c>
      <c r="G32" s="114" t="str">
        <f>IF(COUNTIFS(mapping!$B:$B,G$2,mapping!$D:$D,$B32)&gt;0,"X","")</f>
        <v/>
      </c>
      <c r="H32" s="114" t="str">
        <f>IF(COUNTIFS(mapping!$B:$B,H$2,mapping!$D:$D,$B32)&gt;0,"X","")</f>
        <v/>
      </c>
      <c r="I32" s="114" t="str">
        <f>IF(COUNTIFS(mapping!$B:$B,I$2,mapping!$D:$D,$B32)&gt;0,"X","")</f>
        <v/>
      </c>
      <c r="J32" s="114" t="str">
        <f>IF(COUNTIFS(mapping!$B:$B,J$2,mapping!$D:$D,$B32)&gt;0,"X","")</f>
        <v/>
      </c>
      <c r="K32" s="114" t="str">
        <f>IF(COUNTIFS(mapping!$B:$B,K$2,mapping!$D:$D,$B32)&gt;0,"X","")</f>
        <v/>
      </c>
      <c r="L32" s="114" t="str">
        <f>IF(COUNTIFS(mapping!$B:$B,L$2,mapping!$D:$D,$B32)&gt;0,"X","")</f>
        <v/>
      </c>
      <c r="M32" s="114" t="str">
        <f>IF(COUNTIFS(mapping!$B:$B,M$2,mapping!$D:$D,$B32)&gt;0,"X","")</f>
        <v/>
      </c>
      <c r="N32" s="114" t="str">
        <f>IF(COUNTIFS(mapping!$B:$B,N$2,mapping!$D:$D,$B32)&gt;0,"X","")</f>
        <v/>
      </c>
      <c r="O32" s="114" t="str">
        <f>IF(COUNTIFS(mapping!$B:$B,O$2,mapping!$D:$D,$B32)&gt;0,"X","")</f>
        <v/>
      </c>
      <c r="P32" s="114" t="str">
        <f>IF(COUNTIFS(mapping!$B:$B,P$2,mapping!$D:$D,$B32)&gt;0,"X","")</f>
        <v/>
      </c>
      <c r="Q32" s="114" t="str">
        <f>IF(COUNTIFS(mapping!$B:$B,Q$2,mapping!$D:$D,$B32)&gt;0,"X","")</f>
        <v/>
      </c>
      <c r="R32" s="114" t="str">
        <f>IF(COUNTIFS(mapping!$B:$B,R$2,mapping!$D:$D,$B32)&gt;0,"X","")</f>
        <v/>
      </c>
      <c r="S32" s="114" t="str">
        <f>IF(COUNTIFS(mapping!$B:$B,S$2,mapping!$D:$D,$B32)&gt;0,"X","")</f>
        <v/>
      </c>
      <c r="T32" s="114" t="str">
        <f>IF(COUNTIFS(mapping!$B:$B,T$2,mapping!$D:$D,$B32)&gt;0,"X","")</f>
        <v/>
      </c>
      <c r="U32" s="114" t="str">
        <f>IF(COUNTIFS(mapping!$B:$B,U$2,mapping!$D:$D,$B32)&gt;0,"X","")</f>
        <v/>
      </c>
      <c r="V32" s="114" t="str">
        <f>IF(COUNTIFS(mapping!$B:$B,V$2,mapping!$D:$D,$B32)&gt;0,"X","")</f>
        <v/>
      </c>
      <c r="W32" s="114" t="str">
        <f>IF(COUNTIFS(mapping!$B:$B,W$2,mapping!$D:$D,$B32)&gt;0,"X","")</f>
        <v/>
      </c>
      <c r="X32" s="114" t="str">
        <f>IF(COUNTIFS(mapping!$B:$B,X$2,mapping!$D:$D,$B32)&gt;0,"X","")</f>
        <v/>
      </c>
      <c r="Y32" s="114" t="str">
        <f>IF(COUNTIFS(mapping!$B:$B,Y$2,mapping!$D:$D,$B32)&gt;0,"X","")</f>
        <v/>
      </c>
      <c r="Z32" s="114" t="str">
        <f>IF(COUNTIFS(mapping!$B:$B,Z$2,mapping!$D:$D,$B32)&gt;0,"X","")</f>
        <v/>
      </c>
      <c r="AA32" s="114" t="str">
        <f>IF(COUNTIFS(mapping!$B:$B,AA$2,mapping!$D:$D,$B32)&gt;0,"X","")</f>
        <v/>
      </c>
      <c r="AB32" s="114" t="str">
        <f>IF(COUNTIFS(mapping!$B:$B,AB$2,mapping!$D:$D,$B32)&gt;0,"X","")</f>
        <v/>
      </c>
      <c r="AC32" s="114" t="str">
        <f>IF(COUNTIFS(mapping!$B:$B,AC$2,mapping!$D:$D,$B32)&gt;0,"X","")</f>
        <v/>
      </c>
      <c r="AD32" s="114" t="str">
        <f>IF(COUNTIFS(mapping!$B:$B,AD$2,mapping!$D:$D,$B32)&gt;0,"X","")</f>
        <v/>
      </c>
      <c r="AE32" s="114" t="str">
        <f>IF(COUNTIFS(mapping!$B:$B,AE$2,mapping!$D:$D,$B32)&gt;0,"X","")</f>
        <v/>
      </c>
      <c r="AF32" s="114" t="str">
        <f>IF(COUNTIFS(mapping!$B:$B,AF$2,mapping!$D:$D,$B32)&gt;0,"X","")</f>
        <v/>
      </c>
      <c r="AG32" s="114" t="str">
        <f>IF(COUNTIFS(mapping!$B:$B,AG$2,mapping!$D:$D,$B32)&gt;0,"X","")</f>
        <v/>
      </c>
      <c r="AH32" s="114" t="str">
        <f>IF(COUNTIFS(mapping!$B:$B,AH$2,mapping!$D:$D,$B32)&gt;0,"X","")</f>
        <v/>
      </c>
      <c r="AI32" s="114" t="str">
        <f>IF(COUNTIFS(mapping!$B:$B,AI$2,mapping!$D:$D,$B32)&gt;0,"X","")</f>
        <v/>
      </c>
      <c r="AJ32" s="114" t="str">
        <f>IF(COUNTIFS(mapping!$B:$B,AJ$2,mapping!$D:$D,$B32)&gt;0,"X","")</f>
        <v/>
      </c>
      <c r="AK32" s="114" t="str">
        <f>IF(COUNTIFS(mapping!$B:$B,AK$2,mapping!$D:$D,$B32)&gt;0,"X","")</f>
        <v/>
      </c>
      <c r="AL32" s="114" t="str">
        <f>IF(COUNTIFS(mapping!$B:$B,AL$2,mapping!$D:$D,$B32)&gt;0,"X","")</f>
        <v/>
      </c>
      <c r="AM32" s="114" t="str">
        <f>IF(COUNTIFS(mapping!$B:$B,AM$2,mapping!$D:$D,$B32)&gt;0,"X","")</f>
        <v/>
      </c>
      <c r="AN32" s="114" t="str">
        <f>IF(COUNTIFS(mapping!$B:$B,AN$2,mapping!$D:$D,$B32)&gt;0,"X","")</f>
        <v/>
      </c>
      <c r="AO32" s="114" t="str">
        <f>IF(COUNTIFS(mapping!$B:$B,AO$2,mapping!$D:$D,$B32)&gt;0,"X","")</f>
        <v/>
      </c>
      <c r="AP32" s="114" t="str">
        <f>IF(COUNTIFS(mapping!$B:$B,AP$2,mapping!$D:$D,$B32)&gt;0,"X","")</f>
        <v/>
      </c>
      <c r="AQ32" s="114" t="str">
        <f>IF(COUNTIFS(mapping!$B:$B,AQ$2,mapping!$D:$D,$B32)&gt;0,"X","")</f>
        <v/>
      </c>
      <c r="AR32" s="114" t="str">
        <f>IF(COUNTIFS(mapping!$B:$B,AR$2,mapping!$D:$D,$B32)&gt;0,"X","")</f>
        <v/>
      </c>
      <c r="AS32" s="114" t="str">
        <f>IF(COUNTIFS(mapping!$B:$B,AS$2,mapping!$D:$D,$B32)&gt;0,"X","")</f>
        <v/>
      </c>
      <c r="AT32" s="114" t="str">
        <f>IF(COUNTIFS(mapping!$B:$B,AT$2,mapping!$D:$D,$B32)&gt;0,"X","")</f>
        <v/>
      </c>
      <c r="AU32" s="114" t="str">
        <f>IF(COUNTIFS(mapping!$B:$B,AU$2,mapping!$D:$D,$B32)&gt;0,"X","")</f>
        <v/>
      </c>
      <c r="AV32" s="114" t="str">
        <f>IF(COUNTIFS(mapping!$B:$B,AV$2,mapping!$D:$D,$B32)&gt;0,"X","")</f>
        <v/>
      </c>
      <c r="AW32" s="114" t="str">
        <f>IF(COUNTIFS(mapping!$B:$B,AW$2,mapping!$D:$D,$B32)&gt;0,"X","")</f>
        <v/>
      </c>
      <c r="AX32" s="114" t="str">
        <f>IF(COUNTIFS(mapping!$B:$B,AX$2,mapping!$D:$D,$B32)&gt;0,"X","")</f>
        <v/>
      </c>
      <c r="AY32" s="114" t="str">
        <f>IF(COUNTIFS(mapping!$B:$B,AY$2,mapping!$D:$D,$B32)&gt;0,"X","")</f>
        <v>X</v>
      </c>
      <c r="AZ32" s="114" t="str">
        <f>IF(COUNTIFS(mapping!$B:$B,AZ$2,mapping!$D:$D,$B32)&gt;0,"X","")</f>
        <v/>
      </c>
      <c r="BA32" s="114" t="str">
        <f>IF(COUNTIFS(mapping!$B:$B,BA$2,mapping!$D:$D,$B32)&gt;0,"X","")</f>
        <v/>
      </c>
      <c r="BB32" s="114" t="str">
        <f>IF(COUNTIFS(mapping!$B:$B,BB$2,mapping!$D:$D,$B32)&gt;0,"X","")</f>
        <v/>
      </c>
      <c r="BC32" s="114" t="str">
        <f>IF(COUNTIFS(mapping!$B:$B,BC$2,mapping!$D:$D,$B32)&gt;0,"X","")</f>
        <v/>
      </c>
      <c r="BD32" s="114" t="str">
        <f>IF(COUNTIFS(mapping!$B:$B,BD$2,mapping!$D:$D,$B32)&gt;0,"X","")</f>
        <v/>
      </c>
      <c r="BE32" s="114" t="str">
        <f>IF(COUNTIFS(mapping!$B:$B,BE$2,mapping!$D:$D,$B32)&gt;0,"X","")</f>
        <v/>
      </c>
      <c r="BF32" s="114" t="str">
        <f>IF(COUNTIFS(mapping!$B:$B,BF$2,mapping!$D:$D,$B32)&gt;0,"X","")</f>
        <v/>
      </c>
      <c r="BG32" s="114" t="str">
        <f>IF(COUNTIFS(mapping!$B:$B,BG$2,mapping!$D:$D,$B32)&gt;0,"X","")</f>
        <v/>
      </c>
      <c r="BH32" s="114" t="str">
        <f>IF(COUNTIFS(mapping!$B:$B,BH$2,mapping!$D:$D,$B32)&gt;0,"X","")</f>
        <v/>
      </c>
      <c r="BI32" s="114" t="str">
        <f>IF(COUNTIFS(mapping!$B:$B,BI$2,mapping!$D:$D,$B32)&gt;0,"X","")</f>
        <v/>
      </c>
      <c r="BJ32" s="114" t="str">
        <f>IF(COUNTIFS(mapping!$B:$B,BJ$2,mapping!$D:$D,$B32)&gt;0,"X","")</f>
        <v/>
      </c>
      <c r="BK32" s="114" t="str">
        <f>IF(COUNTIFS(mapping!$B:$B,BK$2,mapping!$D:$D,$B32)&gt;0,"X","")</f>
        <v/>
      </c>
      <c r="BL32" s="114" t="str">
        <f>IF(COUNTIFS(mapping!$B:$B,BL$2,mapping!$D:$D,$B32)&gt;0,"X","")</f>
        <v/>
      </c>
      <c r="BM32" s="114" t="str">
        <f>IF(COUNTIFS(mapping!$B:$B,BM$2,mapping!$D:$D,$B32)&gt;0,"X","")</f>
        <v/>
      </c>
      <c r="BN32" s="114" t="str">
        <f>IF(COUNTIFS(mapping!$B:$B,BN$2,mapping!$D:$D,$B32)&gt;0,"X","")</f>
        <v/>
      </c>
      <c r="BO32" s="114" t="str">
        <f>IF(COUNTIFS(mapping!$B:$B,BO$2,mapping!$D:$D,$B32)&gt;0,"X","")</f>
        <v/>
      </c>
      <c r="BP32" s="114" t="str">
        <f>IF(COUNTIFS(mapping!$B:$B,BP$2,mapping!$D:$D,$B32)&gt;0,"X","")</f>
        <v/>
      </c>
      <c r="BQ32" s="114" t="str">
        <f>IF(COUNTIFS(mapping!$B:$B,BQ$2,mapping!$D:$D,$B32)&gt;0,"X","")</f>
        <v/>
      </c>
      <c r="BR32" s="114" t="str">
        <f>IF(COUNTIFS(mapping!$B:$B,BR$2,mapping!$D:$D,$B32)&gt;0,"X","")</f>
        <v/>
      </c>
      <c r="BS32" s="114" t="str">
        <f>IF(COUNTIFS(mapping!$B:$B,BS$2,mapping!$D:$D,$B32)&gt;0,"X","")</f>
        <v/>
      </c>
      <c r="BT32" s="114" t="str">
        <f>IF(COUNTIFS(mapping!$B:$B,BT$2,mapping!$D:$D,$B32)&gt;0,"X","")</f>
        <v/>
      </c>
      <c r="BU32" s="114" t="str">
        <f>IF(COUNTIFS(mapping!$B:$B,BU$2,mapping!$D:$D,$B32)&gt;0,"X","")</f>
        <v/>
      </c>
      <c r="BV32" s="114" t="str">
        <f>IF(COUNTIFS(mapping!$B:$B,BV$2,mapping!$D:$D,$B32)&gt;0,"X","")</f>
        <v/>
      </c>
      <c r="BW32" s="114" t="str">
        <f>IF(COUNTIFS(mapping!$B:$B,BW$2,mapping!$D:$D,$B32)&gt;0,"X","")</f>
        <v/>
      </c>
      <c r="BX32" s="114" t="str">
        <f>IF(COUNTIFS(mapping!$B:$B,BX$2,mapping!$D:$D,$B32)&gt;0,"X","")</f>
        <v/>
      </c>
      <c r="BY32" s="114" t="str">
        <f>IF(COUNTIFS(mapping!$B:$B,BY$2,mapping!$D:$D,$B32)&gt;0,"X","")</f>
        <v/>
      </c>
      <c r="BZ32" s="114" t="str">
        <f>IF(COUNTIFS(mapping!$B:$B,BZ$2,mapping!$D:$D,$B32)&gt;0,"X","")</f>
        <v/>
      </c>
      <c r="CA32" s="114" t="str">
        <f>IF(COUNTIFS(mapping!$B:$B,CA$2,mapping!$D:$D,$B32)&gt;0,"X","")</f>
        <v/>
      </c>
      <c r="CB32" s="114" t="str">
        <f>IF(COUNTIFS(mapping!$B:$B,CB$2,mapping!$D:$D,$B32)&gt;0,"X","")</f>
        <v/>
      </c>
      <c r="CC32" s="114" t="str">
        <f>IF(COUNTIFS(mapping!$B:$B,CC$2,mapping!$D:$D,$B32)&gt;0,"X","")</f>
        <v/>
      </c>
      <c r="CD32" s="114" t="str">
        <f>IF(COUNTIFS(mapping!$B:$B,CD$2,mapping!$D:$D,$B32)&gt;0,"X","")</f>
        <v/>
      </c>
      <c r="CE32" s="114" t="str">
        <f>IF(COUNTIFS(mapping!$B:$B,CE$2,mapping!$D:$D,$B32)&gt;0,"X","")</f>
        <v/>
      </c>
      <c r="CF32" s="114" t="str">
        <f>IF(COUNTIFS(mapping!$B:$B,CF$2,mapping!$D:$D,$B32)&gt;0,"X","")</f>
        <v/>
      </c>
      <c r="CG32" s="114" t="str">
        <f>IF(COUNTIFS(mapping!$B:$B,CG$2,mapping!$D:$D,$B32)&gt;0,"X","")</f>
        <v/>
      </c>
      <c r="CH32" s="114" t="str">
        <f>IF(COUNTIFS(mapping!$B:$B,CH$2,mapping!$D:$D,$B32)&gt;0,"X","")</f>
        <v/>
      </c>
    </row>
    <row r="33" spans="1:86" ht="16">
      <c r="A33" s="257"/>
      <c r="B33" s="122" t="s">
        <v>473</v>
      </c>
      <c r="C33" s="114" t="s">
        <v>472</v>
      </c>
      <c r="E33" s="114" t="str">
        <f>IF(COUNTIFS(mapping!$B:$B,E$2,mapping!$D:$D,$B33)&gt;0,"X","")</f>
        <v/>
      </c>
      <c r="F33" s="114" t="str">
        <f>IF(COUNTIFS(mapping!$B:$B,F$2,mapping!$D:$D,$B33)&gt;0,"X","")</f>
        <v/>
      </c>
      <c r="G33" s="114" t="str">
        <f>IF(COUNTIFS(mapping!$B:$B,G$2,mapping!$D:$D,$B33)&gt;0,"X","")</f>
        <v/>
      </c>
      <c r="H33" s="114" t="str">
        <f>IF(COUNTIFS(mapping!$B:$B,H$2,mapping!$D:$D,$B33)&gt;0,"X","")</f>
        <v/>
      </c>
      <c r="I33" s="114" t="str">
        <f>IF(COUNTIFS(mapping!$B:$B,I$2,mapping!$D:$D,$B33)&gt;0,"X","")</f>
        <v/>
      </c>
      <c r="J33" s="114" t="str">
        <f>IF(COUNTIFS(mapping!$B:$B,J$2,mapping!$D:$D,$B33)&gt;0,"X","")</f>
        <v/>
      </c>
      <c r="K33" s="114" t="str">
        <f>IF(COUNTIFS(mapping!$B:$B,K$2,mapping!$D:$D,$B33)&gt;0,"X","")</f>
        <v/>
      </c>
      <c r="L33" s="114" t="str">
        <f>IF(COUNTIFS(mapping!$B:$B,L$2,mapping!$D:$D,$B33)&gt;0,"X","")</f>
        <v/>
      </c>
      <c r="M33" s="114" t="str">
        <f>IF(COUNTIFS(mapping!$B:$B,M$2,mapping!$D:$D,$B33)&gt;0,"X","")</f>
        <v/>
      </c>
      <c r="N33" s="114" t="str">
        <f>IF(COUNTIFS(mapping!$B:$B,N$2,mapping!$D:$D,$B33)&gt;0,"X","")</f>
        <v/>
      </c>
      <c r="O33" s="114" t="str">
        <f>IF(COUNTIFS(mapping!$B:$B,O$2,mapping!$D:$D,$B33)&gt;0,"X","")</f>
        <v/>
      </c>
      <c r="P33" s="114" t="str">
        <f>IF(COUNTIFS(mapping!$B:$B,P$2,mapping!$D:$D,$B33)&gt;0,"X","")</f>
        <v/>
      </c>
      <c r="Q33" s="114" t="str">
        <f>IF(COUNTIFS(mapping!$B:$B,Q$2,mapping!$D:$D,$B33)&gt;0,"X","")</f>
        <v/>
      </c>
      <c r="R33" s="114" t="str">
        <f>IF(COUNTIFS(mapping!$B:$B,R$2,mapping!$D:$D,$B33)&gt;0,"X","")</f>
        <v/>
      </c>
      <c r="S33" s="114" t="str">
        <f>IF(COUNTIFS(mapping!$B:$B,S$2,mapping!$D:$D,$B33)&gt;0,"X","")</f>
        <v/>
      </c>
      <c r="T33" s="114" t="str">
        <f>IF(COUNTIFS(mapping!$B:$B,T$2,mapping!$D:$D,$B33)&gt;0,"X","")</f>
        <v/>
      </c>
      <c r="U33" s="114" t="str">
        <f>IF(COUNTIFS(mapping!$B:$B,U$2,mapping!$D:$D,$B33)&gt;0,"X","")</f>
        <v/>
      </c>
      <c r="V33" s="114" t="str">
        <f>IF(COUNTIFS(mapping!$B:$B,V$2,mapping!$D:$D,$B33)&gt;0,"X","")</f>
        <v/>
      </c>
      <c r="W33" s="114" t="str">
        <f>IF(COUNTIFS(mapping!$B:$B,W$2,mapping!$D:$D,$B33)&gt;0,"X","")</f>
        <v/>
      </c>
      <c r="X33" s="114" t="str">
        <f>IF(COUNTIFS(mapping!$B:$B,X$2,mapping!$D:$D,$B33)&gt;0,"X","")</f>
        <v/>
      </c>
      <c r="Y33" s="114" t="str">
        <f>IF(COUNTIFS(mapping!$B:$B,Y$2,mapping!$D:$D,$B33)&gt;0,"X","")</f>
        <v/>
      </c>
      <c r="Z33" s="114" t="str">
        <f>IF(COUNTIFS(mapping!$B:$B,Z$2,mapping!$D:$D,$B33)&gt;0,"X","")</f>
        <v>X</v>
      </c>
      <c r="AA33" s="114" t="str">
        <f>IF(COUNTIFS(mapping!$B:$B,AA$2,mapping!$D:$D,$B33)&gt;0,"X","")</f>
        <v/>
      </c>
      <c r="AB33" s="114" t="str">
        <f>IF(COUNTIFS(mapping!$B:$B,AB$2,mapping!$D:$D,$B33)&gt;0,"X","")</f>
        <v/>
      </c>
      <c r="AC33" s="114" t="str">
        <f>IF(COUNTIFS(mapping!$B:$B,AC$2,mapping!$D:$D,$B33)&gt;0,"X","")</f>
        <v/>
      </c>
      <c r="AD33" s="114" t="str">
        <f>IF(COUNTIFS(mapping!$B:$B,AD$2,mapping!$D:$D,$B33)&gt;0,"X","")</f>
        <v/>
      </c>
      <c r="AE33" s="114" t="str">
        <f>IF(COUNTIFS(mapping!$B:$B,AE$2,mapping!$D:$D,$B33)&gt;0,"X","")</f>
        <v/>
      </c>
      <c r="AF33" s="114" t="str">
        <f>IF(COUNTIFS(mapping!$B:$B,AF$2,mapping!$D:$D,$B33)&gt;0,"X","")</f>
        <v/>
      </c>
      <c r="AG33" s="114" t="str">
        <f>IF(COUNTIFS(mapping!$B:$B,AG$2,mapping!$D:$D,$B33)&gt;0,"X","")</f>
        <v/>
      </c>
      <c r="AH33" s="114" t="str">
        <f>IF(COUNTIFS(mapping!$B:$B,AH$2,mapping!$D:$D,$B33)&gt;0,"X","")</f>
        <v/>
      </c>
      <c r="AI33" s="114" t="str">
        <f>IF(COUNTIFS(mapping!$B:$B,AI$2,mapping!$D:$D,$B33)&gt;0,"X","")</f>
        <v/>
      </c>
      <c r="AJ33" s="114" t="str">
        <f>IF(COUNTIFS(mapping!$B:$B,AJ$2,mapping!$D:$D,$B33)&gt;0,"X","")</f>
        <v/>
      </c>
      <c r="AK33" s="114" t="str">
        <f>IF(COUNTIFS(mapping!$B:$B,AK$2,mapping!$D:$D,$B33)&gt;0,"X","")</f>
        <v/>
      </c>
      <c r="AL33" s="114" t="str">
        <f>IF(COUNTIFS(mapping!$B:$B,AL$2,mapping!$D:$D,$B33)&gt;0,"X","")</f>
        <v/>
      </c>
      <c r="AM33" s="114" t="str">
        <f>IF(COUNTIFS(mapping!$B:$B,AM$2,mapping!$D:$D,$B33)&gt;0,"X","")</f>
        <v/>
      </c>
      <c r="AN33" s="114" t="str">
        <f>IF(COUNTIFS(mapping!$B:$B,AN$2,mapping!$D:$D,$B33)&gt;0,"X","")</f>
        <v/>
      </c>
      <c r="AO33" s="114" t="str">
        <f>IF(COUNTIFS(mapping!$B:$B,AO$2,mapping!$D:$D,$B33)&gt;0,"X","")</f>
        <v/>
      </c>
      <c r="AP33" s="114" t="str">
        <f>IF(COUNTIFS(mapping!$B:$B,AP$2,mapping!$D:$D,$B33)&gt;0,"X","")</f>
        <v/>
      </c>
      <c r="AQ33" s="114" t="str">
        <f>IF(COUNTIFS(mapping!$B:$B,AQ$2,mapping!$D:$D,$B33)&gt;0,"X","")</f>
        <v/>
      </c>
      <c r="AR33" s="114" t="str">
        <f>IF(COUNTIFS(mapping!$B:$B,AR$2,mapping!$D:$D,$B33)&gt;0,"X","")</f>
        <v/>
      </c>
      <c r="AS33" s="114" t="str">
        <f>IF(COUNTIFS(mapping!$B:$B,AS$2,mapping!$D:$D,$B33)&gt;0,"X","")</f>
        <v/>
      </c>
      <c r="AT33" s="114" t="str">
        <f>IF(COUNTIFS(mapping!$B:$B,AT$2,mapping!$D:$D,$B33)&gt;0,"X","")</f>
        <v/>
      </c>
      <c r="AU33" s="114" t="str">
        <f>IF(COUNTIFS(mapping!$B:$B,AU$2,mapping!$D:$D,$B33)&gt;0,"X","")</f>
        <v>X</v>
      </c>
      <c r="AV33" s="114" t="str">
        <f>IF(COUNTIFS(mapping!$B:$B,AV$2,mapping!$D:$D,$B33)&gt;0,"X","")</f>
        <v>X</v>
      </c>
      <c r="AW33" s="114" t="str">
        <f>IF(COUNTIFS(mapping!$B:$B,AW$2,mapping!$D:$D,$B33)&gt;0,"X","")</f>
        <v/>
      </c>
      <c r="AX33" s="114" t="str">
        <f>IF(COUNTIFS(mapping!$B:$B,AX$2,mapping!$D:$D,$B33)&gt;0,"X","")</f>
        <v>X</v>
      </c>
      <c r="AY33" s="114" t="str">
        <f>IF(COUNTIFS(mapping!$B:$B,AY$2,mapping!$D:$D,$B33)&gt;0,"X","")</f>
        <v/>
      </c>
      <c r="AZ33" s="114" t="str">
        <f>IF(COUNTIFS(mapping!$B:$B,AZ$2,mapping!$D:$D,$B33)&gt;0,"X","")</f>
        <v>X</v>
      </c>
      <c r="BA33" s="114" t="str">
        <f>IF(COUNTIFS(mapping!$B:$B,BA$2,mapping!$D:$D,$B33)&gt;0,"X","")</f>
        <v>X</v>
      </c>
      <c r="BB33" s="114" t="str">
        <f>IF(COUNTIFS(mapping!$B:$B,BB$2,mapping!$D:$D,$B33)&gt;0,"X","")</f>
        <v>X</v>
      </c>
      <c r="BC33" s="114" t="str">
        <f>IF(COUNTIFS(mapping!$B:$B,BC$2,mapping!$D:$D,$B33)&gt;0,"X","")</f>
        <v/>
      </c>
      <c r="BD33" s="114" t="str">
        <f>IF(COUNTIFS(mapping!$B:$B,BD$2,mapping!$D:$D,$B33)&gt;0,"X","")</f>
        <v/>
      </c>
      <c r="BE33" s="114" t="str">
        <f>IF(COUNTIFS(mapping!$B:$B,BE$2,mapping!$D:$D,$B33)&gt;0,"X","")</f>
        <v/>
      </c>
      <c r="BF33" s="114" t="str">
        <f>IF(COUNTIFS(mapping!$B:$B,BF$2,mapping!$D:$D,$B33)&gt;0,"X","")</f>
        <v>X</v>
      </c>
      <c r="BG33" s="114" t="str">
        <f>IF(COUNTIFS(mapping!$B:$B,BG$2,mapping!$D:$D,$B33)&gt;0,"X","")</f>
        <v/>
      </c>
      <c r="BH33" s="114" t="str">
        <f>IF(COUNTIFS(mapping!$B:$B,BH$2,mapping!$D:$D,$B33)&gt;0,"X","")</f>
        <v/>
      </c>
      <c r="BI33" s="114" t="str">
        <f>IF(COUNTIFS(mapping!$B:$B,BI$2,mapping!$D:$D,$B33)&gt;0,"X","")</f>
        <v/>
      </c>
      <c r="BJ33" s="114" t="str">
        <f>IF(COUNTIFS(mapping!$B:$B,BJ$2,mapping!$D:$D,$B33)&gt;0,"X","")</f>
        <v/>
      </c>
      <c r="BK33" s="114" t="str">
        <f>IF(COUNTIFS(mapping!$B:$B,BK$2,mapping!$D:$D,$B33)&gt;0,"X","")</f>
        <v/>
      </c>
      <c r="BL33" s="114" t="str">
        <f>IF(COUNTIFS(mapping!$B:$B,BL$2,mapping!$D:$D,$B33)&gt;0,"X","")</f>
        <v/>
      </c>
      <c r="BM33" s="114" t="str">
        <f>IF(COUNTIFS(mapping!$B:$B,BM$2,mapping!$D:$D,$B33)&gt;0,"X","")</f>
        <v/>
      </c>
      <c r="BN33" s="114" t="str">
        <f>IF(COUNTIFS(mapping!$B:$B,BN$2,mapping!$D:$D,$B33)&gt;0,"X","")</f>
        <v/>
      </c>
      <c r="BO33" s="114" t="str">
        <f>IF(COUNTIFS(mapping!$B:$B,BO$2,mapping!$D:$D,$B33)&gt;0,"X","")</f>
        <v/>
      </c>
      <c r="BP33" s="114" t="str">
        <f>IF(COUNTIFS(mapping!$B:$B,BP$2,mapping!$D:$D,$B33)&gt;0,"X","")</f>
        <v/>
      </c>
      <c r="BQ33" s="114" t="str">
        <f>IF(COUNTIFS(mapping!$B:$B,BQ$2,mapping!$D:$D,$B33)&gt;0,"X","")</f>
        <v/>
      </c>
      <c r="BR33" s="114" t="str">
        <f>IF(COUNTIFS(mapping!$B:$B,BR$2,mapping!$D:$D,$B33)&gt;0,"X","")</f>
        <v/>
      </c>
      <c r="BS33" s="114" t="str">
        <f>IF(COUNTIFS(mapping!$B:$B,BS$2,mapping!$D:$D,$B33)&gt;0,"X","")</f>
        <v/>
      </c>
      <c r="BT33" s="114" t="str">
        <f>IF(COUNTIFS(mapping!$B:$B,BT$2,mapping!$D:$D,$B33)&gt;0,"X","")</f>
        <v/>
      </c>
      <c r="BU33" s="114" t="str">
        <f>IF(COUNTIFS(mapping!$B:$B,BU$2,mapping!$D:$D,$B33)&gt;0,"X","")</f>
        <v/>
      </c>
      <c r="BV33" s="114" t="str">
        <f>IF(COUNTIFS(mapping!$B:$B,BV$2,mapping!$D:$D,$B33)&gt;0,"X","")</f>
        <v/>
      </c>
      <c r="BW33" s="114" t="str">
        <f>IF(COUNTIFS(mapping!$B:$B,BW$2,mapping!$D:$D,$B33)&gt;0,"X","")</f>
        <v/>
      </c>
      <c r="BX33" s="114" t="str">
        <f>IF(COUNTIFS(mapping!$B:$B,BX$2,mapping!$D:$D,$B33)&gt;0,"X","")</f>
        <v/>
      </c>
      <c r="BY33" s="114" t="str">
        <f>IF(COUNTIFS(mapping!$B:$B,BY$2,mapping!$D:$D,$B33)&gt;0,"X","")</f>
        <v/>
      </c>
      <c r="BZ33" s="114" t="str">
        <f>IF(COUNTIFS(mapping!$B:$B,BZ$2,mapping!$D:$D,$B33)&gt;0,"X","")</f>
        <v/>
      </c>
      <c r="CA33" s="114" t="str">
        <f>IF(COUNTIFS(mapping!$B:$B,CA$2,mapping!$D:$D,$B33)&gt;0,"X","")</f>
        <v/>
      </c>
      <c r="CB33" s="114" t="str">
        <f>IF(COUNTIFS(mapping!$B:$B,CB$2,mapping!$D:$D,$B33)&gt;0,"X","")</f>
        <v/>
      </c>
      <c r="CC33" s="114" t="str">
        <f>IF(COUNTIFS(mapping!$B:$B,CC$2,mapping!$D:$D,$B33)&gt;0,"X","")</f>
        <v/>
      </c>
      <c r="CD33" s="114" t="str">
        <f>IF(COUNTIFS(mapping!$B:$B,CD$2,mapping!$D:$D,$B33)&gt;0,"X","")</f>
        <v/>
      </c>
      <c r="CE33" s="114" t="str">
        <f>IF(COUNTIFS(mapping!$B:$B,CE$2,mapping!$D:$D,$B33)&gt;0,"X","")</f>
        <v>X</v>
      </c>
      <c r="CF33" s="114" t="str">
        <f>IF(COUNTIFS(mapping!$B:$B,CF$2,mapping!$D:$D,$B33)&gt;0,"X","")</f>
        <v/>
      </c>
      <c r="CG33" s="114" t="str">
        <f>IF(COUNTIFS(mapping!$B:$B,CG$2,mapping!$D:$D,$B33)&gt;0,"X","")</f>
        <v/>
      </c>
      <c r="CH33" s="114" t="str">
        <f>IF(COUNTIFS(mapping!$B:$B,CH$2,mapping!$D:$D,$B33)&gt;0,"X","")</f>
        <v/>
      </c>
    </row>
    <row r="34" spans="1:86" ht="16">
      <c r="A34" s="257"/>
      <c r="B34" s="122" t="s">
        <v>471</v>
      </c>
      <c r="C34" s="114" t="s">
        <v>470</v>
      </c>
      <c r="E34" s="114" t="str">
        <f>IF(COUNTIFS(mapping!$B:$B,E$2,mapping!$D:$D,$B34)&gt;0,"X","")</f>
        <v/>
      </c>
      <c r="F34" s="114" t="str">
        <f>IF(COUNTIFS(mapping!$B:$B,F$2,mapping!$D:$D,$B34)&gt;0,"X","")</f>
        <v>X</v>
      </c>
      <c r="G34" s="114" t="str">
        <f>IF(COUNTIFS(mapping!$B:$B,G$2,mapping!$D:$D,$B34)&gt;0,"X","")</f>
        <v>X</v>
      </c>
      <c r="H34" s="114" t="str">
        <f>IF(COUNTIFS(mapping!$B:$B,H$2,mapping!$D:$D,$B34)&gt;0,"X","")</f>
        <v/>
      </c>
      <c r="I34" s="114" t="str">
        <f>IF(COUNTIFS(mapping!$B:$B,I$2,mapping!$D:$D,$B34)&gt;0,"X","")</f>
        <v>X</v>
      </c>
      <c r="J34" s="114" t="str">
        <f>IF(COUNTIFS(mapping!$B:$B,J$2,mapping!$D:$D,$B34)&gt;0,"X","")</f>
        <v/>
      </c>
      <c r="K34" s="114" t="str">
        <f>IF(COUNTIFS(mapping!$B:$B,K$2,mapping!$D:$D,$B34)&gt;0,"X","")</f>
        <v/>
      </c>
      <c r="L34" s="114" t="str">
        <f>IF(COUNTIFS(mapping!$B:$B,L$2,mapping!$D:$D,$B34)&gt;0,"X","")</f>
        <v/>
      </c>
      <c r="M34" s="114" t="str">
        <f>IF(COUNTIFS(mapping!$B:$B,M$2,mapping!$D:$D,$B34)&gt;0,"X","")</f>
        <v/>
      </c>
      <c r="N34" s="114" t="str">
        <f>IF(COUNTIFS(mapping!$B:$B,N$2,mapping!$D:$D,$B34)&gt;0,"X","")</f>
        <v/>
      </c>
      <c r="O34" s="114" t="str">
        <f>IF(COUNTIFS(mapping!$B:$B,O$2,mapping!$D:$D,$B34)&gt;0,"X","")</f>
        <v/>
      </c>
      <c r="P34" s="114" t="str">
        <f>IF(COUNTIFS(mapping!$B:$B,P$2,mapping!$D:$D,$B34)&gt;0,"X","")</f>
        <v/>
      </c>
      <c r="Q34" s="114" t="str">
        <f>IF(COUNTIFS(mapping!$B:$B,Q$2,mapping!$D:$D,$B34)&gt;0,"X","")</f>
        <v/>
      </c>
      <c r="R34" s="114" t="str">
        <f>IF(COUNTIFS(mapping!$B:$B,R$2,mapping!$D:$D,$B34)&gt;0,"X","")</f>
        <v/>
      </c>
      <c r="S34" s="114" t="str">
        <f>IF(COUNTIFS(mapping!$B:$B,S$2,mapping!$D:$D,$B34)&gt;0,"X","")</f>
        <v/>
      </c>
      <c r="T34" s="114" t="str">
        <f>IF(COUNTIFS(mapping!$B:$B,T$2,mapping!$D:$D,$B34)&gt;0,"X","")</f>
        <v/>
      </c>
      <c r="U34" s="114" t="str">
        <f>IF(COUNTIFS(mapping!$B:$B,U$2,mapping!$D:$D,$B34)&gt;0,"X","")</f>
        <v/>
      </c>
      <c r="V34" s="114" t="str">
        <f>IF(COUNTIFS(mapping!$B:$B,V$2,mapping!$D:$D,$B34)&gt;0,"X","")</f>
        <v/>
      </c>
      <c r="W34" s="114" t="str">
        <f>IF(COUNTIFS(mapping!$B:$B,W$2,mapping!$D:$D,$B34)&gt;0,"X","")</f>
        <v/>
      </c>
      <c r="X34" s="114" t="str">
        <f>IF(COUNTIFS(mapping!$B:$B,X$2,mapping!$D:$D,$B34)&gt;0,"X","")</f>
        <v/>
      </c>
      <c r="Y34" s="114" t="str">
        <f>IF(COUNTIFS(mapping!$B:$B,Y$2,mapping!$D:$D,$B34)&gt;0,"X","")</f>
        <v/>
      </c>
      <c r="Z34" s="114" t="str">
        <f>IF(COUNTIFS(mapping!$B:$B,Z$2,mapping!$D:$D,$B34)&gt;0,"X","")</f>
        <v/>
      </c>
      <c r="AA34" s="114" t="str">
        <f>IF(COUNTIFS(mapping!$B:$B,AA$2,mapping!$D:$D,$B34)&gt;0,"X","")</f>
        <v/>
      </c>
      <c r="AB34" s="114" t="str">
        <f>IF(COUNTIFS(mapping!$B:$B,AB$2,mapping!$D:$D,$B34)&gt;0,"X","")</f>
        <v/>
      </c>
      <c r="AC34" s="114" t="str">
        <f>IF(COUNTIFS(mapping!$B:$B,AC$2,mapping!$D:$D,$B34)&gt;0,"X","")</f>
        <v/>
      </c>
      <c r="AD34" s="114" t="str">
        <f>IF(COUNTIFS(mapping!$B:$B,AD$2,mapping!$D:$D,$B34)&gt;0,"X","")</f>
        <v/>
      </c>
      <c r="AE34" s="114" t="str">
        <f>IF(COUNTIFS(mapping!$B:$B,AE$2,mapping!$D:$D,$B34)&gt;0,"X","")</f>
        <v/>
      </c>
      <c r="AF34" s="114" t="str">
        <f>IF(COUNTIFS(mapping!$B:$B,AF$2,mapping!$D:$D,$B34)&gt;0,"X","")</f>
        <v/>
      </c>
      <c r="AG34" s="114" t="str">
        <f>IF(COUNTIFS(mapping!$B:$B,AG$2,mapping!$D:$D,$B34)&gt;0,"X","")</f>
        <v/>
      </c>
      <c r="AH34" s="114" t="str">
        <f>IF(COUNTIFS(mapping!$B:$B,AH$2,mapping!$D:$D,$B34)&gt;0,"X","")</f>
        <v/>
      </c>
      <c r="AI34" s="114" t="str">
        <f>IF(COUNTIFS(mapping!$B:$B,AI$2,mapping!$D:$D,$B34)&gt;0,"X","")</f>
        <v/>
      </c>
      <c r="AJ34" s="114" t="str">
        <f>IF(COUNTIFS(mapping!$B:$B,AJ$2,mapping!$D:$D,$B34)&gt;0,"X","")</f>
        <v/>
      </c>
      <c r="AK34" s="114" t="str">
        <f>IF(COUNTIFS(mapping!$B:$B,AK$2,mapping!$D:$D,$B34)&gt;0,"X","")</f>
        <v/>
      </c>
      <c r="AL34" s="114" t="str">
        <f>IF(COUNTIFS(mapping!$B:$B,AL$2,mapping!$D:$D,$B34)&gt;0,"X","")</f>
        <v/>
      </c>
      <c r="AM34" s="114" t="str">
        <f>IF(COUNTIFS(mapping!$B:$B,AM$2,mapping!$D:$D,$B34)&gt;0,"X","")</f>
        <v/>
      </c>
      <c r="AN34" s="114" t="str">
        <f>IF(COUNTIFS(mapping!$B:$B,AN$2,mapping!$D:$D,$B34)&gt;0,"X","")</f>
        <v/>
      </c>
      <c r="AO34" s="114" t="str">
        <f>IF(COUNTIFS(mapping!$B:$B,AO$2,mapping!$D:$D,$B34)&gt;0,"X","")</f>
        <v/>
      </c>
      <c r="AP34" s="114" t="str">
        <f>IF(COUNTIFS(mapping!$B:$B,AP$2,mapping!$D:$D,$B34)&gt;0,"X","")</f>
        <v/>
      </c>
      <c r="AQ34" s="114" t="str">
        <f>IF(COUNTIFS(mapping!$B:$B,AQ$2,mapping!$D:$D,$B34)&gt;0,"X","")</f>
        <v/>
      </c>
      <c r="AR34" s="114" t="str">
        <f>IF(COUNTIFS(mapping!$B:$B,AR$2,mapping!$D:$D,$B34)&gt;0,"X","")</f>
        <v/>
      </c>
      <c r="AS34" s="114" t="str">
        <f>IF(COUNTIFS(mapping!$B:$B,AS$2,mapping!$D:$D,$B34)&gt;0,"X","")</f>
        <v/>
      </c>
      <c r="AT34" s="114" t="str">
        <f>IF(COUNTIFS(mapping!$B:$B,AT$2,mapping!$D:$D,$B34)&gt;0,"X","")</f>
        <v/>
      </c>
      <c r="AU34" s="114" t="str">
        <f>IF(COUNTIFS(mapping!$B:$B,AU$2,mapping!$D:$D,$B34)&gt;0,"X","")</f>
        <v/>
      </c>
      <c r="AV34" s="114" t="str">
        <f>IF(COUNTIFS(mapping!$B:$B,AV$2,mapping!$D:$D,$B34)&gt;0,"X","")</f>
        <v>X</v>
      </c>
      <c r="AW34" s="114" t="str">
        <f>IF(COUNTIFS(mapping!$B:$B,AW$2,mapping!$D:$D,$B34)&gt;0,"X","")</f>
        <v/>
      </c>
      <c r="AX34" s="114" t="str">
        <f>IF(COUNTIFS(mapping!$B:$B,AX$2,mapping!$D:$D,$B34)&gt;0,"X","")</f>
        <v/>
      </c>
      <c r="AY34" s="114" t="str">
        <f>IF(COUNTIFS(mapping!$B:$B,AY$2,mapping!$D:$D,$B34)&gt;0,"X","")</f>
        <v/>
      </c>
      <c r="AZ34" s="114" t="str">
        <f>IF(COUNTIFS(mapping!$B:$B,AZ$2,mapping!$D:$D,$B34)&gt;0,"X","")</f>
        <v/>
      </c>
      <c r="BA34" s="114" t="str">
        <f>IF(COUNTIFS(mapping!$B:$B,BA$2,mapping!$D:$D,$B34)&gt;0,"X","")</f>
        <v/>
      </c>
      <c r="BB34" s="114" t="str">
        <f>IF(COUNTIFS(mapping!$B:$B,BB$2,mapping!$D:$D,$B34)&gt;0,"X","")</f>
        <v>X</v>
      </c>
      <c r="BC34" s="114" t="str">
        <f>IF(COUNTIFS(mapping!$B:$B,BC$2,mapping!$D:$D,$B34)&gt;0,"X","")</f>
        <v/>
      </c>
      <c r="BD34" s="114" t="str">
        <f>IF(COUNTIFS(mapping!$B:$B,BD$2,mapping!$D:$D,$B34)&gt;0,"X","")</f>
        <v>X</v>
      </c>
      <c r="BE34" s="114" t="str">
        <f>IF(COUNTIFS(mapping!$B:$B,BE$2,mapping!$D:$D,$B34)&gt;0,"X","")</f>
        <v>X</v>
      </c>
      <c r="BF34" s="114" t="str">
        <f>IF(COUNTIFS(mapping!$B:$B,BF$2,mapping!$D:$D,$B34)&gt;0,"X","")</f>
        <v/>
      </c>
      <c r="BG34" s="114" t="str">
        <f>IF(COUNTIFS(mapping!$B:$B,BG$2,mapping!$D:$D,$B34)&gt;0,"X","")</f>
        <v/>
      </c>
      <c r="BH34" s="114" t="str">
        <f>IF(COUNTIFS(mapping!$B:$B,BH$2,mapping!$D:$D,$B34)&gt;0,"X","")</f>
        <v/>
      </c>
      <c r="BI34" s="114" t="str">
        <f>IF(COUNTIFS(mapping!$B:$B,BI$2,mapping!$D:$D,$B34)&gt;0,"X","")</f>
        <v/>
      </c>
      <c r="BJ34" s="114" t="str">
        <f>IF(COUNTIFS(mapping!$B:$B,BJ$2,mapping!$D:$D,$B34)&gt;0,"X","")</f>
        <v/>
      </c>
      <c r="BK34" s="114" t="str">
        <f>IF(COUNTIFS(mapping!$B:$B,BK$2,mapping!$D:$D,$B34)&gt;0,"X","")</f>
        <v/>
      </c>
      <c r="BL34" s="114" t="str">
        <f>IF(COUNTIFS(mapping!$B:$B,BL$2,mapping!$D:$D,$B34)&gt;0,"X","")</f>
        <v/>
      </c>
      <c r="BM34" s="114" t="str">
        <f>IF(COUNTIFS(mapping!$B:$B,BM$2,mapping!$D:$D,$B34)&gt;0,"X","")</f>
        <v>X</v>
      </c>
      <c r="BN34" s="114" t="str">
        <f>IF(COUNTIFS(mapping!$B:$B,BN$2,mapping!$D:$D,$B34)&gt;0,"X","")</f>
        <v/>
      </c>
      <c r="BO34" s="114" t="str">
        <f>IF(COUNTIFS(mapping!$B:$B,BO$2,mapping!$D:$D,$B34)&gt;0,"X","")</f>
        <v/>
      </c>
      <c r="BP34" s="114" t="str">
        <f>IF(COUNTIFS(mapping!$B:$B,BP$2,mapping!$D:$D,$B34)&gt;0,"X","")</f>
        <v/>
      </c>
      <c r="BQ34" s="114" t="str">
        <f>IF(COUNTIFS(mapping!$B:$B,BQ$2,mapping!$D:$D,$B34)&gt;0,"X","")</f>
        <v/>
      </c>
      <c r="BR34" s="114" t="str">
        <f>IF(COUNTIFS(mapping!$B:$B,BR$2,mapping!$D:$D,$B34)&gt;0,"X","")</f>
        <v/>
      </c>
      <c r="BS34" s="114" t="str">
        <f>IF(COUNTIFS(mapping!$B:$B,BS$2,mapping!$D:$D,$B34)&gt;0,"X","")</f>
        <v/>
      </c>
      <c r="BT34" s="114" t="str">
        <f>IF(COUNTIFS(mapping!$B:$B,BT$2,mapping!$D:$D,$B34)&gt;0,"X","")</f>
        <v/>
      </c>
      <c r="BU34" s="114" t="str">
        <f>IF(COUNTIFS(mapping!$B:$B,BU$2,mapping!$D:$D,$B34)&gt;0,"X","")</f>
        <v/>
      </c>
      <c r="BV34" s="114" t="str">
        <f>IF(COUNTIFS(mapping!$B:$B,BV$2,mapping!$D:$D,$B34)&gt;0,"X","")</f>
        <v/>
      </c>
      <c r="BW34" s="114" t="str">
        <f>IF(COUNTIFS(mapping!$B:$B,BW$2,mapping!$D:$D,$B34)&gt;0,"X","")</f>
        <v/>
      </c>
      <c r="BX34" s="114" t="str">
        <f>IF(COUNTIFS(mapping!$B:$B,BX$2,mapping!$D:$D,$B34)&gt;0,"X","")</f>
        <v/>
      </c>
      <c r="BY34" s="114" t="str">
        <f>IF(COUNTIFS(mapping!$B:$B,BY$2,mapping!$D:$D,$B34)&gt;0,"X","")</f>
        <v/>
      </c>
      <c r="BZ34" s="114" t="str">
        <f>IF(COUNTIFS(mapping!$B:$B,BZ$2,mapping!$D:$D,$B34)&gt;0,"X","")</f>
        <v/>
      </c>
      <c r="CA34" s="114" t="str">
        <f>IF(COUNTIFS(mapping!$B:$B,CA$2,mapping!$D:$D,$B34)&gt;0,"X","")</f>
        <v/>
      </c>
      <c r="CB34" s="114" t="str">
        <f>IF(COUNTIFS(mapping!$B:$B,CB$2,mapping!$D:$D,$B34)&gt;0,"X","")</f>
        <v/>
      </c>
      <c r="CC34" s="114" t="str">
        <f>IF(COUNTIFS(mapping!$B:$B,CC$2,mapping!$D:$D,$B34)&gt;0,"X","")</f>
        <v/>
      </c>
      <c r="CD34" s="114" t="str">
        <f>IF(COUNTIFS(mapping!$B:$B,CD$2,mapping!$D:$D,$B34)&gt;0,"X","")</f>
        <v/>
      </c>
      <c r="CE34" s="114" t="str">
        <f>IF(COUNTIFS(mapping!$B:$B,CE$2,mapping!$D:$D,$B34)&gt;0,"X","")</f>
        <v/>
      </c>
      <c r="CF34" s="114" t="str">
        <f>IF(COUNTIFS(mapping!$B:$B,CF$2,mapping!$D:$D,$B34)&gt;0,"X","")</f>
        <v/>
      </c>
      <c r="CG34" s="114" t="str">
        <f>IF(COUNTIFS(mapping!$B:$B,CG$2,mapping!$D:$D,$B34)&gt;0,"X","")</f>
        <v/>
      </c>
      <c r="CH34" s="114" t="str">
        <f>IF(COUNTIFS(mapping!$B:$B,CH$2,mapping!$D:$D,$B34)&gt;0,"X","")</f>
        <v/>
      </c>
    </row>
    <row r="35" spans="1:86" ht="16">
      <c r="A35" s="257"/>
      <c r="B35" s="122" t="s">
        <v>469</v>
      </c>
      <c r="C35" s="114" t="s">
        <v>468</v>
      </c>
      <c r="E35" s="114" t="str">
        <f>IF(COUNTIFS(mapping!$B:$B,E$2,mapping!$D:$D,$B35)&gt;0,"X","")</f>
        <v/>
      </c>
      <c r="F35" s="114" t="str">
        <f>IF(COUNTIFS(mapping!$B:$B,F$2,mapping!$D:$D,$B35)&gt;0,"X","")</f>
        <v/>
      </c>
      <c r="G35" s="114" t="str">
        <f>IF(COUNTIFS(mapping!$B:$B,G$2,mapping!$D:$D,$B35)&gt;0,"X","")</f>
        <v/>
      </c>
      <c r="H35" s="114" t="str">
        <f>IF(COUNTIFS(mapping!$B:$B,H$2,mapping!$D:$D,$B35)&gt;0,"X","")</f>
        <v/>
      </c>
      <c r="I35" s="114" t="str">
        <f>IF(COUNTIFS(mapping!$B:$B,I$2,mapping!$D:$D,$B35)&gt;0,"X","")</f>
        <v/>
      </c>
      <c r="J35" s="114" t="str">
        <f>IF(COUNTIFS(mapping!$B:$B,J$2,mapping!$D:$D,$B35)&gt;0,"X","")</f>
        <v/>
      </c>
      <c r="K35" s="114" t="str">
        <f>IF(COUNTIFS(mapping!$B:$B,K$2,mapping!$D:$D,$B35)&gt;0,"X","")</f>
        <v/>
      </c>
      <c r="L35" s="114" t="str">
        <f>IF(COUNTIFS(mapping!$B:$B,L$2,mapping!$D:$D,$B35)&gt;0,"X","")</f>
        <v/>
      </c>
      <c r="M35" s="114" t="str">
        <f>IF(COUNTIFS(mapping!$B:$B,M$2,mapping!$D:$D,$B35)&gt;0,"X","")</f>
        <v/>
      </c>
      <c r="N35" s="114" t="str">
        <f>IF(COUNTIFS(mapping!$B:$B,N$2,mapping!$D:$D,$B35)&gt;0,"X","")</f>
        <v/>
      </c>
      <c r="O35" s="114" t="str">
        <f>IF(COUNTIFS(mapping!$B:$B,O$2,mapping!$D:$D,$B35)&gt;0,"X","")</f>
        <v/>
      </c>
      <c r="P35" s="114" t="str">
        <f>IF(COUNTIFS(mapping!$B:$B,P$2,mapping!$D:$D,$B35)&gt;0,"X","")</f>
        <v/>
      </c>
      <c r="Q35" s="114" t="str">
        <f>IF(COUNTIFS(mapping!$B:$B,Q$2,mapping!$D:$D,$B35)&gt;0,"X","")</f>
        <v/>
      </c>
      <c r="R35" s="114" t="str">
        <f>IF(COUNTIFS(mapping!$B:$B,R$2,mapping!$D:$D,$B35)&gt;0,"X","")</f>
        <v/>
      </c>
      <c r="S35" s="114" t="str">
        <f>IF(COUNTIFS(mapping!$B:$B,S$2,mapping!$D:$D,$B35)&gt;0,"X","")</f>
        <v/>
      </c>
      <c r="T35" s="114" t="str">
        <f>IF(COUNTIFS(mapping!$B:$B,T$2,mapping!$D:$D,$B35)&gt;0,"X","")</f>
        <v/>
      </c>
      <c r="U35" s="114" t="str">
        <f>IF(COUNTIFS(mapping!$B:$B,U$2,mapping!$D:$D,$B35)&gt;0,"X","")</f>
        <v/>
      </c>
      <c r="V35" s="114" t="str">
        <f>IF(COUNTIFS(mapping!$B:$B,V$2,mapping!$D:$D,$B35)&gt;0,"X","")</f>
        <v/>
      </c>
      <c r="W35" s="114" t="str">
        <f>IF(COUNTIFS(mapping!$B:$B,W$2,mapping!$D:$D,$B35)&gt;0,"X","")</f>
        <v/>
      </c>
      <c r="X35" s="114" t="str">
        <f>IF(COUNTIFS(mapping!$B:$B,X$2,mapping!$D:$D,$B35)&gt;0,"X","")</f>
        <v/>
      </c>
      <c r="Y35" s="114" t="str">
        <f>IF(COUNTIFS(mapping!$B:$B,Y$2,mapping!$D:$D,$B35)&gt;0,"X","")</f>
        <v/>
      </c>
      <c r="Z35" s="114" t="str">
        <f>IF(COUNTIFS(mapping!$B:$B,Z$2,mapping!$D:$D,$B35)&gt;0,"X","")</f>
        <v/>
      </c>
      <c r="AA35" s="114" t="str">
        <f>IF(COUNTIFS(mapping!$B:$B,AA$2,mapping!$D:$D,$B35)&gt;0,"X","")</f>
        <v/>
      </c>
      <c r="AB35" s="114" t="str">
        <f>IF(COUNTIFS(mapping!$B:$B,AB$2,mapping!$D:$D,$B35)&gt;0,"X","")</f>
        <v/>
      </c>
      <c r="AC35" s="114" t="str">
        <f>IF(COUNTIFS(mapping!$B:$B,AC$2,mapping!$D:$D,$B35)&gt;0,"X","")</f>
        <v/>
      </c>
      <c r="AD35" s="114" t="str">
        <f>IF(COUNTIFS(mapping!$B:$B,AD$2,mapping!$D:$D,$B35)&gt;0,"X","")</f>
        <v/>
      </c>
      <c r="AE35" s="114" t="str">
        <f>IF(COUNTIFS(mapping!$B:$B,AE$2,mapping!$D:$D,$B35)&gt;0,"X","")</f>
        <v/>
      </c>
      <c r="AF35" s="114" t="str">
        <f>IF(COUNTIFS(mapping!$B:$B,AF$2,mapping!$D:$D,$B35)&gt;0,"X","")</f>
        <v/>
      </c>
      <c r="AG35" s="114" t="str">
        <f>IF(COUNTIFS(mapping!$B:$B,AG$2,mapping!$D:$D,$B35)&gt;0,"X","")</f>
        <v/>
      </c>
      <c r="AH35" s="114" t="str">
        <f>IF(COUNTIFS(mapping!$B:$B,AH$2,mapping!$D:$D,$B35)&gt;0,"X","")</f>
        <v/>
      </c>
      <c r="AI35" s="114" t="str">
        <f>IF(COUNTIFS(mapping!$B:$B,AI$2,mapping!$D:$D,$B35)&gt;0,"X","")</f>
        <v/>
      </c>
      <c r="AJ35" s="114" t="str">
        <f>IF(COUNTIFS(mapping!$B:$B,AJ$2,mapping!$D:$D,$B35)&gt;0,"X","")</f>
        <v/>
      </c>
      <c r="AK35" s="114" t="str">
        <f>IF(COUNTIFS(mapping!$B:$B,AK$2,mapping!$D:$D,$B35)&gt;0,"X","")</f>
        <v/>
      </c>
      <c r="AL35" s="114" t="str">
        <f>IF(COUNTIFS(mapping!$B:$B,AL$2,mapping!$D:$D,$B35)&gt;0,"X","")</f>
        <v/>
      </c>
      <c r="AM35" s="114" t="str">
        <f>IF(COUNTIFS(mapping!$B:$B,AM$2,mapping!$D:$D,$B35)&gt;0,"X","")</f>
        <v/>
      </c>
      <c r="AN35" s="114" t="str">
        <f>IF(COUNTIFS(mapping!$B:$B,AN$2,mapping!$D:$D,$B35)&gt;0,"X","")</f>
        <v/>
      </c>
      <c r="AO35" s="114" t="str">
        <f>IF(COUNTIFS(mapping!$B:$B,AO$2,mapping!$D:$D,$B35)&gt;0,"X","")</f>
        <v/>
      </c>
      <c r="AP35" s="114" t="str">
        <f>IF(COUNTIFS(mapping!$B:$B,AP$2,mapping!$D:$D,$B35)&gt;0,"X","")</f>
        <v/>
      </c>
      <c r="AQ35" s="114" t="str">
        <f>IF(COUNTIFS(mapping!$B:$B,AQ$2,mapping!$D:$D,$B35)&gt;0,"X","")</f>
        <v/>
      </c>
      <c r="AR35" s="114" t="str">
        <f>IF(COUNTIFS(mapping!$B:$B,AR$2,mapping!$D:$D,$B35)&gt;0,"X","")</f>
        <v/>
      </c>
      <c r="AS35" s="114" t="str">
        <f>IF(COUNTIFS(mapping!$B:$B,AS$2,mapping!$D:$D,$B35)&gt;0,"X","")</f>
        <v/>
      </c>
      <c r="AT35" s="114" t="str">
        <f>IF(COUNTIFS(mapping!$B:$B,AT$2,mapping!$D:$D,$B35)&gt;0,"X","")</f>
        <v/>
      </c>
      <c r="AU35" s="114" t="str">
        <f>IF(COUNTIFS(mapping!$B:$B,AU$2,mapping!$D:$D,$B35)&gt;0,"X","")</f>
        <v/>
      </c>
      <c r="AV35" s="114" t="str">
        <f>IF(COUNTIFS(mapping!$B:$B,AV$2,mapping!$D:$D,$B35)&gt;0,"X","")</f>
        <v/>
      </c>
      <c r="AW35" s="114" t="str">
        <f>IF(COUNTIFS(mapping!$B:$B,AW$2,mapping!$D:$D,$B35)&gt;0,"X","")</f>
        <v/>
      </c>
      <c r="AX35" s="114" t="str">
        <f>IF(COUNTIFS(mapping!$B:$B,AX$2,mapping!$D:$D,$B35)&gt;0,"X","")</f>
        <v>X</v>
      </c>
      <c r="AY35" s="114" t="str">
        <f>IF(COUNTIFS(mapping!$B:$B,AY$2,mapping!$D:$D,$B35)&gt;0,"X","")</f>
        <v/>
      </c>
      <c r="AZ35" s="114" t="str">
        <f>IF(COUNTIFS(mapping!$B:$B,AZ$2,mapping!$D:$D,$B35)&gt;0,"X","")</f>
        <v/>
      </c>
      <c r="BA35" s="114" t="str">
        <f>IF(COUNTIFS(mapping!$B:$B,BA$2,mapping!$D:$D,$B35)&gt;0,"X","")</f>
        <v/>
      </c>
      <c r="BB35" s="114" t="str">
        <f>IF(COUNTIFS(mapping!$B:$B,BB$2,mapping!$D:$D,$B35)&gt;0,"X","")</f>
        <v/>
      </c>
      <c r="BC35" s="114" t="str">
        <f>IF(COUNTIFS(mapping!$B:$B,BC$2,mapping!$D:$D,$B35)&gt;0,"X","")</f>
        <v/>
      </c>
      <c r="BD35" s="114" t="str">
        <f>IF(COUNTIFS(mapping!$B:$B,BD$2,mapping!$D:$D,$B35)&gt;0,"X","")</f>
        <v>X</v>
      </c>
      <c r="BE35" s="114" t="str">
        <f>IF(COUNTIFS(mapping!$B:$B,BE$2,mapping!$D:$D,$B35)&gt;0,"X","")</f>
        <v>X</v>
      </c>
      <c r="BF35" s="114" t="str">
        <f>IF(COUNTIFS(mapping!$B:$B,BF$2,mapping!$D:$D,$B35)&gt;0,"X","")</f>
        <v/>
      </c>
      <c r="BG35" s="114" t="str">
        <f>IF(COUNTIFS(mapping!$B:$B,BG$2,mapping!$D:$D,$B35)&gt;0,"X","")</f>
        <v/>
      </c>
      <c r="BH35" s="114" t="str">
        <f>IF(COUNTIFS(mapping!$B:$B,BH$2,mapping!$D:$D,$B35)&gt;0,"X","")</f>
        <v/>
      </c>
      <c r="BI35" s="114" t="str">
        <f>IF(COUNTIFS(mapping!$B:$B,BI$2,mapping!$D:$D,$B35)&gt;0,"X","")</f>
        <v/>
      </c>
      <c r="BJ35" s="114" t="str">
        <f>IF(COUNTIFS(mapping!$B:$B,BJ$2,mapping!$D:$D,$B35)&gt;0,"X","")</f>
        <v/>
      </c>
      <c r="BK35" s="114" t="str">
        <f>IF(COUNTIFS(mapping!$B:$B,BK$2,mapping!$D:$D,$B35)&gt;0,"X","")</f>
        <v/>
      </c>
      <c r="BL35" s="114" t="str">
        <f>IF(COUNTIFS(mapping!$B:$B,BL$2,mapping!$D:$D,$B35)&gt;0,"X","")</f>
        <v/>
      </c>
      <c r="BM35" s="114" t="str">
        <f>IF(COUNTIFS(mapping!$B:$B,BM$2,mapping!$D:$D,$B35)&gt;0,"X","")</f>
        <v/>
      </c>
      <c r="BN35" s="114" t="str">
        <f>IF(COUNTIFS(mapping!$B:$B,BN$2,mapping!$D:$D,$B35)&gt;0,"X","")</f>
        <v/>
      </c>
      <c r="BO35" s="114" t="str">
        <f>IF(COUNTIFS(mapping!$B:$B,BO$2,mapping!$D:$D,$B35)&gt;0,"X","")</f>
        <v/>
      </c>
      <c r="BP35" s="114" t="str">
        <f>IF(COUNTIFS(mapping!$B:$B,BP$2,mapping!$D:$D,$B35)&gt;0,"X","")</f>
        <v/>
      </c>
      <c r="BQ35" s="114" t="str">
        <f>IF(COUNTIFS(mapping!$B:$B,BQ$2,mapping!$D:$D,$B35)&gt;0,"X","")</f>
        <v/>
      </c>
      <c r="BR35" s="114" t="str">
        <f>IF(COUNTIFS(mapping!$B:$B,BR$2,mapping!$D:$D,$B35)&gt;0,"X","")</f>
        <v/>
      </c>
      <c r="BS35" s="114" t="str">
        <f>IF(COUNTIFS(mapping!$B:$B,BS$2,mapping!$D:$D,$B35)&gt;0,"X","")</f>
        <v/>
      </c>
      <c r="BT35" s="114" t="str">
        <f>IF(COUNTIFS(mapping!$B:$B,BT$2,mapping!$D:$D,$B35)&gt;0,"X","")</f>
        <v/>
      </c>
      <c r="BU35" s="114" t="str">
        <f>IF(COUNTIFS(mapping!$B:$B,BU$2,mapping!$D:$D,$B35)&gt;0,"X","")</f>
        <v/>
      </c>
      <c r="BV35" s="114" t="str">
        <f>IF(COUNTIFS(mapping!$B:$B,BV$2,mapping!$D:$D,$B35)&gt;0,"X","")</f>
        <v/>
      </c>
      <c r="BW35" s="114" t="str">
        <f>IF(COUNTIFS(mapping!$B:$B,BW$2,mapping!$D:$D,$B35)&gt;0,"X","")</f>
        <v/>
      </c>
      <c r="BX35" s="114" t="str">
        <f>IF(COUNTIFS(mapping!$B:$B,BX$2,mapping!$D:$D,$B35)&gt;0,"X","")</f>
        <v/>
      </c>
      <c r="BY35" s="114" t="str">
        <f>IF(COUNTIFS(mapping!$B:$B,BY$2,mapping!$D:$D,$B35)&gt;0,"X","")</f>
        <v/>
      </c>
      <c r="BZ35" s="114" t="str">
        <f>IF(COUNTIFS(mapping!$B:$B,BZ$2,mapping!$D:$D,$B35)&gt;0,"X","")</f>
        <v/>
      </c>
      <c r="CA35" s="114" t="str">
        <f>IF(COUNTIFS(mapping!$B:$B,CA$2,mapping!$D:$D,$B35)&gt;0,"X","")</f>
        <v/>
      </c>
      <c r="CB35" s="114" t="str">
        <f>IF(COUNTIFS(mapping!$B:$B,CB$2,mapping!$D:$D,$B35)&gt;0,"X","")</f>
        <v/>
      </c>
      <c r="CC35" s="114" t="str">
        <f>IF(COUNTIFS(mapping!$B:$B,CC$2,mapping!$D:$D,$B35)&gt;0,"X","")</f>
        <v/>
      </c>
      <c r="CD35" s="114" t="str">
        <f>IF(COUNTIFS(mapping!$B:$B,CD$2,mapping!$D:$D,$B35)&gt;0,"X","")</f>
        <v/>
      </c>
      <c r="CE35" s="114" t="str">
        <f>IF(COUNTIFS(mapping!$B:$B,CE$2,mapping!$D:$D,$B35)&gt;0,"X","")</f>
        <v>X</v>
      </c>
      <c r="CF35" s="114" t="str">
        <f>IF(COUNTIFS(mapping!$B:$B,CF$2,mapping!$D:$D,$B35)&gt;0,"X","")</f>
        <v/>
      </c>
      <c r="CG35" s="114" t="str">
        <f>IF(COUNTIFS(mapping!$B:$B,CG$2,mapping!$D:$D,$B35)&gt;0,"X","")</f>
        <v/>
      </c>
      <c r="CH35" s="114" t="str">
        <f>IF(COUNTIFS(mapping!$B:$B,CH$2,mapping!$D:$D,$B35)&gt;0,"X","")</f>
        <v/>
      </c>
    </row>
    <row r="36" spans="1:86" ht="16">
      <c r="A36" s="257"/>
      <c r="B36" s="122" t="s">
        <v>467</v>
      </c>
      <c r="C36" s="114" t="s">
        <v>466</v>
      </c>
      <c r="E36" s="114" t="str">
        <f>IF(COUNTIFS(mapping!$B:$B,E$2,mapping!$D:$D,$B36)&gt;0,"X","")</f>
        <v/>
      </c>
      <c r="F36" s="114" t="str">
        <f>IF(COUNTIFS(mapping!$B:$B,F$2,mapping!$D:$D,$B36)&gt;0,"X","")</f>
        <v/>
      </c>
      <c r="G36" s="114" t="str">
        <f>IF(COUNTIFS(mapping!$B:$B,G$2,mapping!$D:$D,$B36)&gt;0,"X","")</f>
        <v/>
      </c>
      <c r="H36" s="114" t="str">
        <f>IF(COUNTIFS(mapping!$B:$B,H$2,mapping!$D:$D,$B36)&gt;0,"X","")</f>
        <v/>
      </c>
      <c r="I36" s="114" t="str">
        <f>IF(COUNTIFS(mapping!$B:$B,I$2,mapping!$D:$D,$B36)&gt;0,"X","")</f>
        <v/>
      </c>
      <c r="J36" s="114" t="str">
        <f>IF(COUNTIFS(mapping!$B:$B,J$2,mapping!$D:$D,$B36)&gt;0,"X","")</f>
        <v/>
      </c>
      <c r="K36" s="114" t="str">
        <f>IF(COUNTIFS(mapping!$B:$B,K$2,mapping!$D:$D,$B36)&gt;0,"X","")</f>
        <v/>
      </c>
      <c r="L36" s="114" t="str">
        <f>IF(COUNTIFS(mapping!$B:$B,L$2,mapping!$D:$D,$B36)&gt;0,"X","")</f>
        <v/>
      </c>
      <c r="M36" s="114" t="str">
        <f>IF(COUNTIFS(mapping!$B:$B,M$2,mapping!$D:$D,$B36)&gt;0,"X","")</f>
        <v/>
      </c>
      <c r="N36" s="114" t="str">
        <f>IF(COUNTIFS(mapping!$B:$B,N$2,mapping!$D:$D,$B36)&gt;0,"X","")</f>
        <v/>
      </c>
      <c r="O36" s="114" t="str">
        <f>IF(COUNTIFS(mapping!$B:$B,O$2,mapping!$D:$D,$B36)&gt;0,"X","")</f>
        <v/>
      </c>
      <c r="P36" s="114" t="str">
        <f>IF(COUNTIFS(mapping!$B:$B,P$2,mapping!$D:$D,$B36)&gt;0,"X","")</f>
        <v/>
      </c>
      <c r="Q36" s="114" t="str">
        <f>IF(COUNTIFS(mapping!$B:$B,Q$2,mapping!$D:$D,$B36)&gt;0,"X","")</f>
        <v/>
      </c>
      <c r="R36" s="114" t="str">
        <f>IF(COUNTIFS(mapping!$B:$B,R$2,mapping!$D:$D,$B36)&gt;0,"X","")</f>
        <v/>
      </c>
      <c r="S36" s="114" t="str">
        <f>IF(COUNTIFS(mapping!$B:$B,S$2,mapping!$D:$D,$B36)&gt;0,"X","")</f>
        <v/>
      </c>
      <c r="T36" s="114" t="str">
        <f>IF(COUNTIFS(mapping!$B:$B,T$2,mapping!$D:$D,$B36)&gt;0,"X","")</f>
        <v/>
      </c>
      <c r="U36" s="114" t="str">
        <f>IF(COUNTIFS(mapping!$B:$B,U$2,mapping!$D:$D,$B36)&gt;0,"X","")</f>
        <v/>
      </c>
      <c r="V36" s="114" t="str">
        <f>IF(COUNTIFS(mapping!$B:$B,V$2,mapping!$D:$D,$B36)&gt;0,"X","")</f>
        <v/>
      </c>
      <c r="W36" s="114" t="str">
        <f>IF(COUNTIFS(mapping!$B:$B,W$2,mapping!$D:$D,$B36)&gt;0,"X","")</f>
        <v/>
      </c>
      <c r="X36" s="114" t="str">
        <f>IF(COUNTIFS(mapping!$B:$B,X$2,mapping!$D:$D,$B36)&gt;0,"X","")</f>
        <v/>
      </c>
      <c r="Y36" s="114" t="str">
        <f>IF(COUNTIFS(mapping!$B:$B,Y$2,mapping!$D:$D,$B36)&gt;0,"X","")</f>
        <v/>
      </c>
      <c r="Z36" s="114" t="str">
        <f>IF(COUNTIFS(mapping!$B:$B,Z$2,mapping!$D:$D,$B36)&gt;0,"X","")</f>
        <v/>
      </c>
      <c r="AA36" s="114" t="str">
        <f>IF(COUNTIFS(mapping!$B:$B,AA$2,mapping!$D:$D,$B36)&gt;0,"X","")</f>
        <v/>
      </c>
      <c r="AB36" s="114" t="str">
        <f>IF(COUNTIFS(mapping!$B:$B,AB$2,mapping!$D:$D,$B36)&gt;0,"X","")</f>
        <v/>
      </c>
      <c r="AC36" s="114" t="str">
        <f>IF(COUNTIFS(mapping!$B:$B,AC$2,mapping!$D:$D,$B36)&gt;0,"X","")</f>
        <v/>
      </c>
      <c r="AD36" s="114" t="str">
        <f>IF(COUNTIFS(mapping!$B:$B,AD$2,mapping!$D:$D,$B36)&gt;0,"X","")</f>
        <v/>
      </c>
      <c r="AE36" s="114" t="str">
        <f>IF(COUNTIFS(mapping!$B:$B,AE$2,mapping!$D:$D,$B36)&gt;0,"X","")</f>
        <v/>
      </c>
      <c r="AF36" s="114" t="str">
        <f>IF(COUNTIFS(mapping!$B:$B,AF$2,mapping!$D:$D,$B36)&gt;0,"X","")</f>
        <v/>
      </c>
      <c r="AG36" s="114" t="str">
        <f>IF(COUNTIFS(mapping!$B:$B,AG$2,mapping!$D:$D,$B36)&gt;0,"X","")</f>
        <v/>
      </c>
      <c r="AH36" s="114" t="str">
        <f>IF(COUNTIFS(mapping!$B:$B,AH$2,mapping!$D:$D,$B36)&gt;0,"X","")</f>
        <v/>
      </c>
      <c r="AI36" s="114" t="str">
        <f>IF(COUNTIFS(mapping!$B:$B,AI$2,mapping!$D:$D,$B36)&gt;0,"X","")</f>
        <v/>
      </c>
      <c r="AJ36" s="114" t="str">
        <f>IF(COUNTIFS(mapping!$B:$B,AJ$2,mapping!$D:$D,$B36)&gt;0,"X","")</f>
        <v/>
      </c>
      <c r="AK36" s="114" t="str">
        <f>IF(COUNTIFS(mapping!$B:$B,AK$2,mapping!$D:$D,$B36)&gt;0,"X","")</f>
        <v/>
      </c>
      <c r="AL36" s="114" t="str">
        <f>IF(COUNTIFS(mapping!$B:$B,AL$2,mapping!$D:$D,$B36)&gt;0,"X","")</f>
        <v/>
      </c>
      <c r="AM36" s="114" t="str">
        <f>IF(COUNTIFS(mapping!$B:$B,AM$2,mapping!$D:$D,$B36)&gt;0,"X","")</f>
        <v/>
      </c>
      <c r="AN36" s="114" t="str">
        <f>IF(COUNTIFS(mapping!$B:$B,AN$2,mapping!$D:$D,$B36)&gt;0,"X","")</f>
        <v/>
      </c>
      <c r="AO36" s="114" t="str">
        <f>IF(COUNTIFS(mapping!$B:$B,AO$2,mapping!$D:$D,$B36)&gt;0,"X","")</f>
        <v/>
      </c>
      <c r="AP36" s="114" t="str">
        <f>IF(COUNTIFS(mapping!$B:$B,AP$2,mapping!$D:$D,$B36)&gt;0,"X","")</f>
        <v/>
      </c>
      <c r="AQ36" s="114" t="str">
        <f>IF(COUNTIFS(mapping!$B:$B,AQ$2,mapping!$D:$D,$B36)&gt;0,"X","")</f>
        <v/>
      </c>
      <c r="AR36" s="114" t="str">
        <f>IF(COUNTIFS(mapping!$B:$B,AR$2,mapping!$D:$D,$B36)&gt;0,"X","")</f>
        <v/>
      </c>
      <c r="AS36" s="114" t="str">
        <f>IF(COUNTIFS(mapping!$B:$B,AS$2,mapping!$D:$D,$B36)&gt;0,"X","")</f>
        <v/>
      </c>
      <c r="AT36" s="114" t="str">
        <f>IF(COUNTIFS(mapping!$B:$B,AT$2,mapping!$D:$D,$B36)&gt;0,"X","")</f>
        <v/>
      </c>
      <c r="AU36" s="114" t="str">
        <f>IF(COUNTIFS(mapping!$B:$B,AU$2,mapping!$D:$D,$B36)&gt;0,"X","")</f>
        <v/>
      </c>
      <c r="AV36" s="114" t="str">
        <f>IF(COUNTIFS(mapping!$B:$B,AV$2,mapping!$D:$D,$B36)&gt;0,"X","")</f>
        <v/>
      </c>
      <c r="AW36" s="114" t="str">
        <f>IF(COUNTIFS(mapping!$B:$B,AW$2,mapping!$D:$D,$B36)&gt;0,"X","")</f>
        <v>X</v>
      </c>
      <c r="AX36" s="114" t="str">
        <f>IF(COUNTIFS(mapping!$B:$B,AX$2,mapping!$D:$D,$B36)&gt;0,"X","")</f>
        <v>X</v>
      </c>
      <c r="AY36" s="114" t="str">
        <f>IF(COUNTIFS(mapping!$B:$B,AY$2,mapping!$D:$D,$B36)&gt;0,"X","")</f>
        <v/>
      </c>
      <c r="AZ36" s="114" t="str">
        <f>IF(COUNTIFS(mapping!$B:$B,AZ$2,mapping!$D:$D,$B36)&gt;0,"X","")</f>
        <v/>
      </c>
      <c r="BA36" s="114" t="str">
        <f>IF(COUNTIFS(mapping!$B:$B,BA$2,mapping!$D:$D,$B36)&gt;0,"X","")</f>
        <v/>
      </c>
      <c r="BB36" s="114" t="str">
        <f>IF(COUNTIFS(mapping!$B:$B,BB$2,mapping!$D:$D,$B36)&gt;0,"X","")</f>
        <v/>
      </c>
      <c r="BC36" s="114" t="str">
        <f>IF(COUNTIFS(mapping!$B:$B,BC$2,mapping!$D:$D,$B36)&gt;0,"X","")</f>
        <v>X</v>
      </c>
      <c r="BD36" s="114" t="str">
        <f>IF(COUNTIFS(mapping!$B:$B,BD$2,mapping!$D:$D,$B36)&gt;0,"X","")</f>
        <v>X</v>
      </c>
      <c r="BE36" s="114" t="str">
        <f>IF(COUNTIFS(mapping!$B:$B,BE$2,mapping!$D:$D,$B36)&gt;0,"X","")</f>
        <v>X</v>
      </c>
      <c r="BF36" s="114" t="str">
        <f>IF(COUNTIFS(mapping!$B:$B,BF$2,mapping!$D:$D,$B36)&gt;0,"X","")</f>
        <v/>
      </c>
      <c r="BG36" s="114" t="str">
        <f>IF(COUNTIFS(mapping!$B:$B,BG$2,mapping!$D:$D,$B36)&gt;0,"X","")</f>
        <v/>
      </c>
      <c r="BH36" s="114" t="str">
        <f>IF(COUNTIFS(mapping!$B:$B,BH$2,mapping!$D:$D,$B36)&gt;0,"X","")</f>
        <v/>
      </c>
      <c r="BI36" s="114" t="str">
        <f>IF(COUNTIFS(mapping!$B:$B,BI$2,mapping!$D:$D,$B36)&gt;0,"X","")</f>
        <v/>
      </c>
      <c r="BJ36" s="114" t="str">
        <f>IF(COUNTIFS(mapping!$B:$B,BJ$2,mapping!$D:$D,$B36)&gt;0,"X","")</f>
        <v/>
      </c>
      <c r="BK36" s="114" t="str">
        <f>IF(COUNTIFS(mapping!$B:$B,BK$2,mapping!$D:$D,$B36)&gt;0,"X","")</f>
        <v/>
      </c>
      <c r="BL36" s="114" t="str">
        <f>IF(COUNTIFS(mapping!$B:$B,BL$2,mapping!$D:$D,$B36)&gt;0,"X","")</f>
        <v/>
      </c>
      <c r="BM36" s="114" t="str">
        <f>IF(COUNTIFS(mapping!$B:$B,BM$2,mapping!$D:$D,$B36)&gt;0,"X","")</f>
        <v/>
      </c>
      <c r="BN36" s="114" t="str">
        <f>IF(COUNTIFS(mapping!$B:$B,BN$2,mapping!$D:$D,$B36)&gt;0,"X","")</f>
        <v/>
      </c>
      <c r="BO36" s="114" t="str">
        <f>IF(COUNTIFS(mapping!$B:$B,BO$2,mapping!$D:$D,$B36)&gt;0,"X","")</f>
        <v/>
      </c>
      <c r="BP36" s="114" t="str">
        <f>IF(COUNTIFS(mapping!$B:$B,BP$2,mapping!$D:$D,$B36)&gt;0,"X","")</f>
        <v/>
      </c>
      <c r="BQ36" s="114" t="str">
        <f>IF(COUNTIFS(mapping!$B:$B,BQ$2,mapping!$D:$D,$B36)&gt;0,"X","")</f>
        <v/>
      </c>
      <c r="BR36" s="114" t="str">
        <f>IF(COUNTIFS(mapping!$B:$B,BR$2,mapping!$D:$D,$B36)&gt;0,"X","")</f>
        <v/>
      </c>
      <c r="BS36" s="114" t="str">
        <f>IF(COUNTIFS(mapping!$B:$B,BS$2,mapping!$D:$D,$B36)&gt;0,"X","")</f>
        <v/>
      </c>
      <c r="BT36" s="114" t="str">
        <f>IF(COUNTIFS(mapping!$B:$B,BT$2,mapping!$D:$D,$B36)&gt;0,"X","")</f>
        <v/>
      </c>
      <c r="BU36" s="114" t="str">
        <f>IF(COUNTIFS(mapping!$B:$B,BU$2,mapping!$D:$D,$B36)&gt;0,"X","")</f>
        <v/>
      </c>
      <c r="BV36" s="114" t="str">
        <f>IF(COUNTIFS(mapping!$B:$B,BV$2,mapping!$D:$D,$B36)&gt;0,"X","")</f>
        <v/>
      </c>
      <c r="BW36" s="114" t="str">
        <f>IF(COUNTIFS(mapping!$B:$B,BW$2,mapping!$D:$D,$B36)&gt;0,"X","")</f>
        <v/>
      </c>
      <c r="BX36" s="114" t="str">
        <f>IF(COUNTIFS(mapping!$B:$B,BX$2,mapping!$D:$D,$B36)&gt;0,"X","")</f>
        <v/>
      </c>
      <c r="BY36" s="114" t="str">
        <f>IF(COUNTIFS(mapping!$B:$B,BY$2,mapping!$D:$D,$B36)&gt;0,"X","")</f>
        <v/>
      </c>
      <c r="BZ36" s="114" t="str">
        <f>IF(COUNTIFS(mapping!$B:$B,BZ$2,mapping!$D:$D,$B36)&gt;0,"X","")</f>
        <v/>
      </c>
      <c r="CA36" s="114" t="str">
        <f>IF(COUNTIFS(mapping!$B:$B,CA$2,mapping!$D:$D,$B36)&gt;0,"X","")</f>
        <v/>
      </c>
      <c r="CB36" s="114" t="str">
        <f>IF(COUNTIFS(mapping!$B:$B,CB$2,mapping!$D:$D,$B36)&gt;0,"X","")</f>
        <v/>
      </c>
      <c r="CC36" s="114" t="str">
        <f>IF(COUNTIFS(mapping!$B:$B,CC$2,mapping!$D:$D,$B36)&gt;0,"X","")</f>
        <v/>
      </c>
      <c r="CD36" s="114" t="str">
        <f>IF(COUNTIFS(mapping!$B:$B,CD$2,mapping!$D:$D,$B36)&gt;0,"X","")</f>
        <v/>
      </c>
      <c r="CE36" s="114" t="str">
        <f>IF(COUNTIFS(mapping!$B:$B,CE$2,mapping!$D:$D,$B36)&gt;0,"X","")</f>
        <v>X</v>
      </c>
      <c r="CF36" s="114" t="str">
        <f>IF(COUNTIFS(mapping!$B:$B,CF$2,mapping!$D:$D,$B36)&gt;0,"X","")</f>
        <v>X</v>
      </c>
      <c r="CG36" s="114" t="str">
        <f>IF(COUNTIFS(mapping!$B:$B,CG$2,mapping!$D:$D,$B36)&gt;0,"X","")</f>
        <v/>
      </c>
      <c r="CH36" s="114" t="str">
        <f>IF(COUNTIFS(mapping!$B:$B,CH$2,mapping!$D:$D,$B36)&gt;0,"X","")</f>
        <v/>
      </c>
    </row>
    <row r="37" spans="1:86" ht="16">
      <c r="A37" s="257"/>
      <c r="B37" s="122" t="s">
        <v>465</v>
      </c>
      <c r="C37" s="114" t="s">
        <v>464</v>
      </c>
      <c r="E37" s="114" t="str">
        <f>IF(COUNTIFS(mapping!$B:$B,E$2,mapping!$D:$D,$B37)&gt;0,"X","")</f>
        <v/>
      </c>
      <c r="F37" s="114" t="str">
        <f>IF(COUNTIFS(mapping!$B:$B,F$2,mapping!$D:$D,$B37)&gt;0,"X","")</f>
        <v/>
      </c>
      <c r="G37" s="114" t="str">
        <f>IF(COUNTIFS(mapping!$B:$B,G$2,mapping!$D:$D,$B37)&gt;0,"X","")</f>
        <v/>
      </c>
      <c r="H37" s="114" t="str">
        <f>IF(COUNTIFS(mapping!$B:$B,H$2,mapping!$D:$D,$B37)&gt;0,"X","")</f>
        <v/>
      </c>
      <c r="I37" s="114" t="str">
        <f>IF(COUNTIFS(mapping!$B:$B,I$2,mapping!$D:$D,$B37)&gt;0,"X","")</f>
        <v/>
      </c>
      <c r="J37" s="114" t="str">
        <f>IF(COUNTIFS(mapping!$B:$B,J$2,mapping!$D:$D,$B37)&gt;0,"X","")</f>
        <v/>
      </c>
      <c r="K37" s="114" t="str">
        <f>IF(COUNTIFS(mapping!$B:$B,K$2,mapping!$D:$D,$B37)&gt;0,"X","")</f>
        <v/>
      </c>
      <c r="L37" s="114" t="str">
        <f>IF(COUNTIFS(mapping!$B:$B,L$2,mapping!$D:$D,$B37)&gt;0,"X","")</f>
        <v/>
      </c>
      <c r="M37" s="114" t="str">
        <f>IF(COUNTIFS(mapping!$B:$B,M$2,mapping!$D:$D,$B37)&gt;0,"X","")</f>
        <v/>
      </c>
      <c r="N37" s="114" t="str">
        <f>IF(COUNTIFS(mapping!$B:$B,N$2,mapping!$D:$D,$B37)&gt;0,"X","")</f>
        <v/>
      </c>
      <c r="O37" s="114" t="str">
        <f>IF(COUNTIFS(mapping!$B:$B,O$2,mapping!$D:$D,$B37)&gt;0,"X","")</f>
        <v/>
      </c>
      <c r="P37" s="114" t="str">
        <f>IF(COUNTIFS(mapping!$B:$B,P$2,mapping!$D:$D,$B37)&gt;0,"X","")</f>
        <v/>
      </c>
      <c r="Q37" s="114" t="str">
        <f>IF(COUNTIFS(mapping!$B:$B,Q$2,mapping!$D:$D,$B37)&gt;0,"X","")</f>
        <v/>
      </c>
      <c r="R37" s="114" t="str">
        <f>IF(COUNTIFS(mapping!$B:$B,R$2,mapping!$D:$D,$B37)&gt;0,"X","")</f>
        <v/>
      </c>
      <c r="S37" s="114" t="str">
        <f>IF(COUNTIFS(mapping!$B:$B,S$2,mapping!$D:$D,$B37)&gt;0,"X","")</f>
        <v/>
      </c>
      <c r="T37" s="114" t="str">
        <f>IF(COUNTIFS(mapping!$B:$B,T$2,mapping!$D:$D,$B37)&gt;0,"X","")</f>
        <v/>
      </c>
      <c r="U37" s="114" t="str">
        <f>IF(COUNTIFS(mapping!$B:$B,U$2,mapping!$D:$D,$B37)&gt;0,"X","")</f>
        <v/>
      </c>
      <c r="V37" s="114" t="str">
        <f>IF(COUNTIFS(mapping!$B:$B,V$2,mapping!$D:$D,$B37)&gt;0,"X","")</f>
        <v/>
      </c>
      <c r="W37" s="114" t="str">
        <f>IF(COUNTIFS(mapping!$B:$B,W$2,mapping!$D:$D,$B37)&gt;0,"X","")</f>
        <v/>
      </c>
      <c r="X37" s="114" t="str">
        <f>IF(COUNTIFS(mapping!$B:$B,X$2,mapping!$D:$D,$B37)&gt;0,"X","")</f>
        <v/>
      </c>
      <c r="Y37" s="114" t="str">
        <f>IF(COUNTIFS(mapping!$B:$B,Y$2,mapping!$D:$D,$B37)&gt;0,"X","")</f>
        <v/>
      </c>
      <c r="Z37" s="114" t="str">
        <f>IF(COUNTIFS(mapping!$B:$B,Z$2,mapping!$D:$D,$B37)&gt;0,"X","")</f>
        <v/>
      </c>
      <c r="AA37" s="114" t="str">
        <f>IF(COUNTIFS(mapping!$B:$B,AA$2,mapping!$D:$D,$B37)&gt;0,"X","")</f>
        <v/>
      </c>
      <c r="AB37" s="114" t="str">
        <f>IF(COUNTIFS(mapping!$B:$B,AB$2,mapping!$D:$D,$B37)&gt;0,"X","")</f>
        <v/>
      </c>
      <c r="AC37" s="114" t="str">
        <f>IF(COUNTIFS(mapping!$B:$B,AC$2,mapping!$D:$D,$B37)&gt;0,"X","")</f>
        <v/>
      </c>
      <c r="AD37" s="114" t="str">
        <f>IF(COUNTIFS(mapping!$B:$B,AD$2,mapping!$D:$D,$B37)&gt;0,"X","")</f>
        <v/>
      </c>
      <c r="AE37" s="114" t="str">
        <f>IF(COUNTIFS(mapping!$B:$B,AE$2,mapping!$D:$D,$B37)&gt;0,"X","")</f>
        <v/>
      </c>
      <c r="AF37" s="114" t="str">
        <f>IF(COUNTIFS(mapping!$B:$B,AF$2,mapping!$D:$D,$B37)&gt;0,"X","")</f>
        <v/>
      </c>
      <c r="AG37" s="114" t="str">
        <f>IF(COUNTIFS(mapping!$B:$B,AG$2,mapping!$D:$D,$B37)&gt;0,"X","")</f>
        <v/>
      </c>
      <c r="AH37" s="114" t="str">
        <f>IF(COUNTIFS(mapping!$B:$B,AH$2,mapping!$D:$D,$B37)&gt;0,"X","")</f>
        <v/>
      </c>
      <c r="AI37" s="114" t="str">
        <f>IF(COUNTIFS(mapping!$B:$B,AI$2,mapping!$D:$D,$B37)&gt;0,"X","")</f>
        <v/>
      </c>
      <c r="AJ37" s="114" t="str">
        <f>IF(COUNTIFS(mapping!$B:$B,AJ$2,mapping!$D:$D,$B37)&gt;0,"X","")</f>
        <v/>
      </c>
      <c r="AK37" s="114" t="str">
        <f>IF(COUNTIFS(mapping!$B:$B,AK$2,mapping!$D:$D,$B37)&gt;0,"X","")</f>
        <v/>
      </c>
      <c r="AL37" s="114" t="str">
        <f>IF(COUNTIFS(mapping!$B:$B,AL$2,mapping!$D:$D,$B37)&gt;0,"X","")</f>
        <v/>
      </c>
      <c r="AM37" s="114" t="str">
        <f>IF(COUNTIFS(mapping!$B:$B,AM$2,mapping!$D:$D,$B37)&gt;0,"X","")</f>
        <v/>
      </c>
      <c r="AN37" s="114" t="str">
        <f>IF(COUNTIFS(mapping!$B:$B,AN$2,mapping!$D:$D,$B37)&gt;0,"X","")</f>
        <v/>
      </c>
      <c r="AO37" s="114" t="str">
        <f>IF(COUNTIFS(mapping!$B:$B,AO$2,mapping!$D:$D,$B37)&gt;0,"X","")</f>
        <v/>
      </c>
      <c r="AP37" s="114" t="str">
        <f>IF(COUNTIFS(mapping!$B:$B,AP$2,mapping!$D:$D,$B37)&gt;0,"X","")</f>
        <v/>
      </c>
      <c r="AQ37" s="114" t="str">
        <f>IF(COUNTIFS(mapping!$B:$B,AQ$2,mapping!$D:$D,$B37)&gt;0,"X","")</f>
        <v/>
      </c>
      <c r="AR37" s="114" t="str">
        <f>IF(COUNTIFS(mapping!$B:$B,AR$2,mapping!$D:$D,$B37)&gt;0,"X","")</f>
        <v/>
      </c>
      <c r="AS37" s="114" t="str">
        <f>IF(COUNTIFS(mapping!$B:$B,AS$2,mapping!$D:$D,$B37)&gt;0,"X","")</f>
        <v/>
      </c>
      <c r="AT37" s="114" t="str">
        <f>IF(COUNTIFS(mapping!$B:$B,AT$2,mapping!$D:$D,$B37)&gt;0,"X","")</f>
        <v/>
      </c>
      <c r="AU37" s="114" t="str">
        <f>IF(COUNTIFS(mapping!$B:$B,AU$2,mapping!$D:$D,$B37)&gt;0,"X","")</f>
        <v/>
      </c>
      <c r="AV37" s="114" t="str">
        <f>IF(COUNTIFS(mapping!$B:$B,AV$2,mapping!$D:$D,$B37)&gt;0,"X","")</f>
        <v/>
      </c>
      <c r="AW37" s="114" t="str">
        <f>IF(COUNTIFS(mapping!$B:$B,AW$2,mapping!$D:$D,$B37)&gt;0,"X","")</f>
        <v>X</v>
      </c>
      <c r="AX37" s="114" t="str">
        <f>IF(COUNTIFS(mapping!$B:$B,AX$2,mapping!$D:$D,$B37)&gt;0,"X","")</f>
        <v/>
      </c>
      <c r="AY37" s="114" t="str">
        <f>IF(COUNTIFS(mapping!$B:$B,AY$2,mapping!$D:$D,$B37)&gt;0,"X","")</f>
        <v/>
      </c>
      <c r="AZ37" s="114" t="str">
        <f>IF(COUNTIFS(mapping!$B:$B,AZ$2,mapping!$D:$D,$B37)&gt;0,"X","")</f>
        <v/>
      </c>
      <c r="BA37" s="114" t="str">
        <f>IF(COUNTIFS(mapping!$B:$B,BA$2,mapping!$D:$D,$B37)&gt;0,"X","")</f>
        <v/>
      </c>
      <c r="BB37" s="114" t="str">
        <f>IF(COUNTIFS(mapping!$B:$B,BB$2,mapping!$D:$D,$B37)&gt;0,"X","")</f>
        <v/>
      </c>
      <c r="BC37" s="114" t="str">
        <f>IF(COUNTIFS(mapping!$B:$B,BC$2,mapping!$D:$D,$B37)&gt;0,"X","")</f>
        <v>X</v>
      </c>
      <c r="BD37" s="114" t="str">
        <f>IF(COUNTIFS(mapping!$B:$B,BD$2,mapping!$D:$D,$B37)&gt;0,"X","")</f>
        <v/>
      </c>
      <c r="BE37" s="114" t="str">
        <f>IF(COUNTIFS(mapping!$B:$B,BE$2,mapping!$D:$D,$B37)&gt;0,"X","")</f>
        <v/>
      </c>
      <c r="BF37" s="114" t="str">
        <f>IF(COUNTIFS(mapping!$B:$B,BF$2,mapping!$D:$D,$B37)&gt;0,"X","")</f>
        <v/>
      </c>
      <c r="BG37" s="114" t="str">
        <f>IF(COUNTIFS(mapping!$B:$B,BG$2,mapping!$D:$D,$B37)&gt;0,"X","")</f>
        <v/>
      </c>
      <c r="BH37" s="114" t="str">
        <f>IF(COUNTIFS(mapping!$B:$B,BH$2,mapping!$D:$D,$B37)&gt;0,"X","")</f>
        <v/>
      </c>
      <c r="BI37" s="114" t="str">
        <f>IF(COUNTIFS(mapping!$B:$B,BI$2,mapping!$D:$D,$B37)&gt;0,"X","")</f>
        <v/>
      </c>
      <c r="BJ37" s="114" t="str">
        <f>IF(COUNTIFS(mapping!$B:$B,BJ$2,mapping!$D:$D,$B37)&gt;0,"X","")</f>
        <v/>
      </c>
      <c r="BK37" s="114" t="str">
        <f>IF(COUNTIFS(mapping!$B:$B,BK$2,mapping!$D:$D,$B37)&gt;0,"X","")</f>
        <v/>
      </c>
      <c r="BL37" s="114" t="str">
        <f>IF(COUNTIFS(mapping!$B:$B,BL$2,mapping!$D:$D,$B37)&gt;0,"X","")</f>
        <v/>
      </c>
      <c r="BM37" s="114" t="str">
        <f>IF(COUNTIFS(mapping!$B:$B,BM$2,mapping!$D:$D,$B37)&gt;0,"X","")</f>
        <v/>
      </c>
      <c r="BN37" s="114" t="str">
        <f>IF(COUNTIFS(mapping!$B:$B,BN$2,mapping!$D:$D,$B37)&gt;0,"X","")</f>
        <v/>
      </c>
      <c r="BO37" s="114" t="str">
        <f>IF(COUNTIFS(mapping!$B:$B,BO$2,mapping!$D:$D,$B37)&gt;0,"X","")</f>
        <v/>
      </c>
      <c r="BP37" s="114" t="str">
        <f>IF(COUNTIFS(mapping!$B:$B,BP$2,mapping!$D:$D,$B37)&gt;0,"X","")</f>
        <v/>
      </c>
      <c r="BQ37" s="114" t="str">
        <f>IF(COUNTIFS(mapping!$B:$B,BQ$2,mapping!$D:$D,$B37)&gt;0,"X","")</f>
        <v/>
      </c>
      <c r="BR37" s="114" t="str">
        <f>IF(COUNTIFS(mapping!$B:$B,BR$2,mapping!$D:$D,$B37)&gt;0,"X","")</f>
        <v/>
      </c>
      <c r="BS37" s="114" t="str">
        <f>IF(COUNTIFS(mapping!$B:$B,BS$2,mapping!$D:$D,$B37)&gt;0,"X","")</f>
        <v/>
      </c>
      <c r="BT37" s="114" t="str">
        <f>IF(COUNTIFS(mapping!$B:$B,BT$2,mapping!$D:$D,$B37)&gt;0,"X","")</f>
        <v/>
      </c>
      <c r="BU37" s="114" t="str">
        <f>IF(COUNTIFS(mapping!$B:$B,BU$2,mapping!$D:$D,$B37)&gt;0,"X","")</f>
        <v/>
      </c>
      <c r="BV37" s="114" t="str">
        <f>IF(COUNTIFS(mapping!$B:$B,BV$2,mapping!$D:$D,$B37)&gt;0,"X","")</f>
        <v/>
      </c>
      <c r="BW37" s="114" t="str">
        <f>IF(COUNTIFS(mapping!$B:$B,BW$2,mapping!$D:$D,$B37)&gt;0,"X","")</f>
        <v/>
      </c>
      <c r="BX37" s="114" t="str">
        <f>IF(COUNTIFS(mapping!$B:$B,BX$2,mapping!$D:$D,$B37)&gt;0,"X","")</f>
        <v/>
      </c>
      <c r="BY37" s="114" t="str">
        <f>IF(COUNTIFS(mapping!$B:$B,BY$2,mapping!$D:$D,$B37)&gt;0,"X","")</f>
        <v/>
      </c>
      <c r="BZ37" s="114" t="str">
        <f>IF(COUNTIFS(mapping!$B:$B,BZ$2,mapping!$D:$D,$B37)&gt;0,"X","")</f>
        <v/>
      </c>
      <c r="CA37" s="114" t="str">
        <f>IF(COUNTIFS(mapping!$B:$B,CA$2,mapping!$D:$D,$B37)&gt;0,"X","")</f>
        <v/>
      </c>
      <c r="CB37" s="114" t="str">
        <f>IF(COUNTIFS(mapping!$B:$B,CB$2,mapping!$D:$D,$B37)&gt;0,"X","")</f>
        <v/>
      </c>
      <c r="CC37" s="114" t="str">
        <f>IF(COUNTIFS(mapping!$B:$B,CC$2,mapping!$D:$D,$B37)&gt;0,"X","")</f>
        <v/>
      </c>
      <c r="CD37" s="114" t="str">
        <f>IF(COUNTIFS(mapping!$B:$B,CD$2,mapping!$D:$D,$B37)&gt;0,"X","")</f>
        <v/>
      </c>
      <c r="CE37" s="114" t="str">
        <f>IF(COUNTIFS(mapping!$B:$B,CE$2,mapping!$D:$D,$B37)&gt;0,"X","")</f>
        <v/>
      </c>
      <c r="CF37" s="114" t="str">
        <f>IF(COUNTIFS(mapping!$B:$B,CF$2,mapping!$D:$D,$B37)&gt;0,"X","")</f>
        <v>X</v>
      </c>
      <c r="CG37" s="114" t="str">
        <f>IF(COUNTIFS(mapping!$B:$B,CG$2,mapping!$D:$D,$B37)&gt;0,"X","")</f>
        <v/>
      </c>
      <c r="CH37" s="114" t="str">
        <f>IF(COUNTIFS(mapping!$B:$B,CH$2,mapping!$D:$D,$B37)&gt;0,"X","")</f>
        <v/>
      </c>
    </row>
    <row r="38" spans="1:86" ht="16">
      <c r="A38" s="257"/>
      <c r="B38" s="125" t="s">
        <v>463</v>
      </c>
      <c r="C38" s="126" t="s">
        <v>462</v>
      </c>
      <c r="E38" s="114" t="str">
        <f>IF(COUNTIFS(mapping!$B:$B,E$2,mapping!$D:$D,$B38)&gt;0,"X","")</f>
        <v/>
      </c>
      <c r="F38" s="114" t="str">
        <f>IF(COUNTIFS(mapping!$B:$B,F$2,mapping!$D:$D,$B38)&gt;0,"X","")</f>
        <v/>
      </c>
      <c r="G38" s="114" t="str">
        <f>IF(COUNTIFS(mapping!$B:$B,G$2,mapping!$D:$D,$B38)&gt;0,"X","")</f>
        <v/>
      </c>
      <c r="H38" s="114" t="str">
        <f>IF(COUNTIFS(mapping!$B:$B,H$2,mapping!$D:$D,$B38)&gt;0,"X","")</f>
        <v/>
      </c>
      <c r="I38" s="114" t="str">
        <f>IF(COUNTIFS(mapping!$B:$B,I$2,mapping!$D:$D,$B38)&gt;0,"X","")</f>
        <v/>
      </c>
      <c r="J38" s="114" t="str">
        <f>IF(COUNTIFS(mapping!$B:$B,J$2,mapping!$D:$D,$B38)&gt;0,"X","")</f>
        <v/>
      </c>
      <c r="K38" s="114" t="str">
        <f>IF(COUNTIFS(mapping!$B:$B,K$2,mapping!$D:$D,$B38)&gt;0,"X","")</f>
        <v/>
      </c>
      <c r="L38" s="114" t="str">
        <f>IF(COUNTIFS(mapping!$B:$B,L$2,mapping!$D:$D,$B38)&gt;0,"X","")</f>
        <v/>
      </c>
      <c r="M38" s="114" t="str">
        <f>IF(COUNTIFS(mapping!$B:$B,M$2,mapping!$D:$D,$B38)&gt;0,"X","")</f>
        <v/>
      </c>
      <c r="N38" s="114" t="str">
        <f>IF(COUNTIFS(mapping!$B:$B,N$2,mapping!$D:$D,$B38)&gt;0,"X","")</f>
        <v/>
      </c>
      <c r="O38" s="114" t="str">
        <f>IF(COUNTIFS(mapping!$B:$B,O$2,mapping!$D:$D,$B38)&gt;0,"X","")</f>
        <v/>
      </c>
      <c r="P38" s="114" t="str">
        <f>IF(COUNTIFS(mapping!$B:$B,P$2,mapping!$D:$D,$B38)&gt;0,"X","")</f>
        <v/>
      </c>
      <c r="Q38" s="114" t="str">
        <f>IF(COUNTIFS(mapping!$B:$B,Q$2,mapping!$D:$D,$B38)&gt;0,"X","")</f>
        <v/>
      </c>
      <c r="R38" s="114" t="str">
        <f>IF(COUNTIFS(mapping!$B:$B,R$2,mapping!$D:$D,$B38)&gt;0,"X","")</f>
        <v/>
      </c>
      <c r="S38" s="114" t="str">
        <f>IF(COUNTIFS(mapping!$B:$B,S$2,mapping!$D:$D,$B38)&gt;0,"X","")</f>
        <v/>
      </c>
      <c r="T38" s="114" t="str">
        <f>IF(COUNTIFS(mapping!$B:$B,T$2,mapping!$D:$D,$B38)&gt;0,"X","")</f>
        <v/>
      </c>
      <c r="U38" s="114" t="str">
        <f>IF(COUNTIFS(mapping!$B:$B,U$2,mapping!$D:$D,$B38)&gt;0,"X","")</f>
        <v/>
      </c>
      <c r="V38" s="114" t="str">
        <f>IF(COUNTIFS(mapping!$B:$B,V$2,mapping!$D:$D,$B38)&gt;0,"X","")</f>
        <v/>
      </c>
      <c r="W38" s="114" t="str">
        <f>IF(COUNTIFS(mapping!$B:$B,W$2,mapping!$D:$D,$B38)&gt;0,"X","")</f>
        <v/>
      </c>
      <c r="X38" s="114" t="str">
        <f>IF(COUNTIFS(mapping!$B:$B,X$2,mapping!$D:$D,$B38)&gt;0,"X","")</f>
        <v/>
      </c>
      <c r="Y38" s="114" t="str">
        <f>IF(COUNTIFS(mapping!$B:$B,Y$2,mapping!$D:$D,$B38)&gt;0,"X","")</f>
        <v/>
      </c>
      <c r="Z38" s="114" t="str">
        <f>IF(COUNTIFS(mapping!$B:$B,Z$2,mapping!$D:$D,$B38)&gt;0,"X","")</f>
        <v/>
      </c>
      <c r="AA38" s="114" t="str">
        <f>IF(COUNTIFS(mapping!$B:$B,AA$2,mapping!$D:$D,$B38)&gt;0,"X","")</f>
        <v/>
      </c>
      <c r="AB38" s="114" t="str">
        <f>IF(COUNTIFS(mapping!$B:$B,AB$2,mapping!$D:$D,$B38)&gt;0,"X","")</f>
        <v/>
      </c>
      <c r="AC38" s="114" t="str">
        <f>IF(COUNTIFS(mapping!$B:$B,AC$2,mapping!$D:$D,$B38)&gt;0,"X","")</f>
        <v/>
      </c>
      <c r="AD38" s="114" t="str">
        <f>IF(COUNTIFS(mapping!$B:$B,AD$2,mapping!$D:$D,$B38)&gt;0,"X","")</f>
        <v/>
      </c>
      <c r="AE38" s="114" t="str">
        <f>IF(COUNTIFS(mapping!$B:$B,AE$2,mapping!$D:$D,$B38)&gt;0,"X","")</f>
        <v/>
      </c>
      <c r="AF38" s="114" t="str">
        <f>IF(COUNTIFS(mapping!$B:$B,AF$2,mapping!$D:$D,$B38)&gt;0,"X","")</f>
        <v/>
      </c>
      <c r="AG38" s="114" t="str">
        <f>IF(COUNTIFS(mapping!$B:$B,AG$2,mapping!$D:$D,$B38)&gt;0,"X","")</f>
        <v>X</v>
      </c>
      <c r="AH38" s="114" t="str">
        <f>IF(COUNTIFS(mapping!$B:$B,AH$2,mapping!$D:$D,$B38)&gt;0,"X","")</f>
        <v/>
      </c>
      <c r="AI38" s="114" t="str">
        <f>IF(COUNTIFS(mapping!$B:$B,AI$2,mapping!$D:$D,$B38)&gt;0,"X","")</f>
        <v/>
      </c>
      <c r="AJ38" s="114" t="str">
        <f>IF(COUNTIFS(mapping!$B:$B,AJ$2,mapping!$D:$D,$B38)&gt;0,"X","")</f>
        <v/>
      </c>
      <c r="AK38" s="114" t="str">
        <f>IF(COUNTIFS(mapping!$B:$B,AK$2,mapping!$D:$D,$B38)&gt;0,"X","")</f>
        <v/>
      </c>
      <c r="AL38" s="114" t="str">
        <f>IF(COUNTIFS(mapping!$B:$B,AL$2,mapping!$D:$D,$B38)&gt;0,"X","")</f>
        <v/>
      </c>
      <c r="AM38" s="114" t="str">
        <f>IF(COUNTIFS(mapping!$B:$B,AM$2,mapping!$D:$D,$B38)&gt;0,"X","")</f>
        <v/>
      </c>
      <c r="AN38" s="114" t="str">
        <f>IF(COUNTIFS(mapping!$B:$B,AN$2,mapping!$D:$D,$B38)&gt;0,"X","")</f>
        <v/>
      </c>
      <c r="AO38" s="114" t="str">
        <f>IF(COUNTIFS(mapping!$B:$B,AO$2,mapping!$D:$D,$B38)&gt;0,"X","")</f>
        <v/>
      </c>
      <c r="AP38" s="114" t="str">
        <f>IF(COUNTIFS(mapping!$B:$B,AP$2,mapping!$D:$D,$B38)&gt;0,"X","")</f>
        <v/>
      </c>
      <c r="AQ38" s="114" t="str">
        <f>IF(COUNTIFS(mapping!$B:$B,AQ$2,mapping!$D:$D,$B38)&gt;0,"X","")</f>
        <v/>
      </c>
      <c r="AR38" s="114" t="str">
        <f>IF(COUNTIFS(mapping!$B:$B,AR$2,mapping!$D:$D,$B38)&gt;0,"X","")</f>
        <v/>
      </c>
      <c r="AS38" s="114" t="str">
        <f>IF(COUNTIFS(mapping!$B:$B,AS$2,mapping!$D:$D,$B38)&gt;0,"X","")</f>
        <v/>
      </c>
      <c r="AT38" s="114" t="str">
        <f>IF(COUNTIFS(mapping!$B:$B,AT$2,mapping!$D:$D,$B38)&gt;0,"X","")</f>
        <v/>
      </c>
      <c r="AU38" s="114" t="str">
        <f>IF(COUNTIFS(mapping!$B:$B,AU$2,mapping!$D:$D,$B38)&gt;0,"X","")</f>
        <v>X</v>
      </c>
      <c r="AV38" s="114" t="str">
        <f>IF(COUNTIFS(mapping!$B:$B,AV$2,mapping!$D:$D,$B38)&gt;0,"X","")</f>
        <v/>
      </c>
      <c r="AW38" s="114" t="str">
        <f>IF(COUNTIFS(mapping!$B:$B,AW$2,mapping!$D:$D,$B38)&gt;0,"X","")</f>
        <v/>
      </c>
      <c r="AX38" s="114" t="str">
        <f>IF(COUNTIFS(mapping!$B:$B,AX$2,mapping!$D:$D,$B38)&gt;0,"X","")</f>
        <v/>
      </c>
      <c r="AY38" s="114" t="str">
        <f>IF(COUNTIFS(mapping!$B:$B,AY$2,mapping!$D:$D,$B38)&gt;0,"X","")</f>
        <v/>
      </c>
      <c r="AZ38" s="114" t="str">
        <f>IF(COUNTIFS(mapping!$B:$B,AZ$2,mapping!$D:$D,$B38)&gt;0,"X","")</f>
        <v>X</v>
      </c>
      <c r="BA38" s="114" t="str">
        <f>IF(COUNTIFS(mapping!$B:$B,BA$2,mapping!$D:$D,$B38)&gt;0,"X","")</f>
        <v/>
      </c>
      <c r="BB38" s="114" t="str">
        <f>IF(COUNTIFS(mapping!$B:$B,BB$2,mapping!$D:$D,$B38)&gt;0,"X","")</f>
        <v/>
      </c>
      <c r="BC38" s="114" t="str">
        <f>IF(COUNTIFS(mapping!$B:$B,BC$2,mapping!$D:$D,$B38)&gt;0,"X","")</f>
        <v/>
      </c>
      <c r="BD38" s="114" t="str">
        <f>IF(COUNTIFS(mapping!$B:$B,BD$2,mapping!$D:$D,$B38)&gt;0,"X","")</f>
        <v/>
      </c>
      <c r="BE38" s="114" t="str">
        <f>IF(COUNTIFS(mapping!$B:$B,BE$2,mapping!$D:$D,$B38)&gt;0,"X","")</f>
        <v/>
      </c>
      <c r="BF38" s="114" t="str">
        <f>IF(COUNTIFS(mapping!$B:$B,BF$2,mapping!$D:$D,$B38)&gt;0,"X","")</f>
        <v>X</v>
      </c>
      <c r="BG38" s="114" t="str">
        <f>IF(COUNTIFS(mapping!$B:$B,BG$2,mapping!$D:$D,$B38)&gt;0,"X","")</f>
        <v>X</v>
      </c>
      <c r="BH38" s="114" t="str">
        <f>IF(COUNTIFS(mapping!$B:$B,BH$2,mapping!$D:$D,$B38)&gt;0,"X","")</f>
        <v/>
      </c>
      <c r="BI38" s="114" t="str">
        <f>IF(COUNTIFS(mapping!$B:$B,BI$2,mapping!$D:$D,$B38)&gt;0,"X","")</f>
        <v/>
      </c>
      <c r="BJ38" s="114" t="str">
        <f>IF(COUNTIFS(mapping!$B:$B,BJ$2,mapping!$D:$D,$B38)&gt;0,"X","")</f>
        <v/>
      </c>
      <c r="BK38" s="114" t="str">
        <f>IF(COUNTIFS(mapping!$B:$B,BK$2,mapping!$D:$D,$B38)&gt;0,"X","")</f>
        <v/>
      </c>
      <c r="BL38" s="114" t="str">
        <f>IF(COUNTIFS(mapping!$B:$B,BL$2,mapping!$D:$D,$B38)&gt;0,"X","")</f>
        <v/>
      </c>
      <c r="BM38" s="114" t="str">
        <f>IF(COUNTIFS(mapping!$B:$B,BM$2,mapping!$D:$D,$B38)&gt;0,"X","")</f>
        <v/>
      </c>
      <c r="BN38" s="114" t="str">
        <f>IF(COUNTIFS(mapping!$B:$B,BN$2,mapping!$D:$D,$B38)&gt;0,"X","")</f>
        <v/>
      </c>
      <c r="BO38" s="114" t="str">
        <f>IF(COUNTIFS(mapping!$B:$B,BO$2,mapping!$D:$D,$B38)&gt;0,"X","")</f>
        <v/>
      </c>
      <c r="BP38" s="114" t="str">
        <f>IF(COUNTIFS(mapping!$B:$B,BP$2,mapping!$D:$D,$B38)&gt;0,"X","")</f>
        <v/>
      </c>
      <c r="BQ38" s="114" t="str">
        <f>IF(COUNTIFS(mapping!$B:$B,BQ$2,mapping!$D:$D,$B38)&gt;0,"X","")</f>
        <v/>
      </c>
      <c r="BR38" s="114" t="str">
        <f>IF(COUNTIFS(mapping!$B:$B,BR$2,mapping!$D:$D,$B38)&gt;0,"X","")</f>
        <v/>
      </c>
      <c r="BS38" s="114" t="str">
        <f>IF(COUNTIFS(mapping!$B:$B,BS$2,mapping!$D:$D,$B38)&gt;0,"X","")</f>
        <v/>
      </c>
      <c r="BT38" s="114" t="str">
        <f>IF(COUNTIFS(mapping!$B:$B,BT$2,mapping!$D:$D,$B38)&gt;0,"X","")</f>
        <v/>
      </c>
      <c r="BU38" s="114" t="str">
        <f>IF(COUNTIFS(mapping!$B:$B,BU$2,mapping!$D:$D,$B38)&gt;0,"X","")</f>
        <v/>
      </c>
      <c r="BV38" s="114" t="str">
        <f>IF(COUNTIFS(mapping!$B:$B,BV$2,mapping!$D:$D,$B38)&gt;0,"X","")</f>
        <v/>
      </c>
      <c r="BW38" s="114" t="str">
        <f>IF(COUNTIFS(mapping!$B:$B,BW$2,mapping!$D:$D,$B38)&gt;0,"X","")</f>
        <v/>
      </c>
      <c r="BX38" s="114" t="str">
        <f>IF(COUNTIFS(mapping!$B:$B,BX$2,mapping!$D:$D,$B38)&gt;0,"X","")</f>
        <v/>
      </c>
      <c r="BY38" s="114" t="str">
        <f>IF(COUNTIFS(mapping!$B:$B,BY$2,mapping!$D:$D,$B38)&gt;0,"X","")</f>
        <v/>
      </c>
      <c r="BZ38" s="114" t="str">
        <f>IF(COUNTIFS(mapping!$B:$B,BZ$2,mapping!$D:$D,$B38)&gt;0,"X","")</f>
        <v/>
      </c>
      <c r="CA38" s="114" t="str">
        <f>IF(COUNTIFS(mapping!$B:$B,CA$2,mapping!$D:$D,$B38)&gt;0,"X","")</f>
        <v/>
      </c>
      <c r="CB38" s="114" t="str">
        <f>IF(COUNTIFS(mapping!$B:$B,CB$2,mapping!$D:$D,$B38)&gt;0,"X","")</f>
        <v/>
      </c>
      <c r="CC38" s="114" t="str">
        <f>IF(COUNTIFS(mapping!$B:$B,CC$2,mapping!$D:$D,$B38)&gt;0,"X","")</f>
        <v/>
      </c>
      <c r="CD38" s="114" t="str">
        <f>IF(COUNTIFS(mapping!$B:$B,CD$2,mapping!$D:$D,$B38)&gt;0,"X","")</f>
        <v/>
      </c>
      <c r="CE38" s="114" t="str">
        <f>IF(COUNTIFS(mapping!$B:$B,CE$2,mapping!$D:$D,$B38)&gt;0,"X","")</f>
        <v/>
      </c>
      <c r="CF38" s="114" t="str">
        <f>IF(COUNTIFS(mapping!$B:$B,CF$2,mapping!$D:$D,$B38)&gt;0,"X","")</f>
        <v/>
      </c>
      <c r="CG38" s="114" t="str">
        <f>IF(COUNTIFS(mapping!$B:$B,CG$2,mapping!$D:$D,$B38)&gt;0,"X","")</f>
        <v/>
      </c>
      <c r="CH38" s="114" t="str">
        <f>IF(COUNTIFS(mapping!$B:$B,CH$2,mapping!$D:$D,$B38)&gt;0,"X","")</f>
        <v/>
      </c>
    </row>
    <row r="39" spans="1:86" ht="16">
      <c r="A39" s="257" t="s">
        <v>461</v>
      </c>
      <c r="B39" s="122" t="s">
        <v>460</v>
      </c>
      <c r="C39" s="122" t="s">
        <v>459</v>
      </c>
      <c r="E39" s="114" t="str">
        <f>IF(COUNTIFS(mapping!$B:$B,E$2,mapping!$D:$D,$B39)&gt;0,"X","")</f>
        <v/>
      </c>
      <c r="F39" s="114" t="str">
        <f>IF(COUNTIFS(mapping!$B:$B,F$2,mapping!$D:$D,$B39)&gt;0,"X","")</f>
        <v/>
      </c>
      <c r="G39" s="114" t="str">
        <f>IF(COUNTIFS(mapping!$B:$B,G$2,mapping!$D:$D,$B39)&gt;0,"X","")</f>
        <v/>
      </c>
      <c r="H39" s="114" t="str">
        <f>IF(COUNTIFS(mapping!$B:$B,H$2,mapping!$D:$D,$B39)&gt;0,"X","")</f>
        <v/>
      </c>
      <c r="I39" s="114" t="str">
        <f>IF(COUNTIFS(mapping!$B:$B,I$2,mapping!$D:$D,$B39)&gt;0,"X","")</f>
        <v/>
      </c>
      <c r="J39" s="114" t="str">
        <f>IF(COUNTIFS(mapping!$B:$B,J$2,mapping!$D:$D,$B39)&gt;0,"X","")</f>
        <v/>
      </c>
      <c r="K39" s="114" t="str">
        <f>IF(COUNTIFS(mapping!$B:$B,K$2,mapping!$D:$D,$B39)&gt;0,"X","")</f>
        <v/>
      </c>
      <c r="L39" s="114" t="str">
        <f>IF(COUNTIFS(mapping!$B:$B,L$2,mapping!$D:$D,$B39)&gt;0,"X","")</f>
        <v/>
      </c>
      <c r="M39" s="114" t="str">
        <f>IF(COUNTIFS(mapping!$B:$B,M$2,mapping!$D:$D,$B39)&gt;0,"X","")</f>
        <v/>
      </c>
      <c r="N39" s="114" t="str">
        <f>IF(COUNTIFS(mapping!$B:$B,N$2,mapping!$D:$D,$B39)&gt;0,"X","")</f>
        <v/>
      </c>
      <c r="O39" s="114" t="str">
        <f>IF(COUNTIFS(mapping!$B:$B,O$2,mapping!$D:$D,$B39)&gt;0,"X","")</f>
        <v/>
      </c>
      <c r="P39" s="114" t="str">
        <f>IF(COUNTIFS(mapping!$B:$B,P$2,mapping!$D:$D,$B39)&gt;0,"X","")</f>
        <v/>
      </c>
      <c r="Q39" s="114" t="str">
        <f>IF(COUNTIFS(mapping!$B:$B,Q$2,mapping!$D:$D,$B39)&gt;0,"X","")</f>
        <v/>
      </c>
      <c r="R39" s="114" t="str">
        <f>IF(COUNTIFS(mapping!$B:$B,R$2,mapping!$D:$D,$B39)&gt;0,"X","")</f>
        <v/>
      </c>
      <c r="S39" s="114" t="str">
        <f>IF(COUNTIFS(mapping!$B:$B,S$2,mapping!$D:$D,$B39)&gt;0,"X","")</f>
        <v/>
      </c>
      <c r="T39" s="114" t="str">
        <f>IF(COUNTIFS(mapping!$B:$B,T$2,mapping!$D:$D,$B39)&gt;0,"X","")</f>
        <v/>
      </c>
      <c r="U39" s="114" t="str">
        <f>IF(COUNTIFS(mapping!$B:$B,U$2,mapping!$D:$D,$B39)&gt;0,"X","")</f>
        <v/>
      </c>
      <c r="V39" s="114" t="str">
        <f>IF(COUNTIFS(mapping!$B:$B,V$2,mapping!$D:$D,$B39)&gt;0,"X","")</f>
        <v/>
      </c>
      <c r="W39" s="114" t="str">
        <f>IF(COUNTIFS(mapping!$B:$B,W$2,mapping!$D:$D,$B39)&gt;0,"X","")</f>
        <v/>
      </c>
      <c r="X39" s="114" t="str">
        <f>IF(COUNTIFS(mapping!$B:$B,X$2,mapping!$D:$D,$B39)&gt;0,"X","")</f>
        <v/>
      </c>
      <c r="Y39" s="114" t="str">
        <f>IF(COUNTIFS(mapping!$B:$B,Y$2,mapping!$D:$D,$B39)&gt;0,"X","")</f>
        <v/>
      </c>
      <c r="Z39" s="114" t="str">
        <f>IF(COUNTIFS(mapping!$B:$B,Z$2,mapping!$D:$D,$B39)&gt;0,"X","")</f>
        <v/>
      </c>
      <c r="AA39" s="114" t="str">
        <f>IF(COUNTIFS(mapping!$B:$B,AA$2,mapping!$D:$D,$B39)&gt;0,"X","")</f>
        <v/>
      </c>
      <c r="AB39" s="114" t="str">
        <f>IF(COUNTIFS(mapping!$B:$B,AB$2,mapping!$D:$D,$B39)&gt;0,"X","")</f>
        <v/>
      </c>
      <c r="AC39" s="114" t="str">
        <f>IF(COUNTIFS(mapping!$B:$B,AC$2,mapping!$D:$D,$B39)&gt;0,"X","")</f>
        <v/>
      </c>
      <c r="AD39" s="114" t="str">
        <f>IF(COUNTIFS(mapping!$B:$B,AD$2,mapping!$D:$D,$B39)&gt;0,"X","")</f>
        <v/>
      </c>
      <c r="AE39" s="114" t="str">
        <f>IF(COUNTIFS(mapping!$B:$B,AE$2,mapping!$D:$D,$B39)&gt;0,"X","")</f>
        <v/>
      </c>
      <c r="AF39" s="114" t="str">
        <f>IF(COUNTIFS(mapping!$B:$B,AF$2,mapping!$D:$D,$B39)&gt;0,"X","")</f>
        <v/>
      </c>
      <c r="AG39" s="114" t="str">
        <f>IF(COUNTIFS(mapping!$B:$B,AG$2,mapping!$D:$D,$B39)&gt;0,"X","")</f>
        <v/>
      </c>
      <c r="AH39" s="114" t="str">
        <f>IF(COUNTIFS(mapping!$B:$B,AH$2,mapping!$D:$D,$B39)&gt;0,"X","")</f>
        <v/>
      </c>
      <c r="AI39" s="114" t="str">
        <f>IF(COUNTIFS(mapping!$B:$B,AI$2,mapping!$D:$D,$B39)&gt;0,"X","")</f>
        <v/>
      </c>
      <c r="AJ39" s="114" t="str">
        <f>IF(COUNTIFS(mapping!$B:$B,AJ$2,mapping!$D:$D,$B39)&gt;0,"X","")</f>
        <v/>
      </c>
      <c r="AK39" s="114" t="str">
        <f>IF(COUNTIFS(mapping!$B:$B,AK$2,mapping!$D:$D,$B39)&gt;0,"X","")</f>
        <v/>
      </c>
      <c r="AL39" s="114" t="str">
        <f>IF(COUNTIFS(mapping!$B:$B,AL$2,mapping!$D:$D,$B39)&gt;0,"X","")</f>
        <v/>
      </c>
      <c r="AM39" s="114" t="str">
        <f>IF(COUNTIFS(mapping!$B:$B,AM$2,mapping!$D:$D,$B39)&gt;0,"X","")</f>
        <v/>
      </c>
      <c r="AN39" s="114" t="str">
        <f>IF(COUNTIFS(mapping!$B:$B,AN$2,mapping!$D:$D,$B39)&gt;0,"X","")</f>
        <v>X</v>
      </c>
      <c r="AO39" s="114" t="str">
        <f>IF(COUNTIFS(mapping!$B:$B,AO$2,mapping!$D:$D,$B39)&gt;0,"X","")</f>
        <v/>
      </c>
      <c r="AP39" s="114" t="str">
        <f>IF(COUNTIFS(mapping!$B:$B,AP$2,mapping!$D:$D,$B39)&gt;0,"X","")</f>
        <v>X</v>
      </c>
      <c r="AQ39" s="114" t="str">
        <f>IF(COUNTIFS(mapping!$B:$B,AQ$2,mapping!$D:$D,$B39)&gt;0,"X","")</f>
        <v/>
      </c>
      <c r="AR39" s="114" t="str">
        <f>IF(COUNTIFS(mapping!$B:$B,AR$2,mapping!$D:$D,$B39)&gt;0,"X","")</f>
        <v/>
      </c>
      <c r="AS39" s="114" t="str">
        <f>IF(COUNTIFS(mapping!$B:$B,AS$2,mapping!$D:$D,$B39)&gt;0,"X","")</f>
        <v/>
      </c>
      <c r="AT39" s="114" t="str">
        <f>IF(COUNTIFS(mapping!$B:$B,AT$2,mapping!$D:$D,$B39)&gt;0,"X","")</f>
        <v/>
      </c>
      <c r="AU39" s="114" t="str">
        <f>IF(COUNTIFS(mapping!$B:$B,AU$2,mapping!$D:$D,$B39)&gt;0,"X","")</f>
        <v/>
      </c>
      <c r="AV39" s="114" t="str">
        <f>IF(COUNTIFS(mapping!$B:$B,AV$2,mapping!$D:$D,$B39)&gt;0,"X","")</f>
        <v/>
      </c>
      <c r="AW39" s="114" t="str">
        <f>IF(COUNTIFS(mapping!$B:$B,AW$2,mapping!$D:$D,$B39)&gt;0,"X","")</f>
        <v/>
      </c>
      <c r="AX39" s="114" t="str">
        <f>IF(COUNTIFS(mapping!$B:$B,AX$2,mapping!$D:$D,$B39)&gt;0,"X","")</f>
        <v/>
      </c>
      <c r="AY39" s="114" t="str">
        <f>IF(COUNTIFS(mapping!$B:$B,AY$2,mapping!$D:$D,$B39)&gt;0,"X","")</f>
        <v/>
      </c>
      <c r="AZ39" s="114" t="str">
        <f>IF(COUNTIFS(mapping!$B:$B,AZ$2,mapping!$D:$D,$B39)&gt;0,"X","")</f>
        <v/>
      </c>
      <c r="BA39" s="114" t="str">
        <f>IF(COUNTIFS(mapping!$B:$B,BA$2,mapping!$D:$D,$B39)&gt;0,"X","")</f>
        <v/>
      </c>
      <c r="BB39" s="114" t="str">
        <f>IF(COUNTIFS(mapping!$B:$B,BB$2,mapping!$D:$D,$B39)&gt;0,"X","")</f>
        <v/>
      </c>
      <c r="BC39" s="114" t="str">
        <f>IF(COUNTIFS(mapping!$B:$B,BC$2,mapping!$D:$D,$B39)&gt;0,"X","")</f>
        <v/>
      </c>
      <c r="BD39" s="114" t="str">
        <f>IF(COUNTIFS(mapping!$B:$B,BD$2,mapping!$D:$D,$B39)&gt;0,"X","")</f>
        <v/>
      </c>
      <c r="BE39" s="114" t="str">
        <f>IF(COUNTIFS(mapping!$B:$B,BE$2,mapping!$D:$D,$B39)&gt;0,"X","")</f>
        <v/>
      </c>
      <c r="BF39" s="114" t="str">
        <f>IF(COUNTIFS(mapping!$B:$B,BF$2,mapping!$D:$D,$B39)&gt;0,"X","")</f>
        <v/>
      </c>
      <c r="BG39" s="114" t="str">
        <f>IF(COUNTIFS(mapping!$B:$B,BG$2,mapping!$D:$D,$B39)&gt;0,"X","")</f>
        <v/>
      </c>
      <c r="BH39" s="114" t="str">
        <f>IF(COUNTIFS(mapping!$B:$B,BH$2,mapping!$D:$D,$B39)&gt;0,"X","")</f>
        <v/>
      </c>
      <c r="BI39" s="114" t="str">
        <f>IF(COUNTIFS(mapping!$B:$B,BI$2,mapping!$D:$D,$B39)&gt;0,"X","")</f>
        <v/>
      </c>
      <c r="BJ39" s="114" t="str">
        <f>IF(COUNTIFS(mapping!$B:$B,BJ$2,mapping!$D:$D,$B39)&gt;0,"X","")</f>
        <v/>
      </c>
      <c r="BK39" s="114" t="str">
        <f>IF(COUNTIFS(mapping!$B:$B,BK$2,mapping!$D:$D,$B39)&gt;0,"X","")</f>
        <v/>
      </c>
      <c r="BL39" s="114" t="str">
        <f>IF(COUNTIFS(mapping!$B:$B,BL$2,mapping!$D:$D,$B39)&gt;0,"X","")</f>
        <v/>
      </c>
      <c r="BM39" s="114" t="str">
        <f>IF(COUNTIFS(mapping!$B:$B,BM$2,mapping!$D:$D,$B39)&gt;0,"X","")</f>
        <v/>
      </c>
      <c r="BN39" s="114" t="str">
        <f>IF(COUNTIFS(mapping!$B:$B,BN$2,mapping!$D:$D,$B39)&gt;0,"X","")</f>
        <v/>
      </c>
      <c r="BO39" s="114" t="str">
        <f>IF(COUNTIFS(mapping!$B:$B,BO$2,mapping!$D:$D,$B39)&gt;0,"X","")</f>
        <v/>
      </c>
      <c r="BP39" s="114" t="str">
        <f>IF(COUNTIFS(mapping!$B:$B,BP$2,mapping!$D:$D,$B39)&gt;0,"X","")</f>
        <v/>
      </c>
      <c r="BQ39" s="114" t="str">
        <f>IF(COUNTIFS(mapping!$B:$B,BQ$2,mapping!$D:$D,$B39)&gt;0,"X","")</f>
        <v/>
      </c>
      <c r="BR39" s="114" t="str">
        <f>IF(COUNTIFS(mapping!$B:$B,BR$2,mapping!$D:$D,$B39)&gt;0,"X","")</f>
        <v/>
      </c>
      <c r="BS39" s="114" t="str">
        <f>IF(COUNTIFS(mapping!$B:$B,BS$2,mapping!$D:$D,$B39)&gt;0,"X","")</f>
        <v/>
      </c>
      <c r="BT39" s="114" t="str">
        <f>IF(COUNTIFS(mapping!$B:$B,BT$2,mapping!$D:$D,$B39)&gt;0,"X","")</f>
        <v/>
      </c>
      <c r="BU39" s="114" t="str">
        <f>IF(COUNTIFS(mapping!$B:$B,BU$2,mapping!$D:$D,$B39)&gt;0,"X","")</f>
        <v/>
      </c>
      <c r="BV39" s="114" t="str">
        <f>IF(COUNTIFS(mapping!$B:$B,BV$2,mapping!$D:$D,$B39)&gt;0,"X","")</f>
        <v/>
      </c>
      <c r="BW39" s="114" t="str">
        <f>IF(COUNTIFS(mapping!$B:$B,BW$2,mapping!$D:$D,$B39)&gt;0,"X","")</f>
        <v/>
      </c>
      <c r="BX39" s="114" t="str">
        <f>IF(COUNTIFS(mapping!$B:$B,BX$2,mapping!$D:$D,$B39)&gt;0,"X","")</f>
        <v>X</v>
      </c>
      <c r="BY39" s="114" t="str">
        <f>IF(COUNTIFS(mapping!$B:$B,BY$2,mapping!$D:$D,$B39)&gt;0,"X","")</f>
        <v/>
      </c>
      <c r="BZ39" s="114" t="str">
        <f>IF(COUNTIFS(mapping!$B:$B,BZ$2,mapping!$D:$D,$B39)&gt;0,"X","")</f>
        <v/>
      </c>
      <c r="CA39" s="114" t="str">
        <f>IF(COUNTIFS(mapping!$B:$B,CA$2,mapping!$D:$D,$B39)&gt;0,"X","")</f>
        <v/>
      </c>
      <c r="CB39" s="114" t="str">
        <f>IF(COUNTIFS(mapping!$B:$B,CB$2,mapping!$D:$D,$B39)&gt;0,"X","")</f>
        <v/>
      </c>
      <c r="CC39" s="114" t="str">
        <f>IF(COUNTIFS(mapping!$B:$B,CC$2,mapping!$D:$D,$B39)&gt;0,"X","")</f>
        <v/>
      </c>
      <c r="CD39" s="114" t="str">
        <f>IF(COUNTIFS(mapping!$B:$B,CD$2,mapping!$D:$D,$B39)&gt;0,"X","")</f>
        <v/>
      </c>
      <c r="CE39" s="114" t="str">
        <f>IF(COUNTIFS(mapping!$B:$B,CE$2,mapping!$D:$D,$B39)&gt;0,"X","")</f>
        <v/>
      </c>
      <c r="CF39" s="114" t="str">
        <f>IF(COUNTIFS(mapping!$B:$B,CF$2,mapping!$D:$D,$B39)&gt;0,"X","")</f>
        <v/>
      </c>
      <c r="CG39" s="114" t="str">
        <f>IF(COUNTIFS(mapping!$B:$B,CG$2,mapping!$D:$D,$B39)&gt;0,"X","")</f>
        <v/>
      </c>
      <c r="CH39" s="114" t="str">
        <f>IF(COUNTIFS(mapping!$B:$B,CH$2,mapping!$D:$D,$B39)&gt;0,"X","")</f>
        <v/>
      </c>
    </row>
    <row r="40" spans="1:86" ht="16">
      <c r="A40" s="257"/>
      <c r="B40" s="122" t="s">
        <v>458</v>
      </c>
      <c r="C40" s="122" t="s">
        <v>457</v>
      </c>
      <c r="E40" s="114" t="str">
        <f>IF(COUNTIFS(mapping!$B:$B,E$2,mapping!$D:$D,$B40)&gt;0,"X","")</f>
        <v/>
      </c>
      <c r="F40" s="114" t="str">
        <f>IF(COUNTIFS(mapping!$B:$B,F$2,mapping!$D:$D,$B40)&gt;0,"X","")</f>
        <v/>
      </c>
      <c r="G40" s="114" t="str">
        <f>IF(COUNTIFS(mapping!$B:$B,G$2,mapping!$D:$D,$B40)&gt;0,"X","")</f>
        <v/>
      </c>
      <c r="H40" s="114" t="str">
        <f>IF(COUNTIFS(mapping!$B:$B,H$2,mapping!$D:$D,$B40)&gt;0,"X","")</f>
        <v/>
      </c>
      <c r="I40" s="114" t="str">
        <f>IF(COUNTIFS(mapping!$B:$B,I$2,mapping!$D:$D,$B40)&gt;0,"X","")</f>
        <v/>
      </c>
      <c r="J40" s="114" t="str">
        <f>IF(COUNTIFS(mapping!$B:$B,J$2,mapping!$D:$D,$B40)&gt;0,"X","")</f>
        <v/>
      </c>
      <c r="K40" s="114" t="str">
        <f>IF(COUNTIFS(mapping!$B:$B,K$2,mapping!$D:$D,$B40)&gt;0,"X","")</f>
        <v/>
      </c>
      <c r="L40" s="114" t="str">
        <f>IF(COUNTIFS(mapping!$B:$B,L$2,mapping!$D:$D,$B40)&gt;0,"X","")</f>
        <v/>
      </c>
      <c r="M40" s="114" t="str">
        <f>IF(COUNTIFS(mapping!$B:$B,M$2,mapping!$D:$D,$B40)&gt;0,"X","")</f>
        <v/>
      </c>
      <c r="N40" s="114" t="str">
        <f>IF(COUNTIFS(mapping!$B:$B,N$2,mapping!$D:$D,$B40)&gt;0,"X","")</f>
        <v/>
      </c>
      <c r="O40" s="114" t="str">
        <f>IF(COUNTIFS(mapping!$B:$B,O$2,mapping!$D:$D,$B40)&gt;0,"X","")</f>
        <v/>
      </c>
      <c r="P40" s="114" t="str">
        <f>IF(COUNTIFS(mapping!$B:$B,P$2,mapping!$D:$D,$B40)&gt;0,"X","")</f>
        <v/>
      </c>
      <c r="Q40" s="114" t="str">
        <f>IF(COUNTIFS(mapping!$B:$B,Q$2,mapping!$D:$D,$B40)&gt;0,"X","")</f>
        <v/>
      </c>
      <c r="R40" s="114" t="str">
        <f>IF(COUNTIFS(mapping!$B:$B,R$2,mapping!$D:$D,$B40)&gt;0,"X","")</f>
        <v/>
      </c>
      <c r="S40" s="114" t="str">
        <f>IF(COUNTIFS(mapping!$B:$B,S$2,mapping!$D:$D,$B40)&gt;0,"X","")</f>
        <v/>
      </c>
      <c r="T40" s="114" t="str">
        <f>IF(COUNTIFS(mapping!$B:$B,T$2,mapping!$D:$D,$B40)&gt;0,"X","")</f>
        <v/>
      </c>
      <c r="U40" s="114" t="str">
        <f>IF(COUNTIFS(mapping!$B:$B,U$2,mapping!$D:$D,$B40)&gt;0,"X","")</f>
        <v/>
      </c>
      <c r="V40" s="114" t="str">
        <f>IF(COUNTIFS(mapping!$B:$B,V$2,mapping!$D:$D,$B40)&gt;0,"X","")</f>
        <v/>
      </c>
      <c r="W40" s="114" t="str">
        <f>IF(COUNTIFS(mapping!$B:$B,W$2,mapping!$D:$D,$B40)&gt;0,"X","")</f>
        <v/>
      </c>
      <c r="X40" s="114" t="str">
        <f>IF(COUNTIFS(mapping!$B:$B,X$2,mapping!$D:$D,$B40)&gt;0,"X","")</f>
        <v/>
      </c>
      <c r="Y40" s="114" t="str">
        <f>IF(COUNTIFS(mapping!$B:$B,Y$2,mapping!$D:$D,$B40)&gt;0,"X","")</f>
        <v/>
      </c>
      <c r="Z40" s="114" t="str">
        <f>IF(COUNTIFS(mapping!$B:$B,Z$2,mapping!$D:$D,$B40)&gt;0,"X","")</f>
        <v/>
      </c>
      <c r="AA40" s="114" t="str">
        <f>IF(COUNTIFS(mapping!$B:$B,AA$2,mapping!$D:$D,$B40)&gt;0,"X","")</f>
        <v/>
      </c>
      <c r="AB40" s="114" t="str">
        <f>IF(COUNTIFS(mapping!$B:$B,AB$2,mapping!$D:$D,$B40)&gt;0,"X","")</f>
        <v/>
      </c>
      <c r="AC40" s="114" t="str">
        <f>IF(COUNTIFS(mapping!$B:$B,AC$2,mapping!$D:$D,$B40)&gt;0,"X","")</f>
        <v/>
      </c>
      <c r="AD40" s="114" t="str">
        <f>IF(COUNTIFS(mapping!$B:$B,AD$2,mapping!$D:$D,$B40)&gt;0,"X","")</f>
        <v/>
      </c>
      <c r="AE40" s="114" t="str">
        <f>IF(COUNTIFS(mapping!$B:$B,AE$2,mapping!$D:$D,$B40)&gt;0,"X","")</f>
        <v/>
      </c>
      <c r="AF40" s="114" t="str">
        <f>IF(COUNTIFS(mapping!$B:$B,AF$2,mapping!$D:$D,$B40)&gt;0,"X","")</f>
        <v/>
      </c>
      <c r="AG40" s="114" t="str">
        <f>IF(COUNTIFS(mapping!$B:$B,AG$2,mapping!$D:$D,$B40)&gt;0,"X","")</f>
        <v/>
      </c>
      <c r="AH40" s="114" t="str">
        <f>IF(COUNTIFS(mapping!$B:$B,AH$2,mapping!$D:$D,$B40)&gt;0,"X","")</f>
        <v/>
      </c>
      <c r="AI40" s="114" t="str">
        <f>IF(COUNTIFS(mapping!$B:$B,AI$2,mapping!$D:$D,$B40)&gt;0,"X","")</f>
        <v/>
      </c>
      <c r="AJ40" s="114" t="str">
        <f>IF(COUNTIFS(mapping!$B:$B,AJ$2,mapping!$D:$D,$B40)&gt;0,"X","")</f>
        <v/>
      </c>
      <c r="AK40" s="114" t="str">
        <f>IF(COUNTIFS(mapping!$B:$B,AK$2,mapping!$D:$D,$B40)&gt;0,"X","")</f>
        <v/>
      </c>
      <c r="AL40" s="114" t="str">
        <f>IF(COUNTIFS(mapping!$B:$B,AL$2,mapping!$D:$D,$B40)&gt;0,"X","")</f>
        <v/>
      </c>
      <c r="AM40" s="114" t="str">
        <f>IF(COUNTIFS(mapping!$B:$B,AM$2,mapping!$D:$D,$B40)&gt;0,"X","")</f>
        <v/>
      </c>
      <c r="AN40" s="114" t="str">
        <f>IF(COUNTIFS(mapping!$B:$B,AN$2,mapping!$D:$D,$B40)&gt;0,"X","")</f>
        <v/>
      </c>
      <c r="AO40" s="114" t="str">
        <f>IF(COUNTIFS(mapping!$B:$B,AO$2,mapping!$D:$D,$B40)&gt;0,"X","")</f>
        <v/>
      </c>
      <c r="AP40" s="114" t="str">
        <f>IF(COUNTIFS(mapping!$B:$B,AP$2,mapping!$D:$D,$B40)&gt;0,"X","")</f>
        <v>X</v>
      </c>
      <c r="AQ40" s="114" t="str">
        <f>IF(COUNTIFS(mapping!$B:$B,AQ$2,mapping!$D:$D,$B40)&gt;0,"X","")</f>
        <v/>
      </c>
      <c r="AR40" s="114" t="str">
        <f>IF(COUNTIFS(mapping!$B:$B,AR$2,mapping!$D:$D,$B40)&gt;0,"X","")</f>
        <v/>
      </c>
      <c r="AS40" s="114" t="str">
        <f>IF(COUNTIFS(mapping!$B:$B,AS$2,mapping!$D:$D,$B40)&gt;0,"X","")</f>
        <v/>
      </c>
      <c r="AT40" s="114" t="str">
        <f>IF(COUNTIFS(mapping!$B:$B,AT$2,mapping!$D:$D,$B40)&gt;0,"X","")</f>
        <v/>
      </c>
      <c r="AU40" s="114" t="str">
        <f>IF(COUNTIFS(mapping!$B:$B,AU$2,mapping!$D:$D,$B40)&gt;0,"X","")</f>
        <v/>
      </c>
      <c r="AV40" s="114" t="str">
        <f>IF(COUNTIFS(mapping!$B:$B,AV$2,mapping!$D:$D,$B40)&gt;0,"X","")</f>
        <v/>
      </c>
      <c r="AW40" s="114" t="str">
        <f>IF(COUNTIFS(mapping!$B:$B,AW$2,mapping!$D:$D,$B40)&gt;0,"X","")</f>
        <v/>
      </c>
      <c r="AX40" s="114" t="str">
        <f>IF(COUNTIFS(mapping!$B:$B,AX$2,mapping!$D:$D,$B40)&gt;0,"X","")</f>
        <v/>
      </c>
      <c r="AY40" s="114" t="str">
        <f>IF(COUNTIFS(mapping!$B:$B,AY$2,mapping!$D:$D,$B40)&gt;0,"X","")</f>
        <v/>
      </c>
      <c r="AZ40" s="114" t="str">
        <f>IF(COUNTIFS(mapping!$B:$B,AZ$2,mapping!$D:$D,$B40)&gt;0,"X","")</f>
        <v/>
      </c>
      <c r="BA40" s="114" t="str">
        <f>IF(COUNTIFS(mapping!$B:$B,BA$2,mapping!$D:$D,$B40)&gt;0,"X","")</f>
        <v/>
      </c>
      <c r="BB40" s="114" t="str">
        <f>IF(COUNTIFS(mapping!$B:$B,BB$2,mapping!$D:$D,$B40)&gt;0,"X","")</f>
        <v/>
      </c>
      <c r="BC40" s="114" t="str">
        <f>IF(COUNTIFS(mapping!$B:$B,BC$2,mapping!$D:$D,$B40)&gt;0,"X","")</f>
        <v/>
      </c>
      <c r="BD40" s="114" t="str">
        <f>IF(COUNTIFS(mapping!$B:$B,BD$2,mapping!$D:$D,$B40)&gt;0,"X","")</f>
        <v/>
      </c>
      <c r="BE40" s="114" t="str">
        <f>IF(COUNTIFS(mapping!$B:$B,BE$2,mapping!$D:$D,$B40)&gt;0,"X","")</f>
        <v/>
      </c>
      <c r="BF40" s="114" t="str">
        <f>IF(COUNTIFS(mapping!$B:$B,BF$2,mapping!$D:$D,$B40)&gt;0,"X","")</f>
        <v/>
      </c>
      <c r="BG40" s="114" t="str">
        <f>IF(COUNTIFS(mapping!$B:$B,BG$2,mapping!$D:$D,$B40)&gt;0,"X","")</f>
        <v/>
      </c>
      <c r="BH40" s="114" t="str">
        <f>IF(COUNTIFS(mapping!$B:$B,BH$2,mapping!$D:$D,$B40)&gt;0,"X","")</f>
        <v/>
      </c>
      <c r="BI40" s="114" t="str">
        <f>IF(COUNTIFS(mapping!$B:$B,BI$2,mapping!$D:$D,$B40)&gt;0,"X","")</f>
        <v/>
      </c>
      <c r="BJ40" s="114" t="str">
        <f>IF(COUNTIFS(mapping!$B:$B,BJ$2,mapping!$D:$D,$B40)&gt;0,"X","")</f>
        <v/>
      </c>
      <c r="BK40" s="114" t="str">
        <f>IF(COUNTIFS(mapping!$B:$B,BK$2,mapping!$D:$D,$B40)&gt;0,"X","")</f>
        <v/>
      </c>
      <c r="BL40" s="114" t="str">
        <f>IF(COUNTIFS(mapping!$B:$B,BL$2,mapping!$D:$D,$B40)&gt;0,"X","")</f>
        <v/>
      </c>
      <c r="BM40" s="114" t="str">
        <f>IF(COUNTIFS(mapping!$B:$B,BM$2,mapping!$D:$D,$B40)&gt;0,"X","")</f>
        <v/>
      </c>
      <c r="BN40" s="114" t="str">
        <f>IF(COUNTIFS(mapping!$B:$B,BN$2,mapping!$D:$D,$B40)&gt;0,"X","")</f>
        <v/>
      </c>
      <c r="BO40" s="114" t="str">
        <f>IF(COUNTIFS(mapping!$B:$B,BO$2,mapping!$D:$D,$B40)&gt;0,"X","")</f>
        <v/>
      </c>
      <c r="BP40" s="114" t="str">
        <f>IF(COUNTIFS(mapping!$B:$B,BP$2,mapping!$D:$D,$B40)&gt;0,"X","")</f>
        <v/>
      </c>
      <c r="BQ40" s="114" t="str">
        <f>IF(COUNTIFS(mapping!$B:$B,BQ$2,mapping!$D:$D,$B40)&gt;0,"X","")</f>
        <v/>
      </c>
      <c r="BR40" s="114" t="str">
        <f>IF(COUNTIFS(mapping!$B:$B,BR$2,mapping!$D:$D,$B40)&gt;0,"X","")</f>
        <v/>
      </c>
      <c r="BS40" s="114" t="str">
        <f>IF(COUNTIFS(mapping!$B:$B,BS$2,mapping!$D:$D,$B40)&gt;0,"X","")</f>
        <v/>
      </c>
      <c r="BT40" s="114" t="str">
        <f>IF(COUNTIFS(mapping!$B:$B,BT$2,mapping!$D:$D,$B40)&gt;0,"X","")</f>
        <v/>
      </c>
      <c r="BU40" s="114" t="str">
        <f>IF(COUNTIFS(mapping!$B:$B,BU$2,mapping!$D:$D,$B40)&gt;0,"X","")</f>
        <v/>
      </c>
      <c r="BV40" s="114" t="str">
        <f>IF(COUNTIFS(mapping!$B:$B,BV$2,mapping!$D:$D,$B40)&gt;0,"X","")</f>
        <v/>
      </c>
      <c r="BW40" s="114" t="str">
        <f>IF(COUNTIFS(mapping!$B:$B,BW$2,mapping!$D:$D,$B40)&gt;0,"X","")</f>
        <v/>
      </c>
      <c r="BX40" s="114" t="str">
        <f>IF(COUNTIFS(mapping!$B:$B,BX$2,mapping!$D:$D,$B40)&gt;0,"X","")</f>
        <v>X</v>
      </c>
      <c r="BY40" s="114" t="str">
        <f>IF(COUNTIFS(mapping!$B:$B,BY$2,mapping!$D:$D,$B40)&gt;0,"X","")</f>
        <v/>
      </c>
      <c r="BZ40" s="114" t="str">
        <f>IF(COUNTIFS(mapping!$B:$B,BZ$2,mapping!$D:$D,$B40)&gt;0,"X","")</f>
        <v/>
      </c>
      <c r="CA40" s="114" t="str">
        <f>IF(COUNTIFS(mapping!$B:$B,CA$2,mapping!$D:$D,$B40)&gt;0,"X","")</f>
        <v/>
      </c>
      <c r="CB40" s="114" t="str">
        <f>IF(COUNTIFS(mapping!$B:$B,CB$2,mapping!$D:$D,$B40)&gt;0,"X","")</f>
        <v/>
      </c>
      <c r="CC40" s="114" t="str">
        <f>IF(COUNTIFS(mapping!$B:$B,CC$2,mapping!$D:$D,$B40)&gt;0,"X","")</f>
        <v/>
      </c>
      <c r="CD40" s="114" t="str">
        <f>IF(COUNTIFS(mapping!$B:$B,CD$2,mapping!$D:$D,$B40)&gt;0,"X","")</f>
        <v/>
      </c>
      <c r="CE40" s="114" t="str">
        <f>IF(COUNTIFS(mapping!$B:$B,CE$2,mapping!$D:$D,$B40)&gt;0,"X","")</f>
        <v/>
      </c>
      <c r="CF40" s="114" t="str">
        <f>IF(COUNTIFS(mapping!$B:$B,CF$2,mapping!$D:$D,$B40)&gt;0,"X","")</f>
        <v/>
      </c>
      <c r="CG40" s="114" t="str">
        <f>IF(COUNTIFS(mapping!$B:$B,CG$2,mapping!$D:$D,$B40)&gt;0,"X","")</f>
        <v/>
      </c>
      <c r="CH40" s="114" t="str">
        <f>IF(COUNTIFS(mapping!$B:$B,CH$2,mapping!$D:$D,$B40)&gt;0,"X","")</f>
        <v/>
      </c>
    </row>
    <row r="41" spans="1:86" ht="16">
      <c r="A41" s="257"/>
      <c r="B41" s="122" t="s">
        <v>456</v>
      </c>
      <c r="C41" s="122" t="s">
        <v>455</v>
      </c>
      <c r="E41" s="114" t="str">
        <f>IF(COUNTIFS(mapping!$B:$B,E$2,mapping!$D:$D,$B41)&gt;0,"X","")</f>
        <v/>
      </c>
      <c r="F41" s="114" t="str">
        <f>IF(COUNTIFS(mapping!$B:$B,F$2,mapping!$D:$D,$B41)&gt;0,"X","")</f>
        <v/>
      </c>
      <c r="G41" s="114" t="str">
        <f>IF(COUNTIFS(mapping!$B:$B,G$2,mapping!$D:$D,$B41)&gt;0,"X","")</f>
        <v/>
      </c>
      <c r="H41" s="114" t="str">
        <f>IF(COUNTIFS(mapping!$B:$B,H$2,mapping!$D:$D,$B41)&gt;0,"X","")</f>
        <v/>
      </c>
      <c r="I41" s="114" t="str">
        <f>IF(COUNTIFS(mapping!$B:$B,I$2,mapping!$D:$D,$B41)&gt;0,"X","")</f>
        <v/>
      </c>
      <c r="J41" s="114" t="str">
        <f>IF(COUNTIFS(mapping!$B:$B,J$2,mapping!$D:$D,$B41)&gt;0,"X","")</f>
        <v/>
      </c>
      <c r="K41" s="114" t="str">
        <f>IF(COUNTIFS(mapping!$B:$B,K$2,mapping!$D:$D,$B41)&gt;0,"X","")</f>
        <v/>
      </c>
      <c r="L41" s="114" t="str">
        <f>IF(COUNTIFS(mapping!$B:$B,L$2,mapping!$D:$D,$B41)&gt;0,"X","")</f>
        <v/>
      </c>
      <c r="M41" s="114" t="str">
        <f>IF(COUNTIFS(mapping!$B:$B,M$2,mapping!$D:$D,$B41)&gt;0,"X","")</f>
        <v/>
      </c>
      <c r="N41" s="114" t="str">
        <f>IF(COUNTIFS(mapping!$B:$B,N$2,mapping!$D:$D,$B41)&gt;0,"X","")</f>
        <v/>
      </c>
      <c r="O41" s="114" t="str">
        <f>IF(COUNTIFS(mapping!$B:$B,O$2,mapping!$D:$D,$B41)&gt;0,"X","")</f>
        <v/>
      </c>
      <c r="P41" s="114" t="str">
        <f>IF(COUNTIFS(mapping!$B:$B,P$2,mapping!$D:$D,$B41)&gt;0,"X","")</f>
        <v/>
      </c>
      <c r="Q41" s="114" t="str">
        <f>IF(COUNTIFS(mapping!$B:$B,Q$2,mapping!$D:$D,$B41)&gt;0,"X","")</f>
        <v/>
      </c>
      <c r="R41" s="114" t="str">
        <f>IF(COUNTIFS(mapping!$B:$B,R$2,mapping!$D:$D,$B41)&gt;0,"X","")</f>
        <v/>
      </c>
      <c r="S41" s="114" t="str">
        <f>IF(COUNTIFS(mapping!$B:$B,S$2,mapping!$D:$D,$B41)&gt;0,"X","")</f>
        <v/>
      </c>
      <c r="T41" s="114" t="str">
        <f>IF(COUNTIFS(mapping!$B:$B,T$2,mapping!$D:$D,$B41)&gt;0,"X","")</f>
        <v/>
      </c>
      <c r="U41" s="114" t="str">
        <f>IF(COUNTIFS(mapping!$B:$B,U$2,mapping!$D:$D,$B41)&gt;0,"X","")</f>
        <v/>
      </c>
      <c r="V41" s="114" t="str">
        <f>IF(COUNTIFS(mapping!$B:$B,V$2,mapping!$D:$D,$B41)&gt;0,"X","")</f>
        <v/>
      </c>
      <c r="W41" s="114" t="str">
        <f>IF(COUNTIFS(mapping!$B:$B,W$2,mapping!$D:$D,$B41)&gt;0,"X","")</f>
        <v/>
      </c>
      <c r="X41" s="114" t="str">
        <f>IF(COUNTIFS(mapping!$B:$B,X$2,mapping!$D:$D,$B41)&gt;0,"X","")</f>
        <v/>
      </c>
      <c r="Y41" s="114" t="str">
        <f>IF(COUNTIFS(mapping!$B:$B,Y$2,mapping!$D:$D,$B41)&gt;0,"X","")</f>
        <v/>
      </c>
      <c r="Z41" s="114" t="str">
        <f>IF(COUNTIFS(mapping!$B:$B,Z$2,mapping!$D:$D,$B41)&gt;0,"X","")</f>
        <v/>
      </c>
      <c r="AA41" s="114" t="str">
        <f>IF(COUNTIFS(mapping!$B:$B,AA$2,mapping!$D:$D,$B41)&gt;0,"X","")</f>
        <v/>
      </c>
      <c r="AB41" s="114" t="str">
        <f>IF(COUNTIFS(mapping!$B:$B,AB$2,mapping!$D:$D,$B41)&gt;0,"X","")</f>
        <v/>
      </c>
      <c r="AC41" s="114" t="str">
        <f>IF(COUNTIFS(mapping!$B:$B,AC$2,mapping!$D:$D,$B41)&gt;0,"X","")</f>
        <v/>
      </c>
      <c r="AD41" s="114" t="str">
        <f>IF(COUNTIFS(mapping!$B:$B,AD$2,mapping!$D:$D,$B41)&gt;0,"X","")</f>
        <v/>
      </c>
      <c r="AE41" s="114" t="str">
        <f>IF(COUNTIFS(mapping!$B:$B,AE$2,mapping!$D:$D,$B41)&gt;0,"X","")</f>
        <v/>
      </c>
      <c r="AF41" s="114" t="str">
        <f>IF(COUNTIFS(mapping!$B:$B,AF$2,mapping!$D:$D,$B41)&gt;0,"X","")</f>
        <v/>
      </c>
      <c r="AG41" s="114" t="str">
        <f>IF(COUNTIFS(mapping!$B:$B,AG$2,mapping!$D:$D,$B41)&gt;0,"X","")</f>
        <v/>
      </c>
      <c r="AH41" s="114" t="str">
        <f>IF(COUNTIFS(mapping!$B:$B,AH$2,mapping!$D:$D,$B41)&gt;0,"X","")</f>
        <v/>
      </c>
      <c r="AI41" s="114" t="str">
        <f>IF(COUNTIFS(mapping!$B:$B,AI$2,mapping!$D:$D,$B41)&gt;0,"X","")</f>
        <v/>
      </c>
      <c r="AJ41" s="114" t="str">
        <f>IF(COUNTIFS(mapping!$B:$B,AJ$2,mapping!$D:$D,$B41)&gt;0,"X","")</f>
        <v/>
      </c>
      <c r="AK41" s="114" t="str">
        <f>IF(COUNTIFS(mapping!$B:$B,AK$2,mapping!$D:$D,$B41)&gt;0,"X","")</f>
        <v/>
      </c>
      <c r="AL41" s="114" t="str">
        <f>IF(COUNTIFS(mapping!$B:$B,AL$2,mapping!$D:$D,$B41)&gt;0,"X","")</f>
        <v/>
      </c>
      <c r="AM41" s="114" t="str">
        <f>IF(COUNTIFS(mapping!$B:$B,AM$2,mapping!$D:$D,$B41)&gt;0,"X","")</f>
        <v/>
      </c>
      <c r="AN41" s="114" t="str">
        <f>IF(COUNTIFS(mapping!$B:$B,AN$2,mapping!$D:$D,$B41)&gt;0,"X","")</f>
        <v>X</v>
      </c>
      <c r="AO41" s="114" t="str">
        <f>IF(COUNTIFS(mapping!$B:$B,AO$2,mapping!$D:$D,$B41)&gt;0,"X","")</f>
        <v/>
      </c>
      <c r="AP41" s="114" t="str">
        <f>IF(COUNTIFS(mapping!$B:$B,AP$2,mapping!$D:$D,$B41)&gt;0,"X","")</f>
        <v>X</v>
      </c>
      <c r="AQ41" s="114" t="str">
        <f>IF(COUNTIFS(mapping!$B:$B,AQ$2,mapping!$D:$D,$B41)&gt;0,"X","")</f>
        <v/>
      </c>
      <c r="AR41" s="114" t="str">
        <f>IF(COUNTIFS(mapping!$B:$B,AR$2,mapping!$D:$D,$B41)&gt;0,"X","")</f>
        <v/>
      </c>
      <c r="AS41" s="114" t="str">
        <f>IF(COUNTIFS(mapping!$B:$B,AS$2,mapping!$D:$D,$B41)&gt;0,"X","")</f>
        <v>X</v>
      </c>
      <c r="AT41" s="114" t="str">
        <f>IF(COUNTIFS(mapping!$B:$B,AT$2,mapping!$D:$D,$B41)&gt;0,"X","")</f>
        <v/>
      </c>
      <c r="AU41" s="114" t="str">
        <f>IF(COUNTIFS(mapping!$B:$B,AU$2,mapping!$D:$D,$B41)&gt;0,"X","")</f>
        <v/>
      </c>
      <c r="AV41" s="114" t="str">
        <f>IF(COUNTIFS(mapping!$B:$B,AV$2,mapping!$D:$D,$B41)&gt;0,"X","")</f>
        <v/>
      </c>
      <c r="AW41" s="114" t="str">
        <f>IF(COUNTIFS(mapping!$B:$B,AW$2,mapping!$D:$D,$B41)&gt;0,"X","")</f>
        <v/>
      </c>
      <c r="AX41" s="114" t="str">
        <f>IF(COUNTIFS(mapping!$B:$B,AX$2,mapping!$D:$D,$B41)&gt;0,"X","")</f>
        <v/>
      </c>
      <c r="AY41" s="114" t="str">
        <f>IF(COUNTIFS(mapping!$B:$B,AY$2,mapping!$D:$D,$B41)&gt;0,"X","")</f>
        <v/>
      </c>
      <c r="AZ41" s="114" t="str">
        <f>IF(COUNTIFS(mapping!$B:$B,AZ$2,mapping!$D:$D,$B41)&gt;0,"X","")</f>
        <v/>
      </c>
      <c r="BA41" s="114" t="str">
        <f>IF(COUNTIFS(mapping!$B:$B,BA$2,mapping!$D:$D,$B41)&gt;0,"X","")</f>
        <v/>
      </c>
      <c r="BB41" s="114" t="str">
        <f>IF(COUNTIFS(mapping!$B:$B,BB$2,mapping!$D:$D,$B41)&gt;0,"X","")</f>
        <v/>
      </c>
      <c r="BC41" s="114" t="str">
        <f>IF(COUNTIFS(mapping!$B:$B,BC$2,mapping!$D:$D,$B41)&gt;0,"X","")</f>
        <v/>
      </c>
      <c r="BD41" s="114" t="str">
        <f>IF(COUNTIFS(mapping!$B:$B,BD$2,mapping!$D:$D,$B41)&gt;0,"X","")</f>
        <v/>
      </c>
      <c r="BE41" s="114" t="str">
        <f>IF(COUNTIFS(mapping!$B:$B,BE$2,mapping!$D:$D,$B41)&gt;0,"X","")</f>
        <v/>
      </c>
      <c r="BF41" s="114" t="str">
        <f>IF(COUNTIFS(mapping!$B:$B,BF$2,mapping!$D:$D,$B41)&gt;0,"X","")</f>
        <v/>
      </c>
      <c r="BG41" s="114" t="str">
        <f>IF(COUNTIFS(mapping!$B:$B,BG$2,mapping!$D:$D,$B41)&gt;0,"X","")</f>
        <v/>
      </c>
      <c r="BH41" s="114" t="str">
        <f>IF(COUNTIFS(mapping!$B:$B,BH$2,mapping!$D:$D,$B41)&gt;0,"X","")</f>
        <v/>
      </c>
      <c r="BI41" s="114" t="str">
        <f>IF(COUNTIFS(mapping!$B:$B,BI$2,mapping!$D:$D,$B41)&gt;0,"X","")</f>
        <v/>
      </c>
      <c r="BJ41" s="114" t="str">
        <f>IF(COUNTIFS(mapping!$B:$B,BJ$2,mapping!$D:$D,$B41)&gt;0,"X","")</f>
        <v/>
      </c>
      <c r="BK41" s="114" t="str">
        <f>IF(COUNTIFS(mapping!$B:$B,BK$2,mapping!$D:$D,$B41)&gt;0,"X","")</f>
        <v/>
      </c>
      <c r="BL41" s="114" t="str">
        <f>IF(COUNTIFS(mapping!$B:$B,BL$2,mapping!$D:$D,$B41)&gt;0,"X","")</f>
        <v/>
      </c>
      <c r="BM41" s="114" t="str">
        <f>IF(COUNTIFS(mapping!$B:$B,BM$2,mapping!$D:$D,$B41)&gt;0,"X","")</f>
        <v/>
      </c>
      <c r="BN41" s="114" t="str">
        <f>IF(COUNTIFS(mapping!$B:$B,BN$2,mapping!$D:$D,$B41)&gt;0,"X","")</f>
        <v/>
      </c>
      <c r="BO41" s="114" t="str">
        <f>IF(COUNTIFS(mapping!$B:$B,BO$2,mapping!$D:$D,$B41)&gt;0,"X","")</f>
        <v/>
      </c>
      <c r="BP41" s="114" t="str">
        <f>IF(COUNTIFS(mapping!$B:$B,BP$2,mapping!$D:$D,$B41)&gt;0,"X","")</f>
        <v/>
      </c>
      <c r="BQ41" s="114" t="str">
        <f>IF(COUNTIFS(mapping!$B:$B,BQ$2,mapping!$D:$D,$B41)&gt;0,"X","")</f>
        <v/>
      </c>
      <c r="BR41" s="114" t="str">
        <f>IF(COUNTIFS(mapping!$B:$B,BR$2,mapping!$D:$D,$B41)&gt;0,"X","")</f>
        <v/>
      </c>
      <c r="BS41" s="114" t="str">
        <f>IF(COUNTIFS(mapping!$B:$B,BS$2,mapping!$D:$D,$B41)&gt;0,"X","")</f>
        <v/>
      </c>
      <c r="BT41" s="114" t="str">
        <f>IF(COUNTIFS(mapping!$B:$B,BT$2,mapping!$D:$D,$B41)&gt;0,"X","")</f>
        <v/>
      </c>
      <c r="BU41" s="114" t="str">
        <f>IF(COUNTIFS(mapping!$B:$B,BU$2,mapping!$D:$D,$B41)&gt;0,"X","")</f>
        <v/>
      </c>
      <c r="BV41" s="114" t="str">
        <f>IF(COUNTIFS(mapping!$B:$B,BV$2,mapping!$D:$D,$B41)&gt;0,"X","")</f>
        <v/>
      </c>
      <c r="BW41" s="114" t="str">
        <f>IF(COUNTIFS(mapping!$B:$B,BW$2,mapping!$D:$D,$B41)&gt;0,"X","")</f>
        <v/>
      </c>
      <c r="BX41" s="114" t="str">
        <f>IF(COUNTIFS(mapping!$B:$B,BX$2,mapping!$D:$D,$B41)&gt;0,"X","")</f>
        <v>X</v>
      </c>
      <c r="BY41" s="114" t="str">
        <f>IF(COUNTIFS(mapping!$B:$B,BY$2,mapping!$D:$D,$B41)&gt;0,"X","")</f>
        <v/>
      </c>
      <c r="BZ41" s="114" t="str">
        <f>IF(COUNTIFS(mapping!$B:$B,BZ$2,mapping!$D:$D,$B41)&gt;0,"X","")</f>
        <v/>
      </c>
      <c r="CA41" s="114" t="str">
        <f>IF(COUNTIFS(mapping!$B:$B,CA$2,mapping!$D:$D,$B41)&gt;0,"X","")</f>
        <v/>
      </c>
      <c r="CB41" s="114" t="str">
        <f>IF(COUNTIFS(mapping!$B:$B,CB$2,mapping!$D:$D,$B41)&gt;0,"X","")</f>
        <v/>
      </c>
      <c r="CC41" s="114" t="str">
        <f>IF(COUNTIFS(mapping!$B:$B,CC$2,mapping!$D:$D,$B41)&gt;0,"X","")</f>
        <v/>
      </c>
      <c r="CD41" s="114" t="str">
        <f>IF(COUNTIFS(mapping!$B:$B,CD$2,mapping!$D:$D,$B41)&gt;0,"X","")</f>
        <v/>
      </c>
      <c r="CE41" s="114" t="str">
        <f>IF(COUNTIFS(mapping!$B:$B,CE$2,mapping!$D:$D,$B41)&gt;0,"X","")</f>
        <v/>
      </c>
      <c r="CF41" s="114" t="str">
        <f>IF(COUNTIFS(mapping!$B:$B,CF$2,mapping!$D:$D,$B41)&gt;0,"X","")</f>
        <v/>
      </c>
      <c r="CG41" s="114" t="str">
        <f>IF(COUNTIFS(mapping!$B:$B,CG$2,mapping!$D:$D,$B41)&gt;0,"X","")</f>
        <v/>
      </c>
      <c r="CH41" s="114" t="str">
        <f>IF(COUNTIFS(mapping!$B:$B,CH$2,mapping!$D:$D,$B41)&gt;0,"X","")</f>
        <v/>
      </c>
    </row>
    <row r="42" spans="1:86" ht="16">
      <c r="A42" s="257"/>
      <c r="B42" s="122" t="s">
        <v>454</v>
      </c>
      <c r="C42" s="122" t="s">
        <v>453</v>
      </c>
      <c r="E42" s="114" t="str">
        <f>IF(COUNTIFS(mapping!$B:$B,E$2,mapping!$D:$D,$B42)&gt;0,"X","")</f>
        <v/>
      </c>
      <c r="F42" s="114" t="str">
        <f>IF(COUNTIFS(mapping!$B:$B,F$2,mapping!$D:$D,$B42)&gt;0,"X","")</f>
        <v/>
      </c>
      <c r="G42" s="114" t="str">
        <f>IF(COUNTIFS(mapping!$B:$B,G$2,mapping!$D:$D,$B42)&gt;0,"X","")</f>
        <v/>
      </c>
      <c r="H42" s="114" t="str">
        <f>IF(COUNTIFS(mapping!$B:$B,H$2,mapping!$D:$D,$B42)&gt;0,"X","")</f>
        <v/>
      </c>
      <c r="I42" s="114" t="str">
        <f>IF(COUNTIFS(mapping!$B:$B,I$2,mapping!$D:$D,$B42)&gt;0,"X","")</f>
        <v/>
      </c>
      <c r="J42" s="114" t="str">
        <f>IF(COUNTIFS(mapping!$B:$B,J$2,mapping!$D:$D,$B42)&gt;0,"X","")</f>
        <v/>
      </c>
      <c r="K42" s="114" t="str">
        <f>IF(COUNTIFS(mapping!$B:$B,K$2,mapping!$D:$D,$B42)&gt;0,"X","")</f>
        <v/>
      </c>
      <c r="L42" s="114" t="str">
        <f>IF(COUNTIFS(mapping!$B:$B,L$2,mapping!$D:$D,$B42)&gt;0,"X","")</f>
        <v/>
      </c>
      <c r="M42" s="114" t="str">
        <f>IF(COUNTIFS(mapping!$B:$B,M$2,mapping!$D:$D,$B42)&gt;0,"X","")</f>
        <v/>
      </c>
      <c r="N42" s="114" t="str">
        <f>IF(COUNTIFS(mapping!$B:$B,N$2,mapping!$D:$D,$B42)&gt;0,"X","")</f>
        <v/>
      </c>
      <c r="O42" s="114" t="str">
        <f>IF(COUNTIFS(mapping!$B:$B,O$2,mapping!$D:$D,$B42)&gt;0,"X","")</f>
        <v/>
      </c>
      <c r="P42" s="114" t="str">
        <f>IF(COUNTIFS(mapping!$B:$B,P$2,mapping!$D:$D,$B42)&gt;0,"X","")</f>
        <v/>
      </c>
      <c r="Q42" s="114" t="str">
        <f>IF(COUNTIFS(mapping!$B:$B,Q$2,mapping!$D:$D,$B42)&gt;0,"X","")</f>
        <v/>
      </c>
      <c r="R42" s="114" t="str">
        <f>IF(COUNTIFS(mapping!$B:$B,R$2,mapping!$D:$D,$B42)&gt;0,"X","")</f>
        <v/>
      </c>
      <c r="S42" s="114" t="str">
        <f>IF(COUNTIFS(mapping!$B:$B,S$2,mapping!$D:$D,$B42)&gt;0,"X","")</f>
        <v/>
      </c>
      <c r="T42" s="114" t="str">
        <f>IF(COUNTIFS(mapping!$B:$B,T$2,mapping!$D:$D,$B42)&gt;0,"X","")</f>
        <v/>
      </c>
      <c r="U42" s="114" t="str">
        <f>IF(COUNTIFS(mapping!$B:$B,U$2,mapping!$D:$D,$B42)&gt;0,"X","")</f>
        <v/>
      </c>
      <c r="V42" s="114" t="str">
        <f>IF(COUNTIFS(mapping!$B:$B,V$2,mapping!$D:$D,$B42)&gt;0,"X","")</f>
        <v/>
      </c>
      <c r="W42" s="114" t="str">
        <f>IF(COUNTIFS(mapping!$B:$B,W$2,mapping!$D:$D,$B42)&gt;0,"X","")</f>
        <v/>
      </c>
      <c r="X42" s="114" t="str">
        <f>IF(COUNTIFS(mapping!$B:$B,X$2,mapping!$D:$D,$B42)&gt;0,"X","")</f>
        <v/>
      </c>
      <c r="Y42" s="114" t="str">
        <f>IF(COUNTIFS(mapping!$B:$B,Y$2,mapping!$D:$D,$B42)&gt;0,"X","")</f>
        <v/>
      </c>
      <c r="Z42" s="114" t="str">
        <f>IF(COUNTIFS(mapping!$B:$B,Z$2,mapping!$D:$D,$B42)&gt;0,"X","")</f>
        <v/>
      </c>
      <c r="AA42" s="114" t="str">
        <f>IF(COUNTIFS(mapping!$B:$B,AA$2,mapping!$D:$D,$B42)&gt;0,"X","")</f>
        <v/>
      </c>
      <c r="AB42" s="114" t="str">
        <f>IF(COUNTIFS(mapping!$B:$B,AB$2,mapping!$D:$D,$B42)&gt;0,"X","")</f>
        <v/>
      </c>
      <c r="AC42" s="114" t="str">
        <f>IF(COUNTIFS(mapping!$B:$B,AC$2,mapping!$D:$D,$B42)&gt;0,"X","")</f>
        <v/>
      </c>
      <c r="AD42" s="114" t="str">
        <f>IF(COUNTIFS(mapping!$B:$B,AD$2,mapping!$D:$D,$B42)&gt;0,"X","")</f>
        <v/>
      </c>
      <c r="AE42" s="114" t="str">
        <f>IF(COUNTIFS(mapping!$B:$B,AE$2,mapping!$D:$D,$B42)&gt;0,"X","")</f>
        <v/>
      </c>
      <c r="AF42" s="114" t="str">
        <f>IF(COUNTIFS(mapping!$B:$B,AF$2,mapping!$D:$D,$B42)&gt;0,"X","")</f>
        <v/>
      </c>
      <c r="AG42" s="114" t="str">
        <f>IF(COUNTIFS(mapping!$B:$B,AG$2,mapping!$D:$D,$B42)&gt;0,"X","")</f>
        <v/>
      </c>
      <c r="AH42" s="114" t="str">
        <f>IF(COUNTIFS(mapping!$B:$B,AH$2,mapping!$D:$D,$B42)&gt;0,"X","")</f>
        <v/>
      </c>
      <c r="AI42" s="114" t="str">
        <f>IF(COUNTIFS(mapping!$B:$B,AI$2,mapping!$D:$D,$B42)&gt;0,"X","")</f>
        <v/>
      </c>
      <c r="AJ42" s="114" t="str">
        <f>IF(COUNTIFS(mapping!$B:$B,AJ$2,mapping!$D:$D,$B42)&gt;0,"X","")</f>
        <v/>
      </c>
      <c r="AK42" s="114" t="str">
        <f>IF(COUNTIFS(mapping!$B:$B,AK$2,mapping!$D:$D,$B42)&gt;0,"X","")</f>
        <v/>
      </c>
      <c r="AL42" s="114" t="str">
        <f>IF(COUNTIFS(mapping!$B:$B,AL$2,mapping!$D:$D,$B42)&gt;0,"X","")</f>
        <v/>
      </c>
      <c r="AM42" s="114" t="str">
        <f>IF(COUNTIFS(mapping!$B:$B,AM$2,mapping!$D:$D,$B42)&gt;0,"X","")</f>
        <v/>
      </c>
      <c r="AN42" s="114" t="str">
        <f>IF(COUNTIFS(mapping!$B:$B,AN$2,mapping!$D:$D,$B42)&gt;0,"X","")</f>
        <v>X</v>
      </c>
      <c r="AO42" s="114" t="str">
        <f>IF(COUNTIFS(mapping!$B:$B,AO$2,mapping!$D:$D,$B42)&gt;0,"X","")</f>
        <v/>
      </c>
      <c r="AP42" s="114" t="str">
        <f>IF(COUNTIFS(mapping!$B:$B,AP$2,mapping!$D:$D,$B42)&gt;0,"X","")</f>
        <v/>
      </c>
      <c r="AQ42" s="114" t="str">
        <f>IF(COUNTIFS(mapping!$B:$B,AQ$2,mapping!$D:$D,$B42)&gt;0,"X","")</f>
        <v/>
      </c>
      <c r="AR42" s="114" t="str">
        <f>IF(COUNTIFS(mapping!$B:$B,AR$2,mapping!$D:$D,$B42)&gt;0,"X","")</f>
        <v/>
      </c>
      <c r="AS42" s="114" t="str">
        <f>IF(COUNTIFS(mapping!$B:$B,AS$2,mapping!$D:$D,$B42)&gt;0,"X","")</f>
        <v/>
      </c>
      <c r="AT42" s="114" t="str">
        <f>IF(COUNTIFS(mapping!$B:$B,AT$2,mapping!$D:$D,$B42)&gt;0,"X","")</f>
        <v/>
      </c>
      <c r="AU42" s="114" t="str">
        <f>IF(COUNTIFS(mapping!$B:$B,AU$2,mapping!$D:$D,$B42)&gt;0,"X","")</f>
        <v/>
      </c>
      <c r="AV42" s="114" t="str">
        <f>IF(COUNTIFS(mapping!$B:$B,AV$2,mapping!$D:$D,$B42)&gt;0,"X","")</f>
        <v/>
      </c>
      <c r="AW42" s="114" t="str">
        <f>IF(COUNTIFS(mapping!$B:$B,AW$2,mapping!$D:$D,$B42)&gt;0,"X","")</f>
        <v/>
      </c>
      <c r="AX42" s="114" t="str">
        <f>IF(COUNTIFS(mapping!$B:$B,AX$2,mapping!$D:$D,$B42)&gt;0,"X","")</f>
        <v/>
      </c>
      <c r="AY42" s="114" t="str">
        <f>IF(COUNTIFS(mapping!$B:$B,AY$2,mapping!$D:$D,$B42)&gt;0,"X","")</f>
        <v/>
      </c>
      <c r="AZ42" s="114" t="str">
        <f>IF(COUNTIFS(mapping!$B:$B,AZ$2,mapping!$D:$D,$B42)&gt;0,"X","")</f>
        <v/>
      </c>
      <c r="BA42" s="114" t="str">
        <f>IF(COUNTIFS(mapping!$B:$B,BA$2,mapping!$D:$D,$B42)&gt;0,"X","")</f>
        <v/>
      </c>
      <c r="BB42" s="114" t="str">
        <f>IF(COUNTIFS(mapping!$B:$B,BB$2,mapping!$D:$D,$B42)&gt;0,"X","")</f>
        <v/>
      </c>
      <c r="BC42" s="114" t="str">
        <f>IF(COUNTIFS(mapping!$B:$B,BC$2,mapping!$D:$D,$B42)&gt;0,"X","")</f>
        <v/>
      </c>
      <c r="BD42" s="114" t="str">
        <f>IF(COUNTIFS(mapping!$B:$B,BD$2,mapping!$D:$D,$B42)&gt;0,"X","")</f>
        <v/>
      </c>
      <c r="BE42" s="114" t="str">
        <f>IF(COUNTIFS(mapping!$B:$B,BE$2,mapping!$D:$D,$B42)&gt;0,"X","")</f>
        <v/>
      </c>
      <c r="BF42" s="114" t="str">
        <f>IF(COUNTIFS(mapping!$B:$B,BF$2,mapping!$D:$D,$B42)&gt;0,"X","")</f>
        <v/>
      </c>
      <c r="BG42" s="114" t="str">
        <f>IF(COUNTIFS(mapping!$B:$B,BG$2,mapping!$D:$D,$B42)&gt;0,"X","")</f>
        <v/>
      </c>
      <c r="BH42" s="114" t="str">
        <f>IF(COUNTIFS(mapping!$B:$B,BH$2,mapping!$D:$D,$B42)&gt;0,"X","")</f>
        <v/>
      </c>
      <c r="BI42" s="114" t="str">
        <f>IF(COUNTIFS(mapping!$B:$B,BI$2,mapping!$D:$D,$B42)&gt;0,"X","")</f>
        <v/>
      </c>
      <c r="BJ42" s="114" t="str">
        <f>IF(COUNTIFS(mapping!$B:$B,BJ$2,mapping!$D:$D,$B42)&gt;0,"X","")</f>
        <v/>
      </c>
      <c r="BK42" s="114" t="str">
        <f>IF(COUNTIFS(mapping!$B:$B,BK$2,mapping!$D:$D,$B42)&gt;0,"X","")</f>
        <v/>
      </c>
      <c r="BL42" s="114" t="str">
        <f>IF(COUNTIFS(mapping!$B:$B,BL$2,mapping!$D:$D,$B42)&gt;0,"X","")</f>
        <v/>
      </c>
      <c r="BM42" s="114" t="str">
        <f>IF(COUNTIFS(mapping!$B:$B,BM$2,mapping!$D:$D,$B42)&gt;0,"X","")</f>
        <v/>
      </c>
      <c r="BN42" s="114" t="str">
        <f>IF(COUNTIFS(mapping!$B:$B,BN$2,mapping!$D:$D,$B42)&gt;0,"X","")</f>
        <v/>
      </c>
      <c r="BO42" s="114" t="str">
        <f>IF(COUNTIFS(mapping!$B:$B,BO$2,mapping!$D:$D,$B42)&gt;0,"X","")</f>
        <v/>
      </c>
      <c r="BP42" s="114" t="str">
        <f>IF(COUNTIFS(mapping!$B:$B,BP$2,mapping!$D:$D,$B42)&gt;0,"X","")</f>
        <v/>
      </c>
      <c r="BQ42" s="114" t="str">
        <f>IF(COUNTIFS(mapping!$B:$B,BQ$2,mapping!$D:$D,$B42)&gt;0,"X","")</f>
        <v/>
      </c>
      <c r="BR42" s="114" t="str">
        <f>IF(COUNTIFS(mapping!$B:$B,BR$2,mapping!$D:$D,$B42)&gt;0,"X","")</f>
        <v/>
      </c>
      <c r="BS42" s="114" t="str">
        <f>IF(COUNTIFS(mapping!$B:$B,BS$2,mapping!$D:$D,$B42)&gt;0,"X","")</f>
        <v/>
      </c>
      <c r="BT42" s="114" t="str">
        <f>IF(COUNTIFS(mapping!$B:$B,BT$2,mapping!$D:$D,$B42)&gt;0,"X","")</f>
        <v/>
      </c>
      <c r="BU42" s="114" t="str">
        <f>IF(COUNTIFS(mapping!$B:$B,BU$2,mapping!$D:$D,$B42)&gt;0,"X","")</f>
        <v/>
      </c>
      <c r="BV42" s="114" t="str">
        <f>IF(COUNTIFS(mapping!$B:$B,BV$2,mapping!$D:$D,$B42)&gt;0,"X","")</f>
        <v/>
      </c>
      <c r="BW42" s="114" t="str">
        <f>IF(COUNTIFS(mapping!$B:$B,BW$2,mapping!$D:$D,$B42)&gt;0,"X","")</f>
        <v/>
      </c>
      <c r="BX42" s="114" t="str">
        <f>IF(COUNTIFS(mapping!$B:$B,BX$2,mapping!$D:$D,$B42)&gt;0,"X","")</f>
        <v/>
      </c>
      <c r="BY42" s="114" t="str">
        <f>IF(COUNTIFS(mapping!$B:$B,BY$2,mapping!$D:$D,$B42)&gt;0,"X","")</f>
        <v/>
      </c>
      <c r="BZ42" s="114" t="str">
        <f>IF(COUNTIFS(mapping!$B:$B,BZ$2,mapping!$D:$D,$B42)&gt;0,"X","")</f>
        <v/>
      </c>
      <c r="CA42" s="114" t="str">
        <f>IF(COUNTIFS(mapping!$B:$B,CA$2,mapping!$D:$D,$B42)&gt;0,"X","")</f>
        <v/>
      </c>
      <c r="CB42" s="114" t="str">
        <f>IF(COUNTIFS(mapping!$B:$B,CB$2,mapping!$D:$D,$B42)&gt;0,"X","")</f>
        <v/>
      </c>
      <c r="CC42" s="114" t="str">
        <f>IF(COUNTIFS(mapping!$B:$B,CC$2,mapping!$D:$D,$B42)&gt;0,"X","")</f>
        <v/>
      </c>
      <c r="CD42" s="114" t="str">
        <f>IF(COUNTIFS(mapping!$B:$B,CD$2,mapping!$D:$D,$B42)&gt;0,"X","")</f>
        <v/>
      </c>
      <c r="CE42" s="114" t="str">
        <f>IF(COUNTIFS(mapping!$B:$B,CE$2,mapping!$D:$D,$B42)&gt;0,"X","")</f>
        <v/>
      </c>
      <c r="CF42" s="114" t="str">
        <f>IF(COUNTIFS(mapping!$B:$B,CF$2,mapping!$D:$D,$B42)&gt;0,"X","")</f>
        <v/>
      </c>
      <c r="CG42" s="114" t="str">
        <f>IF(COUNTIFS(mapping!$B:$B,CG$2,mapping!$D:$D,$B42)&gt;0,"X","")</f>
        <v/>
      </c>
      <c r="CH42" s="114" t="str">
        <f>IF(COUNTIFS(mapping!$B:$B,CH$2,mapping!$D:$D,$B42)&gt;0,"X","")</f>
        <v/>
      </c>
    </row>
    <row r="43" spans="1:86" ht="16">
      <c r="A43" s="257"/>
      <c r="B43" s="122" t="s">
        <v>452</v>
      </c>
      <c r="C43" s="122" t="s">
        <v>451</v>
      </c>
      <c r="E43" s="114" t="str">
        <f>IF(COUNTIFS(mapping!$B:$B,E$2,mapping!$D:$D,$B43)&gt;0,"X","")</f>
        <v/>
      </c>
      <c r="F43" s="114" t="str">
        <f>IF(COUNTIFS(mapping!$B:$B,F$2,mapping!$D:$D,$B43)&gt;0,"X","")</f>
        <v/>
      </c>
      <c r="G43" s="114" t="str">
        <f>IF(COUNTIFS(mapping!$B:$B,G$2,mapping!$D:$D,$B43)&gt;0,"X","")</f>
        <v/>
      </c>
      <c r="H43" s="114" t="str">
        <f>IF(COUNTIFS(mapping!$B:$B,H$2,mapping!$D:$D,$B43)&gt;0,"X","")</f>
        <v/>
      </c>
      <c r="I43" s="114" t="str">
        <f>IF(COUNTIFS(mapping!$B:$B,I$2,mapping!$D:$D,$B43)&gt;0,"X","")</f>
        <v/>
      </c>
      <c r="J43" s="114" t="str">
        <f>IF(COUNTIFS(mapping!$B:$B,J$2,mapping!$D:$D,$B43)&gt;0,"X","")</f>
        <v/>
      </c>
      <c r="K43" s="114" t="str">
        <f>IF(COUNTIFS(mapping!$B:$B,K$2,mapping!$D:$D,$B43)&gt;0,"X","")</f>
        <v/>
      </c>
      <c r="L43" s="114" t="str">
        <f>IF(COUNTIFS(mapping!$B:$B,L$2,mapping!$D:$D,$B43)&gt;0,"X","")</f>
        <v/>
      </c>
      <c r="M43" s="114" t="str">
        <f>IF(COUNTIFS(mapping!$B:$B,M$2,mapping!$D:$D,$B43)&gt;0,"X","")</f>
        <v/>
      </c>
      <c r="N43" s="114" t="str">
        <f>IF(COUNTIFS(mapping!$B:$B,N$2,mapping!$D:$D,$B43)&gt;0,"X","")</f>
        <v/>
      </c>
      <c r="O43" s="114" t="str">
        <f>IF(COUNTIFS(mapping!$B:$B,O$2,mapping!$D:$D,$B43)&gt;0,"X","")</f>
        <v/>
      </c>
      <c r="P43" s="114" t="str">
        <f>IF(COUNTIFS(mapping!$B:$B,P$2,mapping!$D:$D,$B43)&gt;0,"X","")</f>
        <v/>
      </c>
      <c r="Q43" s="114" t="str">
        <f>IF(COUNTIFS(mapping!$B:$B,Q$2,mapping!$D:$D,$B43)&gt;0,"X","")</f>
        <v/>
      </c>
      <c r="R43" s="114" t="str">
        <f>IF(COUNTIFS(mapping!$B:$B,R$2,mapping!$D:$D,$B43)&gt;0,"X","")</f>
        <v/>
      </c>
      <c r="S43" s="114" t="str">
        <f>IF(COUNTIFS(mapping!$B:$B,S$2,mapping!$D:$D,$B43)&gt;0,"X","")</f>
        <v/>
      </c>
      <c r="T43" s="114" t="str">
        <f>IF(COUNTIFS(mapping!$B:$B,T$2,mapping!$D:$D,$B43)&gt;0,"X","")</f>
        <v/>
      </c>
      <c r="U43" s="114" t="str">
        <f>IF(COUNTIFS(mapping!$B:$B,U$2,mapping!$D:$D,$B43)&gt;0,"X","")</f>
        <v/>
      </c>
      <c r="V43" s="114" t="str">
        <f>IF(COUNTIFS(mapping!$B:$B,V$2,mapping!$D:$D,$B43)&gt;0,"X","")</f>
        <v>X</v>
      </c>
      <c r="W43" s="114" t="str">
        <f>IF(COUNTIFS(mapping!$B:$B,W$2,mapping!$D:$D,$B43)&gt;0,"X","")</f>
        <v>X</v>
      </c>
      <c r="X43" s="114" t="str">
        <f>IF(COUNTIFS(mapping!$B:$B,X$2,mapping!$D:$D,$B43)&gt;0,"X","")</f>
        <v/>
      </c>
      <c r="Y43" s="114" t="str">
        <f>IF(COUNTIFS(mapping!$B:$B,Y$2,mapping!$D:$D,$B43)&gt;0,"X","")</f>
        <v/>
      </c>
      <c r="Z43" s="114" t="str">
        <f>IF(COUNTIFS(mapping!$B:$B,Z$2,mapping!$D:$D,$B43)&gt;0,"X","")</f>
        <v/>
      </c>
      <c r="AA43" s="114" t="str">
        <f>IF(COUNTIFS(mapping!$B:$B,AA$2,mapping!$D:$D,$B43)&gt;0,"X","")</f>
        <v>X</v>
      </c>
      <c r="AB43" s="114" t="str">
        <f>IF(COUNTIFS(mapping!$B:$B,AB$2,mapping!$D:$D,$B43)&gt;0,"X","")</f>
        <v>X</v>
      </c>
      <c r="AC43" s="114" t="str">
        <f>IF(COUNTIFS(mapping!$B:$B,AC$2,mapping!$D:$D,$B43)&gt;0,"X","")</f>
        <v/>
      </c>
      <c r="AD43" s="114" t="str">
        <f>IF(COUNTIFS(mapping!$B:$B,AD$2,mapping!$D:$D,$B43)&gt;0,"X","")</f>
        <v/>
      </c>
      <c r="AE43" s="114" t="str">
        <f>IF(COUNTIFS(mapping!$B:$B,AE$2,mapping!$D:$D,$B43)&gt;0,"X","")</f>
        <v/>
      </c>
      <c r="AF43" s="114" t="str">
        <f>IF(COUNTIFS(mapping!$B:$B,AF$2,mapping!$D:$D,$B43)&gt;0,"X","")</f>
        <v/>
      </c>
      <c r="AG43" s="114" t="str">
        <f>IF(COUNTIFS(mapping!$B:$B,AG$2,mapping!$D:$D,$B43)&gt;0,"X","")</f>
        <v/>
      </c>
      <c r="AH43" s="114" t="str">
        <f>IF(COUNTIFS(mapping!$B:$B,AH$2,mapping!$D:$D,$B43)&gt;0,"X","")</f>
        <v/>
      </c>
      <c r="AI43" s="114" t="str">
        <f>IF(COUNTIFS(mapping!$B:$B,AI$2,mapping!$D:$D,$B43)&gt;0,"X","")</f>
        <v/>
      </c>
      <c r="AJ43" s="114" t="str">
        <f>IF(COUNTIFS(mapping!$B:$B,AJ$2,mapping!$D:$D,$B43)&gt;0,"X","")</f>
        <v/>
      </c>
      <c r="AK43" s="114" t="str">
        <f>IF(COUNTIFS(mapping!$B:$B,AK$2,mapping!$D:$D,$B43)&gt;0,"X","")</f>
        <v/>
      </c>
      <c r="AL43" s="114" t="str">
        <f>IF(COUNTIFS(mapping!$B:$B,AL$2,mapping!$D:$D,$B43)&gt;0,"X","")</f>
        <v/>
      </c>
      <c r="AM43" s="114" t="str">
        <f>IF(COUNTIFS(mapping!$B:$B,AM$2,mapping!$D:$D,$B43)&gt;0,"X","")</f>
        <v/>
      </c>
      <c r="AN43" s="114" t="str">
        <f>IF(COUNTIFS(mapping!$B:$B,AN$2,mapping!$D:$D,$B43)&gt;0,"X","")</f>
        <v/>
      </c>
      <c r="AO43" s="114" t="str">
        <f>IF(COUNTIFS(mapping!$B:$B,AO$2,mapping!$D:$D,$B43)&gt;0,"X","")</f>
        <v>X</v>
      </c>
      <c r="AP43" s="114" t="str">
        <f>IF(COUNTIFS(mapping!$B:$B,AP$2,mapping!$D:$D,$B43)&gt;0,"X","")</f>
        <v/>
      </c>
      <c r="AQ43" s="114" t="str">
        <f>IF(COUNTIFS(mapping!$B:$B,AQ$2,mapping!$D:$D,$B43)&gt;0,"X","")</f>
        <v>X</v>
      </c>
      <c r="AR43" s="114" t="str">
        <f>IF(COUNTIFS(mapping!$B:$B,AR$2,mapping!$D:$D,$B43)&gt;0,"X","")</f>
        <v/>
      </c>
      <c r="AS43" s="114" t="str">
        <f>IF(COUNTIFS(mapping!$B:$B,AS$2,mapping!$D:$D,$B43)&gt;0,"X","")</f>
        <v/>
      </c>
      <c r="AT43" s="114" t="str">
        <f>IF(COUNTIFS(mapping!$B:$B,AT$2,mapping!$D:$D,$B43)&gt;0,"X","")</f>
        <v/>
      </c>
      <c r="AU43" s="114" t="str">
        <f>IF(COUNTIFS(mapping!$B:$B,AU$2,mapping!$D:$D,$B43)&gt;0,"X","")</f>
        <v/>
      </c>
      <c r="AV43" s="114" t="str">
        <f>IF(COUNTIFS(mapping!$B:$B,AV$2,mapping!$D:$D,$B43)&gt;0,"X","")</f>
        <v/>
      </c>
      <c r="AW43" s="114" t="str">
        <f>IF(COUNTIFS(mapping!$B:$B,AW$2,mapping!$D:$D,$B43)&gt;0,"X","")</f>
        <v/>
      </c>
      <c r="AX43" s="114" t="str">
        <f>IF(COUNTIFS(mapping!$B:$B,AX$2,mapping!$D:$D,$B43)&gt;0,"X","")</f>
        <v/>
      </c>
      <c r="AY43" s="114" t="str">
        <f>IF(COUNTIFS(mapping!$B:$B,AY$2,mapping!$D:$D,$B43)&gt;0,"X","")</f>
        <v/>
      </c>
      <c r="AZ43" s="114" t="str">
        <f>IF(COUNTIFS(mapping!$B:$B,AZ$2,mapping!$D:$D,$B43)&gt;0,"X","")</f>
        <v/>
      </c>
      <c r="BA43" s="114" t="str">
        <f>IF(COUNTIFS(mapping!$B:$B,BA$2,mapping!$D:$D,$B43)&gt;0,"X","")</f>
        <v/>
      </c>
      <c r="BB43" s="114" t="str">
        <f>IF(COUNTIFS(mapping!$B:$B,BB$2,mapping!$D:$D,$B43)&gt;0,"X","")</f>
        <v/>
      </c>
      <c r="BC43" s="114" t="str">
        <f>IF(COUNTIFS(mapping!$B:$B,BC$2,mapping!$D:$D,$B43)&gt;0,"X","")</f>
        <v/>
      </c>
      <c r="BD43" s="114" t="str">
        <f>IF(COUNTIFS(mapping!$B:$B,BD$2,mapping!$D:$D,$B43)&gt;0,"X","")</f>
        <v/>
      </c>
      <c r="BE43" s="114" t="str">
        <f>IF(COUNTIFS(mapping!$B:$B,BE$2,mapping!$D:$D,$B43)&gt;0,"X","")</f>
        <v/>
      </c>
      <c r="BF43" s="114" t="str">
        <f>IF(COUNTIFS(mapping!$B:$B,BF$2,mapping!$D:$D,$B43)&gt;0,"X","")</f>
        <v/>
      </c>
      <c r="BG43" s="114" t="str">
        <f>IF(COUNTIFS(mapping!$B:$B,BG$2,mapping!$D:$D,$B43)&gt;0,"X","")</f>
        <v/>
      </c>
      <c r="BH43" s="114" t="str">
        <f>IF(COUNTIFS(mapping!$B:$B,BH$2,mapping!$D:$D,$B43)&gt;0,"X","")</f>
        <v>X</v>
      </c>
      <c r="BI43" s="114" t="str">
        <f>IF(COUNTIFS(mapping!$B:$B,BI$2,mapping!$D:$D,$B43)&gt;0,"X","")</f>
        <v/>
      </c>
      <c r="BJ43" s="114" t="str">
        <f>IF(COUNTIFS(mapping!$B:$B,BJ$2,mapping!$D:$D,$B43)&gt;0,"X","")</f>
        <v/>
      </c>
      <c r="BK43" s="114" t="str">
        <f>IF(COUNTIFS(mapping!$B:$B,BK$2,mapping!$D:$D,$B43)&gt;0,"X","")</f>
        <v/>
      </c>
      <c r="BL43" s="114" t="str">
        <f>IF(COUNTIFS(mapping!$B:$B,BL$2,mapping!$D:$D,$B43)&gt;0,"X","")</f>
        <v/>
      </c>
      <c r="BM43" s="114" t="str">
        <f>IF(COUNTIFS(mapping!$B:$B,BM$2,mapping!$D:$D,$B43)&gt;0,"X","")</f>
        <v/>
      </c>
      <c r="BN43" s="114" t="str">
        <f>IF(COUNTIFS(mapping!$B:$B,BN$2,mapping!$D:$D,$B43)&gt;0,"X","")</f>
        <v>X</v>
      </c>
      <c r="BO43" s="114" t="str">
        <f>IF(COUNTIFS(mapping!$B:$B,BO$2,mapping!$D:$D,$B43)&gt;0,"X","")</f>
        <v/>
      </c>
      <c r="BP43" s="114" t="str">
        <f>IF(COUNTIFS(mapping!$B:$B,BP$2,mapping!$D:$D,$B43)&gt;0,"X","")</f>
        <v/>
      </c>
      <c r="BQ43" s="114" t="str">
        <f>IF(COUNTIFS(mapping!$B:$B,BQ$2,mapping!$D:$D,$B43)&gt;0,"X","")</f>
        <v/>
      </c>
      <c r="BR43" s="114" t="str">
        <f>IF(COUNTIFS(mapping!$B:$B,BR$2,mapping!$D:$D,$B43)&gt;0,"X","")</f>
        <v>X</v>
      </c>
      <c r="BS43" s="114" t="str">
        <f>IF(COUNTIFS(mapping!$B:$B,BS$2,mapping!$D:$D,$B43)&gt;0,"X","")</f>
        <v>X</v>
      </c>
      <c r="BT43" s="114" t="str">
        <f>IF(COUNTIFS(mapping!$B:$B,BT$2,mapping!$D:$D,$B43)&gt;0,"X","")</f>
        <v>X</v>
      </c>
      <c r="BU43" s="114" t="str">
        <f>IF(COUNTIFS(mapping!$B:$B,BU$2,mapping!$D:$D,$B43)&gt;0,"X","")</f>
        <v/>
      </c>
      <c r="BV43" s="114" t="str">
        <f>IF(COUNTIFS(mapping!$B:$B,BV$2,mapping!$D:$D,$B43)&gt;0,"X","")</f>
        <v/>
      </c>
      <c r="BW43" s="114" t="str">
        <f>IF(COUNTIFS(mapping!$B:$B,BW$2,mapping!$D:$D,$B43)&gt;0,"X","")</f>
        <v/>
      </c>
      <c r="BX43" s="114" t="str">
        <f>IF(COUNTIFS(mapping!$B:$B,BX$2,mapping!$D:$D,$B43)&gt;0,"X","")</f>
        <v>X</v>
      </c>
      <c r="BY43" s="114" t="str">
        <f>IF(COUNTIFS(mapping!$B:$B,BY$2,mapping!$D:$D,$B43)&gt;0,"X","")</f>
        <v/>
      </c>
      <c r="BZ43" s="114" t="str">
        <f>IF(COUNTIFS(mapping!$B:$B,BZ$2,mapping!$D:$D,$B43)&gt;0,"X","")</f>
        <v/>
      </c>
      <c r="CA43" s="114" t="str">
        <f>IF(COUNTIFS(mapping!$B:$B,CA$2,mapping!$D:$D,$B43)&gt;0,"X","")</f>
        <v/>
      </c>
      <c r="CB43" s="114" t="str">
        <f>IF(COUNTIFS(mapping!$B:$B,CB$2,mapping!$D:$D,$B43)&gt;0,"X","")</f>
        <v/>
      </c>
      <c r="CC43" s="114" t="str">
        <f>IF(COUNTIFS(mapping!$B:$B,CC$2,mapping!$D:$D,$B43)&gt;0,"X","")</f>
        <v/>
      </c>
      <c r="CD43" s="114" t="str">
        <f>IF(COUNTIFS(mapping!$B:$B,CD$2,mapping!$D:$D,$B43)&gt;0,"X","")</f>
        <v/>
      </c>
      <c r="CE43" s="114" t="str">
        <f>IF(COUNTIFS(mapping!$B:$B,CE$2,mapping!$D:$D,$B43)&gt;0,"X","")</f>
        <v/>
      </c>
      <c r="CF43" s="114" t="str">
        <f>IF(COUNTIFS(mapping!$B:$B,CF$2,mapping!$D:$D,$B43)&gt;0,"X","")</f>
        <v/>
      </c>
      <c r="CG43" s="114" t="str">
        <f>IF(COUNTIFS(mapping!$B:$B,CG$2,mapping!$D:$D,$B43)&gt;0,"X","")</f>
        <v/>
      </c>
      <c r="CH43" s="114" t="str">
        <f>IF(COUNTIFS(mapping!$B:$B,CH$2,mapping!$D:$D,$B43)&gt;0,"X","")</f>
        <v/>
      </c>
    </row>
    <row r="44" spans="1:86" ht="16">
      <c r="A44" s="257"/>
      <c r="B44" s="122" t="s">
        <v>450</v>
      </c>
      <c r="C44" s="122" t="s">
        <v>449</v>
      </c>
      <c r="E44" s="114" t="str">
        <f>IF(COUNTIFS(mapping!$B:$B,E$2,mapping!$D:$D,$B44)&gt;0,"X","")</f>
        <v/>
      </c>
      <c r="F44" s="114" t="str">
        <f>IF(COUNTIFS(mapping!$B:$B,F$2,mapping!$D:$D,$B44)&gt;0,"X","")</f>
        <v/>
      </c>
      <c r="G44" s="114" t="str">
        <f>IF(COUNTIFS(mapping!$B:$B,G$2,mapping!$D:$D,$B44)&gt;0,"X","")</f>
        <v/>
      </c>
      <c r="H44" s="114" t="str">
        <f>IF(COUNTIFS(mapping!$B:$B,H$2,mapping!$D:$D,$B44)&gt;0,"X","")</f>
        <v/>
      </c>
      <c r="I44" s="114" t="str">
        <f>IF(COUNTIFS(mapping!$B:$B,I$2,mapping!$D:$D,$B44)&gt;0,"X","")</f>
        <v/>
      </c>
      <c r="J44" s="114" t="str">
        <f>IF(COUNTIFS(mapping!$B:$B,J$2,mapping!$D:$D,$B44)&gt;0,"X","")</f>
        <v/>
      </c>
      <c r="K44" s="114" t="str">
        <f>IF(COUNTIFS(mapping!$B:$B,K$2,mapping!$D:$D,$B44)&gt;0,"X","")</f>
        <v/>
      </c>
      <c r="L44" s="114" t="str">
        <f>IF(COUNTIFS(mapping!$B:$B,L$2,mapping!$D:$D,$B44)&gt;0,"X","")</f>
        <v/>
      </c>
      <c r="M44" s="114" t="str">
        <f>IF(COUNTIFS(mapping!$B:$B,M$2,mapping!$D:$D,$B44)&gt;0,"X","")</f>
        <v/>
      </c>
      <c r="N44" s="114" t="str">
        <f>IF(COUNTIFS(mapping!$B:$B,N$2,mapping!$D:$D,$B44)&gt;0,"X","")</f>
        <v/>
      </c>
      <c r="O44" s="114" t="str">
        <f>IF(COUNTIFS(mapping!$B:$B,O$2,mapping!$D:$D,$B44)&gt;0,"X","")</f>
        <v/>
      </c>
      <c r="P44" s="114" t="str">
        <f>IF(COUNTIFS(mapping!$B:$B,P$2,mapping!$D:$D,$B44)&gt;0,"X","")</f>
        <v/>
      </c>
      <c r="Q44" s="114" t="str">
        <f>IF(COUNTIFS(mapping!$B:$B,Q$2,mapping!$D:$D,$B44)&gt;0,"X","")</f>
        <v/>
      </c>
      <c r="R44" s="114" t="str">
        <f>IF(COUNTIFS(mapping!$B:$B,R$2,mapping!$D:$D,$B44)&gt;0,"X","")</f>
        <v/>
      </c>
      <c r="S44" s="114" t="str">
        <f>IF(COUNTIFS(mapping!$B:$B,S$2,mapping!$D:$D,$B44)&gt;0,"X","")</f>
        <v/>
      </c>
      <c r="T44" s="114" t="str">
        <f>IF(COUNTIFS(mapping!$B:$B,T$2,mapping!$D:$D,$B44)&gt;0,"X","")</f>
        <v/>
      </c>
      <c r="U44" s="114" t="str">
        <f>IF(COUNTIFS(mapping!$B:$B,U$2,mapping!$D:$D,$B44)&gt;0,"X","")</f>
        <v/>
      </c>
      <c r="V44" s="114" t="str">
        <f>IF(COUNTIFS(mapping!$B:$B,V$2,mapping!$D:$D,$B44)&gt;0,"X","")</f>
        <v/>
      </c>
      <c r="W44" s="114" t="str">
        <f>IF(COUNTIFS(mapping!$B:$B,W$2,mapping!$D:$D,$B44)&gt;0,"X","")</f>
        <v/>
      </c>
      <c r="X44" s="114" t="str">
        <f>IF(COUNTIFS(mapping!$B:$B,X$2,mapping!$D:$D,$B44)&gt;0,"X","")</f>
        <v/>
      </c>
      <c r="Y44" s="114" t="str">
        <f>IF(COUNTIFS(mapping!$B:$B,Y$2,mapping!$D:$D,$B44)&gt;0,"X","")</f>
        <v/>
      </c>
      <c r="Z44" s="114" t="str">
        <f>IF(COUNTIFS(mapping!$B:$B,Z$2,mapping!$D:$D,$B44)&gt;0,"X","")</f>
        <v/>
      </c>
      <c r="AA44" s="114" t="str">
        <f>IF(COUNTIFS(mapping!$B:$B,AA$2,mapping!$D:$D,$B44)&gt;0,"X","")</f>
        <v/>
      </c>
      <c r="AB44" s="114" t="str">
        <f>IF(COUNTIFS(mapping!$B:$B,AB$2,mapping!$D:$D,$B44)&gt;0,"X","")</f>
        <v/>
      </c>
      <c r="AC44" s="114" t="str">
        <f>IF(COUNTIFS(mapping!$B:$B,AC$2,mapping!$D:$D,$B44)&gt;0,"X","")</f>
        <v/>
      </c>
      <c r="AD44" s="114" t="str">
        <f>IF(COUNTIFS(mapping!$B:$B,AD$2,mapping!$D:$D,$B44)&gt;0,"X","")</f>
        <v/>
      </c>
      <c r="AE44" s="114" t="str">
        <f>IF(COUNTIFS(mapping!$B:$B,AE$2,mapping!$D:$D,$B44)&gt;0,"X","")</f>
        <v/>
      </c>
      <c r="AF44" s="114" t="str">
        <f>IF(COUNTIFS(mapping!$B:$B,AF$2,mapping!$D:$D,$B44)&gt;0,"X","")</f>
        <v/>
      </c>
      <c r="AG44" s="114" t="str">
        <f>IF(COUNTIFS(mapping!$B:$B,AG$2,mapping!$D:$D,$B44)&gt;0,"X","")</f>
        <v/>
      </c>
      <c r="AH44" s="114" t="str">
        <f>IF(COUNTIFS(mapping!$B:$B,AH$2,mapping!$D:$D,$B44)&gt;0,"X","")</f>
        <v/>
      </c>
      <c r="AI44" s="114" t="str">
        <f>IF(COUNTIFS(mapping!$B:$B,AI$2,mapping!$D:$D,$B44)&gt;0,"X","")</f>
        <v/>
      </c>
      <c r="AJ44" s="114" t="str">
        <f>IF(COUNTIFS(mapping!$B:$B,AJ$2,mapping!$D:$D,$B44)&gt;0,"X","")</f>
        <v/>
      </c>
      <c r="AK44" s="114" t="str">
        <f>IF(COUNTIFS(mapping!$B:$B,AK$2,mapping!$D:$D,$B44)&gt;0,"X","")</f>
        <v>X</v>
      </c>
      <c r="AL44" s="114" t="str">
        <f>IF(COUNTIFS(mapping!$B:$B,AL$2,mapping!$D:$D,$B44)&gt;0,"X","")</f>
        <v/>
      </c>
      <c r="AM44" s="114" t="str">
        <f>IF(COUNTIFS(mapping!$B:$B,AM$2,mapping!$D:$D,$B44)&gt;0,"X","")</f>
        <v/>
      </c>
      <c r="AN44" s="114" t="str">
        <f>IF(COUNTIFS(mapping!$B:$B,AN$2,mapping!$D:$D,$B44)&gt;0,"X","")</f>
        <v/>
      </c>
      <c r="AO44" s="114" t="str">
        <f>IF(COUNTIFS(mapping!$B:$B,AO$2,mapping!$D:$D,$B44)&gt;0,"X","")</f>
        <v/>
      </c>
      <c r="AP44" s="114" t="str">
        <f>IF(COUNTIFS(mapping!$B:$B,AP$2,mapping!$D:$D,$B44)&gt;0,"X","")</f>
        <v/>
      </c>
      <c r="AQ44" s="114" t="str">
        <f>IF(COUNTIFS(mapping!$B:$B,AQ$2,mapping!$D:$D,$B44)&gt;0,"X","")</f>
        <v>X</v>
      </c>
      <c r="AR44" s="114" t="str">
        <f>IF(COUNTIFS(mapping!$B:$B,AR$2,mapping!$D:$D,$B44)&gt;0,"X","")</f>
        <v/>
      </c>
      <c r="AS44" s="114" t="str">
        <f>IF(COUNTIFS(mapping!$B:$B,AS$2,mapping!$D:$D,$B44)&gt;0,"X","")</f>
        <v>X</v>
      </c>
      <c r="AT44" s="114" t="str">
        <f>IF(COUNTIFS(mapping!$B:$B,AT$2,mapping!$D:$D,$B44)&gt;0,"X","")</f>
        <v/>
      </c>
      <c r="AU44" s="114" t="str">
        <f>IF(COUNTIFS(mapping!$B:$B,AU$2,mapping!$D:$D,$B44)&gt;0,"X","")</f>
        <v/>
      </c>
      <c r="AV44" s="114" t="str">
        <f>IF(COUNTIFS(mapping!$B:$B,AV$2,mapping!$D:$D,$B44)&gt;0,"X","")</f>
        <v/>
      </c>
      <c r="AW44" s="114" t="str">
        <f>IF(COUNTIFS(mapping!$B:$B,AW$2,mapping!$D:$D,$B44)&gt;0,"X","")</f>
        <v/>
      </c>
      <c r="AX44" s="114" t="str">
        <f>IF(COUNTIFS(mapping!$B:$B,AX$2,mapping!$D:$D,$B44)&gt;0,"X","")</f>
        <v/>
      </c>
      <c r="AY44" s="114" t="str">
        <f>IF(COUNTIFS(mapping!$B:$B,AY$2,mapping!$D:$D,$B44)&gt;0,"X","")</f>
        <v/>
      </c>
      <c r="AZ44" s="114" t="str">
        <f>IF(COUNTIFS(mapping!$B:$B,AZ$2,mapping!$D:$D,$B44)&gt;0,"X","")</f>
        <v/>
      </c>
      <c r="BA44" s="114" t="str">
        <f>IF(COUNTIFS(mapping!$B:$B,BA$2,mapping!$D:$D,$B44)&gt;0,"X","")</f>
        <v/>
      </c>
      <c r="BB44" s="114" t="str">
        <f>IF(COUNTIFS(mapping!$B:$B,BB$2,mapping!$D:$D,$B44)&gt;0,"X","")</f>
        <v/>
      </c>
      <c r="BC44" s="114" t="str">
        <f>IF(COUNTIFS(mapping!$B:$B,BC$2,mapping!$D:$D,$B44)&gt;0,"X","")</f>
        <v/>
      </c>
      <c r="BD44" s="114" t="str">
        <f>IF(COUNTIFS(mapping!$B:$B,BD$2,mapping!$D:$D,$B44)&gt;0,"X","")</f>
        <v/>
      </c>
      <c r="BE44" s="114" t="str">
        <f>IF(COUNTIFS(mapping!$B:$B,BE$2,mapping!$D:$D,$B44)&gt;0,"X","")</f>
        <v/>
      </c>
      <c r="BF44" s="114" t="str">
        <f>IF(COUNTIFS(mapping!$B:$B,BF$2,mapping!$D:$D,$B44)&gt;0,"X","")</f>
        <v/>
      </c>
      <c r="BG44" s="114" t="str">
        <f>IF(COUNTIFS(mapping!$B:$B,BG$2,mapping!$D:$D,$B44)&gt;0,"X","")</f>
        <v/>
      </c>
      <c r="BH44" s="114" t="str">
        <f>IF(COUNTIFS(mapping!$B:$B,BH$2,mapping!$D:$D,$B44)&gt;0,"X","")</f>
        <v/>
      </c>
      <c r="BI44" s="114" t="str">
        <f>IF(COUNTIFS(mapping!$B:$B,BI$2,mapping!$D:$D,$B44)&gt;0,"X","")</f>
        <v/>
      </c>
      <c r="BJ44" s="114" t="str">
        <f>IF(COUNTIFS(mapping!$B:$B,BJ$2,mapping!$D:$D,$B44)&gt;0,"X","")</f>
        <v/>
      </c>
      <c r="BK44" s="114" t="str">
        <f>IF(COUNTIFS(mapping!$B:$B,BK$2,mapping!$D:$D,$B44)&gt;0,"X","")</f>
        <v/>
      </c>
      <c r="BL44" s="114" t="str">
        <f>IF(COUNTIFS(mapping!$B:$B,BL$2,mapping!$D:$D,$B44)&gt;0,"X","")</f>
        <v/>
      </c>
      <c r="BM44" s="114" t="str">
        <f>IF(COUNTIFS(mapping!$B:$B,BM$2,mapping!$D:$D,$B44)&gt;0,"X","")</f>
        <v/>
      </c>
      <c r="BN44" s="114" t="str">
        <f>IF(COUNTIFS(mapping!$B:$B,BN$2,mapping!$D:$D,$B44)&gt;0,"X","")</f>
        <v/>
      </c>
      <c r="BO44" s="114" t="str">
        <f>IF(COUNTIFS(mapping!$B:$B,BO$2,mapping!$D:$D,$B44)&gt;0,"X","")</f>
        <v/>
      </c>
      <c r="BP44" s="114" t="str">
        <f>IF(COUNTIFS(mapping!$B:$B,BP$2,mapping!$D:$D,$B44)&gt;0,"X","")</f>
        <v/>
      </c>
      <c r="BQ44" s="114" t="str">
        <f>IF(COUNTIFS(mapping!$B:$B,BQ$2,mapping!$D:$D,$B44)&gt;0,"X","")</f>
        <v/>
      </c>
      <c r="BR44" s="114" t="str">
        <f>IF(COUNTIFS(mapping!$B:$B,BR$2,mapping!$D:$D,$B44)&gt;0,"X","")</f>
        <v/>
      </c>
      <c r="BS44" s="114" t="str">
        <f>IF(COUNTIFS(mapping!$B:$B,BS$2,mapping!$D:$D,$B44)&gt;0,"X","")</f>
        <v/>
      </c>
      <c r="BT44" s="114" t="str">
        <f>IF(COUNTIFS(mapping!$B:$B,BT$2,mapping!$D:$D,$B44)&gt;0,"X","")</f>
        <v/>
      </c>
      <c r="BU44" s="114" t="str">
        <f>IF(COUNTIFS(mapping!$B:$B,BU$2,mapping!$D:$D,$B44)&gt;0,"X","")</f>
        <v/>
      </c>
      <c r="BV44" s="114" t="str">
        <f>IF(COUNTIFS(mapping!$B:$B,BV$2,mapping!$D:$D,$B44)&gt;0,"X","")</f>
        <v/>
      </c>
      <c r="BW44" s="114" t="str">
        <f>IF(COUNTIFS(mapping!$B:$B,BW$2,mapping!$D:$D,$B44)&gt;0,"X","")</f>
        <v/>
      </c>
      <c r="BX44" s="114" t="str">
        <f>IF(COUNTIFS(mapping!$B:$B,BX$2,mapping!$D:$D,$B44)&gt;0,"X","")</f>
        <v/>
      </c>
      <c r="BY44" s="114" t="str">
        <f>IF(COUNTIFS(mapping!$B:$B,BY$2,mapping!$D:$D,$B44)&gt;0,"X","")</f>
        <v/>
      </c>
      <c r="BZ44" s="114" t="str">
        <f>IF(COUNTIFS(mapping!$B:$B,BZ$2,mapping!$D:$D,$B44)&gt;0,"X","")</f>
        <v/>
      </c>
      <c r="CA44" s="114" t="str">
        <f>IF(COUNTIFS(mapping!$B:$B,CA$2,mapping!$D:$D,$B44)&gt;0,"X","")</f>
        <v/>
      </c>
      <c r="CB44" s="114" t="str">
        <f>IF(COUNTIFS(mapping!$B:$B,CB$2,mapping!$D:$D,$B44)&gt;0,"X","")</f>
        <v/>
      </c>
      <c r="CC44" s="114" t="str">
        <f>IF(COUNTIFS(mapping!$B:$B,CC$2,mapping!$D:$D,$B44)&gt;0,"X","")</f>
        <v/>
      </c>
      <c r="CD44" s="114" t="str">
        <f>IF(COUNTIFS(mapping!$B:$B,CD$2,mapping!$D:$D,$B44)&gt;0,"X","")</f>
        <v/>
      </c>
      <c r="CE44" s="114" t="str">
        <f>IF(COUNTIFS(mapping!$B:$B,CE$2,mapping!$D:$D,$B44)&gt;0,"X","")</f>
        <v/>
      </c>
      <c r="CF44" s="114" t="str">
        <f>IF(COUNTIFS(mapping!$B:$B,CF$2,mapping!$D:$D,$B44)&gt;0,"X","")</f>
        <v/>
      </c>
      <c r="CG44" s="114" t="str">
        <f>IF(COUNTIFS(mapping!$B:$B,CG$2,mapping!$D:$D,$B44)&gt;0,"X","")</f>
        <v/>
      </c>
      <c r="CH44" s="114" t="str">
        <f>IF(COUNTIFS(mapping!$B:$B,CH$2,mapping!$D:$D,$B44)&gt;0,"X","")</f>
        <v/>
      </c>
    </row>
    <row r="45" spans="1:86" ht="16">
      <c r="A45" s="257"/>
      <c r="B45" s="122" t="s">
        <v>448</v>
      </c>
      <c r="C45" s="122" t="s">
        <v>447</v>
      </c>
      <c r="E45" s="114" t="str">
        <f>IF(COUNTIFS(mapping!$B:$B,E$2,mapping!$D:$D,$B45)&gt;0,"X","")</f>
        <v/>
      </c>
      <c r="F45" s="114" t="str">
        <f>IF(COUNTIFS(mapping!$B:$B,F$2,mapping!$D:$D,$B45)&gt;0,"X","")</f>
        <v/>
      </c>
      <c r="G45" s="114" t="str">
        <f>IF(COUNTIFS(mapping!$B:$B,G$2,mapping!$D:$D,$B45)&gt;0,"X","")</f>
        <v/>
      </c>
      <c r="H45" s="114" t="str">
        <f>IF(COUNTIFS(mapping!$B:$B,H$2,mapping!$D:$D,$B45)&gt;0,"X","")</f>
        <v/>
      </c>
      <c r="I45" s="114" t="str">
        <f>IF(COUNTIFS(mapping!$B:$B,I$2,mapping!$D:$D,$B45)&gt;0,"X","")</f>
        <v/>
      </c>
      <c r="J45" s="114" t="str">
        <f>IF(COUNTIFS(mapping!$B:$B,J$2,mapping!$D:$D,$B45)&gt;0,"X","")</f>
        <v/>
      </c>
      <c r="K45" s="114" t="str">
        <f>IF(COUNTIFS(mapping!$B:$B,K$2,mapping!$D:$D,$B45)&gt;0,"X","")</f>
        <v/>
      </c>
      <c r="L45" s="114" t="str">
        <f>IF(COUNTIFS(mapping!$B:$B,L$2,mapping!$D:$D,$B45)&gt;0,"X","")</f>
        <v/>
      </c>
      <c r="M45" s="114" t="str">
        <f>IF(COUNTIFS(mapping!$B:$B,M$2,mapping!$D:$D,$B45)&gt;0,"X","")</f>
        <v/>
      </c>
      <c r="N45" s="114" t="str">
        <f>IF(COUNTIFS(mapping!$B:$B,N$2,mapping!$D:$D,$B45)&gt;0,"X","")</f>
        <v/>
      </c>
      <c r="O45" s="114" t="str">
        <f>IF(COUNTIFS(mapping!$B:$B,O$2,mapping!$D:$D,$B45)&gt;0,"X","")</f>
        <v/>
      </c>
      <c r="P45" s="114" t="str">
        <f>IF(COUNTIFS(mapping!$B:$B,P$2,mapping!$D:$D,$B45)&gt;0,"X","")</f>
        <v/>
      </c>
      <c r="Q45" s="114" t="str">
        <f>IF(COUNTIFS(mapping!$B:$B,Q$2,mapping!$D:$D,$B45)&gt;0,"X","")</f>
        <v/>
      </c>
      <c r="R45" s="114" t="str">
        <f>IF(COUNTIFS(mapping!$B:$B,R$2,mapping!$D:$D,$B45)&gt;0,"X","")</f>
        <v/>
      </c>
      <c r="S45" s="114" t="str">
        <f>IF(COUNTIFS(mapping!$B:$B,S$2,mapping!$D:$D,$B45)&gt;0,"X","")</f>
        <v/>
      </c>
      <c r="T45" s="114" t="str">
        <f>IF(COUNTIFS(mapping!$B:$B,T$2,mapping!$D:$D,$B45)&gt;0,"X","")</f>
        <v/>
      </c>
      <c r="U45" s="114" t="str">
        <f>IF(COUNTIFS(mapping!$B:$B,U$2,mapping!$D:$D,$B45)&gt;0,"X","")</f>
        <v/>
      </c>
      <c r="V45" s="114" t="str">
        <f>IF(COUNTIFS(mapping!$B:$B,V$2,mapping!$D:$D,$B45)&gt;0,"X","")</f>
        <v/>
      </c>
      <c r="W45" s="114" t="str">
        <f>IF(COUNTIFS(mapping!$B:$B,W$2,mapping!$D:$D,$B45)&gt;0,"X","")</f>
        <v>X</v>
      </c>
      <c r="X45" s="114" t="str">
        <f>IF(COUNTIFS(mapping!$B:$B,X$2,mapping!$D:$D,$B45)&gt;0,"X","")</f>
        <v/>
      </c>
      <c r="Y45" s="114" t="str">
        <f>IF(COUNTIFS(mapping!$B:$B,Y$2,mapping!$D:$D,$B45)&gt;0,"X","")</f>
        <v/>
      </c>
      <c r="Z45" s="114" t="str">
        <f>IF(COUNTIFS(mapping!$B:$B,Z$2,mapping!$D:$D,$B45)&gt;0,"X","")</f>
        <v/>
      </c>
      <c r="AA45" s="114" t="str">
        <f>IF(COUNTIFS(mapping!$B:$B,AA$2,mapping!$D:$D,$B45)&gt;0,"X","")</f>
        <v/>
      </c>
      <c r="AB45" s="114" t="str">
        <f>IF(COUNTIFS(mapping!$B:$B,AB$2,mapping!$D:$D,$B45)&gt;0,"X","")</f>
        <v/>
      </c>
      <c r="AC45" s="114" t="str">
        <f>IF(COUNTIFS(mapping!$B:$B,AC$2,mapping!$D:$D,$B45)&gt;0,"X","")</f>
        <v/>
      </c>
      <c r="AD45" s="114" t="str">
        <f>IF(COUNTIFS(mapping!$B:$B,AD$2,mapping!$D:$D,$B45)&gt;0,"X","")</f>
        <v/>
      </c>
      <c r="AE45" s="114" t="str">
        <f>IF(COUNTIFS(mapping!$B:$B,AE$2,mapping!$D:$D,$B45)&gt;0,"X","")</f>
        <v/>
      </c>
      <c r="AF45" s="114" t="str">
        <f>IF(COUNTIFS(mapping!$B:$B,AF$2,mapping!$D:$D,$B45)&gt;0,"X","")</f>
        <v/>
      </c>
      <c r="AG45" s="114" t="str">
        <f>IF(COUNTIFS(mapping!$B:$B,AG$2,mapping!$D:$D,$B45)&gt;0,"X","")</f>
        <v/>
      </c>
      <c r="AH45" s="114" t="str">
        <f>IF(COUNTIFS(mapping!$B:$B,AH$2,mapping!$D:$D,$B45)&gt;0,"X","")</f>
        <v/>
      </c>
      <c r="AI45" s="114" t="str">
        <f>IF(COUNTIFS(mapping!$B:$B,AI$2,mapping!$D:$D,$B45)&gt;0,"X","")</f>
        <v/>
      </c>
      <c r="AJ45" s="114" t="str">
        <f>IF(COUNTIFS(mapping!$B:$B,AJ$2,mapping!$D:$D,$B45)&gt;0,"X","")</f>
        <v/>
      </c>
      <c r="AK45" s="114" t="str">
        <f>IF(COUNTIFS(mapping!$B:$B,AK$2,mapping!$D:$D,$B45)&gt;0,"X","")</f>
        <v/>
      </c>
      <c r="AL45" s="114" t="str">
        <f>IF(COUNTIFS(mapping!$B:$B,AL$2,mapping!$D:$D,$B45)&gt;0,"X","")</f>
        <v/>
      </c>
      <c r="AM45" s="114" t="str">
        <f>IF(COUNTIFS(mapping!$B:$B,AM$2,mapping!$D:$D,$B45)&gt;0,"X","")</f>
        <v/>
      </c>
      <c r="AN45" s="114" t="str">
        <f>IF(COUNTIFS(mapping!$B:$B,AN$2,mapping!$D:$D,$B45)&gt;0,"X","")</f>
        <v>X</v>
      </c>
      <c r="AO45" s="114" t="str">
        <f>IF(COUNTIFS(mapping!$B:$B,AO$2,mapping!$D:$D,$B45)&gt;0,"X","")</f>
        <v>X</v>
      </c>
      <c r="AP45" s="114" t="str">
        <f>IF(COUNTIFS(mapping!$B:$B,AP$2,mapping!$D:$D,$B45)&gt;0,"X","")</f>
        <v>X</v>
      </c>
      <c r="AQ45" s="114" t="str">
        <f>IF(COUNTIFS(mapping!$B:$B,AQ$2,mapping!$D:$D,$B45)&gt;0,"X","")</f>
        <v/>
      </c>
      <c r="AR45" s="114" t="str">
        <f>IF(COUNTIFS(mapping!$B:$B,AR$2,mapping!$D:$D,$B45)&gt;0,"X","")</f>
        <v/>
      </c>
      <c r="AS45" s="114" t="str">
        <f>IF(COUNTIFS(mapping!$B:$B,AS$2,mapping!$D:$D,$B45)&gt;0,"X","")</f>
        <v/>
      </c>
      <c r="AT45" s="114" t="str">
        <f>IF(COUNTIFS(mapping!$B:$B,AT$2,mapping!$D:$D,$B45)&gt;0,"X","")</f>
        <v/>
      </c>
      <c r="AU45" s="114" t="str">
        <f>IF(COUNTIFS(mapping!$B:$B,AU$2,mapping!$D:$D,$B45)&gt;0,"X","")</f>
        <v/>
      </c>
      <c r="AV45" s="114" t="str">
        <f>IF(COUNTIFS(mapping!$B:$B,AV$2,mapping!$D:$D,$B45)&gt;0,"X","")</f>
        <v/>
      </c>
      <c r="AW45" s="114" t="str">
        <f>IF(COUNTIFS(mapping!$B:$B,AW$2,mapping!$D:$D,$B45)&gt;0,"X","")</f>
        <v/>
      </c>
      <c r="AX45" s="114" t="str">
        <f>IF(COUNTIFS(mapping!$B:$B,AX$2,mapping!$D:$D,$B45)&gt;0,"X","")</f>
        <v/>
      </c>
      <c r="AY45" s="114" t="str">
        <f>IF(COUNTIFS(mapping!$B:$B,AY$2,mapping!$D:$D,$B45)&gt;0,"X","")</f>
        <v/>
      </c>
      <c r="AZ45" s="114" t="str">
        <f>IF(COUNTIFS(mapping!$B:$B,AZ$2,mapping!$D:$D,$B45)&gt;0,"X","")</f>
        <v/>
      </c>
      <c r="BA45" s="114" t="str">
        <f>IF(COUNTIFS(mapping!$B:$B,BA$2,mapping!$D:$D,$B45)&gt;0,"X","")</f>
        <v/>
      </c>
      <c r="BB45" s="114" t="str">
        <f>IF(COUNTIFS(mapping!$B:$B,BB$2,mapping!$D:$D,$B45)&gt;0,"X","")</f>
        <v/>
      </c>
      <c r="BC45" s="114" t="str">
        <f>IF(COUNTIFS(mapping!$B:$B,BC$2,mapping!$D:$D,$B45)&gt;0,"X","")</f>
        <v/>
      </c>
      <c r="BD45" s="114" t="str">
        <f>IF(COUNTIFS(mapping!$B:$B,BD$2,mapping!$D:$D,$B45)&gt;0,"X","")</f>
        <v/>
      </c>
      <c r="BE45" s="114" t="str">
        <f>IF(COUNTIFS(mapping!$B:$B,BE$2,mapping!$D:$D,$B45)&gt;0,"X","")</f>
        <v/>
      </c>
      <c r="BF45" s="114" t="str">
        <f>IF(COUNTIFS(mapping!$B:$B,BF$2,mapping!$D:$D,$B45)&gt;0,"X","")</f>
        <v/>
      </c>
      <c r="BG45" s="114" t="str">
        <f>IF(COUNTIFS(mapping!$B:$B,BG$2,mapping!$D:$D,$B45)&gt;0,"X","")</f>
        <v/>
      </c>
      <c r="BH45" s="114" t="str">
        <f>IF(COUNTIFS(mapping!$B:$B,BH$2,mapping!$D:$D,$B45)&gt;0,"X","")</f>
        <v/>
      </c>
      <c r="BI45" s="114" t="str">
        <f>IF(COUNTIFS(mapping!$B:$B,BI$2,mapping!$D:$D,$B45)&gt;0,"X","")</f>
        <v/>
      </c>
      <c r="BJ45" s="114" t="str">
        <f>IF(COUNTIFS(mapping!$B:$B,BJ$2,mapping!$D:$D,$B45)&gt;0,"X","")</f>
        <v/>
      </c>
      <c r="BK45" s="114" t="str">
        <f>IF(COUNTIFS(mapping!$B:$B,BK$2,mapping!$D:$D,$B45)&gt;0,"X","")</f>
        <v/>
      </c>
      <c r="BL45" s="114" t="str">
        <f>IF(COUNTIFS(mapping!$B:$B,BL$2,mapping!$D:$D,$B45)&gt;0,"X","")</f>
        <v/>
      </c>
      <c r="BM45" s="114" t="str">
        <f>IF(COUNTIFS(mapping!$B:$B,BM$2,mapping!$D:$D,$B45)&gt;0,"X","")</f>
        <v/>
      </c>
      <c r="BN45" s="114" t="str">
        <f>IF(COUNTIFS(mapping!$B:$B,BN$2,mapping!$D:$D,$B45)&gt;0,"X","")</f>
        <v/>
      </c>
      <c r="BO45" s="114" t="str">
        <f>IF(COUNTIFS(mapping!$B:$B,BO$2,mapping!$D:$D,$B45)&gt;0,"X","")</f>
        <v/>
      </c>
      <c r="BP45" s="114" t="str">
        <f>IF(COUNTIFS(mapping!$B:$B,BP$2,mapping!$D:$D,$B45)&gt;0,"X","")</f>
        <v/>
      </c>
      <c r="BQ45" s="114" t="str">
        <f>IF(COUNTIFS(mapping!$B:$B,BQ$2,mapping!$D:$D,$B45)&gt;0,"X","")</f>
        <v/>
      </c>
      <c r="BR45" s="114" t="str">
        <f>IF(COUNTIFS(mapping!$B:$B,BR$2,mapping!$D:$D,$B45)&gt;0,"X","")</f>
        <v/>
      </c>
      <c r="BS45" s="114" t="str">
        <f>IF(COUNTIFS(mapping!$B:$B,BS$2,mapping!$D:$D,$B45)&gt;0,"X","")</f>
        <v/>
      </c>
      <c r="BT45" s="114" t="str">
        <f>IF(COUNTIFS(mapping!$B:$B,BT$2,mapping!$D:$D,$B45)&gt;0,"X","")</f>
        <v/>
      </c>
      <c r="BU45" s="114" t="str">
        <f>IF(COUNTIFS(mapping!$B:$B,BU$2,mapping!$D:$D,$B45)&gt;0,"X","")</f>
        <v/>
      </c>
      <c r="BV45" s="114" t="str">
        <f>IF(COUNTIFS(mapping!$B:$B,BV$2,mapping!$D:$D,$B45)&gt;0,"X","")</f>
        <v/>
      </c>
      <c r="BW45" s="114" t="str">
        <f>IF(COUNTIFS(mapping!$B:$B,BW$2,mapping!$D:$D,$B45)&gt;0,"X","")</f>
        <v/>
      </c>
      <c r="BX45" s="114" t="str">
        <f>IF(COUNTIFS(mapping!$B:$B,BX$2,mapping!$D:$D,$B45)&gt;0,"X","")</f>
        <v>X</v>
      </c>
      <c r="BY45" s="114" t="str">
        <f>IF(COUNTIFS(mapping!$B:$B,BY$2,mapping!$D:$D,$B45)&gt;0,"X","")</f>
        <v/>
      </c>
      <c r="BZ45" s="114" t="str">
        <f>IF(COUNTIFS(mapping!$B:$B,BZ$2,mapping!$D:$D,$B45)&gt;0,"X","")</f>
        <v/>
      </c>
      <c r="CA45" s="114" t="str">
        <f>IF(COUNTIFS(mapping!$B:$B,CA$2,mapping!$D:$D,$B45)&gt;0,"X","")</f>
        <v/>
      </c>
      <c r="CB45" s="114" t="str">
        <f>IF(COUNTIFS(mapping!$B:$B,CB$2,mapping!$D:$D,$B45)&gt;0,"X","")</f>
        <v/>
      </c>
      <c r="CC45" s="114" t="str">
        <f>IF(COUNTIFS(mapping!$B:$B,CC$2,mapping!$D:$D,$B45)&gt;0,"X","")</f>
        <v/>
      </c>
      <c r="CD45" s="114" t="str">
        <f>IF(COUNTIFS(mapping!$B:$B,CD$2,mapping!$D:$D,$B45)&gt;0,"X","")</f>
        <v/>
      </c>
      <c r="CE45" s="114" t="str">
        <f>IF(COUNTIFS(mapping!$B:$B,CE$2,mapping!$D:$D,$B45)&gt;0,"X","")</f>
        <v/>
      </c>
      <c r="CF45" s="114" t="str">
        <f>IF(COUNTIFS(mapping!$B:$B,CF$2,mapping!$D:$D,$B45)&gt;0,"X","")</f>
        <v/>
      </c>
      <c r="CG45" s="114" t="str">
        <f>IF(COUNTIFS(mapping!$B:$B,CG$2,mapping!$D:$D,$B45)&gt;0,"X","")</f>
        <v/>
      </c>
      <c r="CH45" s="114" t="str">
        <f>IF(COUNTIFS(mapping!$B:$B,CH$2,mapping!$D:$D,$B45)&gt;0,"X","")</f>
        <v/>
      </c>
    </row>
    <row r="46" spans="1:86" ht="16">
      <c r="A46" s="257"/>
      <c r="B46" s="122" t="s">
        <v>446</v>
      </c>
      <c r="C46" s="122" t="s">
        <v>445</v>
      </c>
      <c r="E46" s="114" t="str">
        <f>IF(COUNTIFS(mapping!$B:$B,E$2,mapping!$D:$D,$B46)&gt;0,"X","")</f>
        <v/>
      </c>
      <c r="F46" s="114" t="str">
        <f>IF(COUNTIFS(mapping!$B:$B,F$2,mapping!$D:$D,$B46)&gt;0,"X","")</f>
        <v/>
      </c>
      <c r="G46" s="114" t="str">
        <f>IF(COUNTIFS(mapping!$B:$B,G$2,mapping!$D:$D,$B46)&gt;0,"X","")</f>
        <v/>
      </c>
      <c r="H46" s="114" t="str">
        <f>IF(COUNTIFS(mapping!$B:$B,H$2,mapping!$D:$D,$B46)&gt;0,"X","")</f>
        <v/>
      </c>
      <c r="I46" s="114" t="str">
        <f>IF(COUNTIFS(mapping!$B:$B,I$2,mapping!$D:$D,$B46)&gt;0,"X","")</f>
        <v/>
      </c>
      <c r="J46" s="114" t="str">
        <f>IF(COUNTIFS(mapping!$B:$B,J$2,mapping!$D:$D,$B46)&gt;0,"X","")</f>
        <v/>
      </c>
      <c r="K46" s="114" t="str">
        <f>IF(COUNTIFS(mapping!$B:$B,K$2,mapping!$D:$D,$B46)&gt;0,"X","")</f>
        <v/>
      </c>
      <c r="L46" s="114" t="str">
        <f>IF(COUNTIFS(mapping!$B:$B,L$2,mapping!$D:$D,$B46)&gt;0,"X","")</f>
        <v/>
      </c>
      <c r="M46" s="114" t="str">
        <f>IF(COUNTIFS(mapping!$B:$B,M$2,mapping!$D:$D,$B46)&gt;0,"X","")</f>
        <v/>
      </c>
      <c r="N46" s="114" t="str">
        <f>IF(COUNTIFS(mapping!$B:$B,N$2,mapping!$D:$D,$B46)&gt;0,"X","")</f>
        <v/>
      </c>
      <c r="O46" s="114" t="str">
        <f>IF(COUNTIFS(mapping!$B:$B,O$2,mapping!$D:$D,$B46)&gt;0,"X","")</f>
        <v/>
      </c>
      <c r="P46" s="114" t="str">
        <f>IF(COUNTIFS(mapping!$B:$B,P$2,mapping!$D:$D,$B46)&gt;0,"X","")</f>
        <v/>
      </c>
      <c r="Q46" s="114" t="str">
        <f>IF(COUNTIFS(mapping!$B:$B,Q$2,mapping!$D:$D,$B46)&gt;0,"X","")</f>
        <v/>
      </c>
      <c r="R46" s="114" t="str">
        <f>IF(COUNTIFS(mapping!$B:$B,R$2,mapping!$D:$D,$B46)&gt;0,"X","")</f>
        <v/>
      </c>
      <c r="S46" s="114" t="str">
        <f>IF(COUNTIFS(mapping!$B:$B,S$2,mapping!$D:$D,$B46)&gt;0,"X","")</f>
        <v/>
      </c>
      <c r="T46" s="114" t="str">
        <f>IF(COUNTIFS(mapping!$B:$B,T$2,mapping!$D:$D,$B46)&gt;0,"X","")</f>
        <v/>
      </c>
      <c r="U46" s="114" t="str">
        <f>IF(COUNTIFS(mapping!$B:$B,U$2,mapping!$D:$D,$B46)&gt;0,"X","")</f>
        <v/>
      </c>
      <c r="V46" s="114" t="str">
        <f>IF(COUNTIFS(mapping!$B:$B,V$2,mapping!$D:$D,$B46)&gt;0,"X","")</f>
        <v/>
      </c>
      <c r="W46" s="114" t="str">
        <f>IF(COUNTIFS(mapping!$B:$B,W$2,mapping!$D:$D,$B46)&gt;0,"X","")</f>
        <v/>
      </c>
      <c r="X46" s="114" t="str">
        <f>IF(COUNTIFS(mapping!$B:$B,X$2,mapping!$D:$D,$B46)&gt;0,"X","")</f>
        <v/>
      </c>
      <c r="Y46" s="114" t="str">
        <f>IF(COUNTIFS(mapping!$B:$B,Y$2,mapping!$D:$D,$B46)&gt;0,"X","")</f>
        <v/>
      </c>
      <c r="Z46" s="114" t="str">
        <f>IF(COUNTIFS(mapping!$B:$B,Z$2,mapping!$D:$D,$B46)&gt;0,"X","")</f>
        <v/>
      </c>
      <c r="AA46" s="114" t="str">
        <f>IF(COUNTIFS(mapping!$B:$B,AA$2,mapping!$D:$D,$B46)&gt;0,"X","")</f>
        <v/>
      </c>
      <c r="AB46" s="114" t="str">
        <f>IF(COUNTIFS(mapping!$B:$B,AB$2,mapping!$D:$D,$B46)&gt;0,"X","")</f>
        <v/>
      </c>
      <c r="AC46" s="114" t="str">
        <f>IF(COUNTIFS(mapping!$B:$B,AC$2,mapping!$D:$D,$B46)&gt;0,"X","")</f>
        <v/>
      </c>
      <c r="AD46" s="114" t="str">
        <f>IF(COUNTIFS(mapping!$B:$B,AD$2,mapping!$D:$D,$B46)&gt;0,"X","")</f>
        <v/>
      </c>
      <c r="AE46" s="114" t="str">
        <f>IF(COUNTIFS(mapping!$B:$B,AE$2,mapping!$D:$D,$B46)&gt;0,"X","")</f>
        <v/>
      </c>
      <c r="AF46" s="114" t="str">
        <f>IF(COUNTIFS(mapping!$B:$B,AF$2,mapping!$D:$D,$B46)&gt;0,"X","")</f>
        <v/>
      </c>
      <c r="AG46" s="114" t="str">
        <f>IF(COUNTIFS(mapping!$B:$B,AG$2,mapping!$D:$D,$B46)&gt;0,"X","")</f>
        <v/>
      </c>
      <c r="AH46" s="114" t="str">
        <f>IF(COUNTIFS(mapping!$B:$B,AH$2,mapping!$D:$D,$B46)&gt;0,"X","")</f>
        <v/>
      </c>
      <c r="AI46" s="114" t="str">
        <f>IF(COUNTIFS(mapping!$B:$B,AI$2,mapping!$D:$D,$B46)&gt;0,"X","")</f>
        <v/>
      </c>
      <c r="AJ46" s="114" t="str">
        <f>IF(COUNTIFS(mapping!$B:$B,AJ$2,mapping!$D:$D,$B46)&gt;0,"X","")</f>
        <v/>
      </c>
      <c r="AK46" s="114" t="str">
        <f>IF(COUNTIFS(mapping!$B:$B,AK$2,mapping!$D:$D,$B46)&gt;0,"X","")</f>
        <v/>
      </c>
      <c r="AL46" s="114" t="str">
        <f>IF(COUNTIFS(mapping!$B:$B,AL$2,mapping!$D:$D,$B46)&gt;0,"X","")</f>
        <v/>
      </c>
      <c r="AM46" s="114" t="str">
        <f>IF(COUNTIFS(mapping!$B:$B,AM$2,mapping!$D:$D,$B46)&gt;0,"X","")</f>
        <v/>
      </c>
      <c r="AN46" s="114" t="str">
        <f>IF(COUNTIFS(mapping!$B:$B,AN$2,mapping!$D:$D,$B46)&gt;0,"X","")</f>
        <v>X</v>
      </c>
      <c r="AO46" s="114" t="str">
        <f>IF(COUNTIFS(mapping!$B:$B,AO$2,mapping!$D:$D,$B46)&gt;0,"X","")</f>
        <v/>
      </c>
      <c r="AP46" s="114" t="str">
        <f>IF(COUNTIFS(mapping!$B:$B,AP$2,mapping!$D:$D,$B46)&gt;0,"X","")</f>
        <v/>
      </c>
      <c r="AQ46" s="114" t="str">
        <f>IF(COUNTIFS(mapping!$B:$B,AQ$2,mapping!$D:$D,$B46)&gt;0,"X","")</f>
        <v/>
      </c>
      <c r="AR46" s="114" t="str">
        <f>IF(COUNTIFS(mapping!$B:$B,AR$2,mapping!$D:$D,$B46)&gt;0,"X","")</f>
        <v/>
      </c>
      <c r="AS46" s="114" t="str">
        <f>IF(COUNTIFS(mapping!$B:$B,AS$2,mapping!$D:$D,$B46)&gt;0,"X","")</f>
        <v>X</v>
      </c>
      <c r="AT46" s="114" t="str">
        <f>IF(COUNTIFS(mapping!$B:$B,AT$2,mapping!$D:$D,$B46)&gt;0,"X","")</f>
        <v/>
      </c>
      <c r="AU46" s="114" t="str">
        <f>IF(COUNTIFS(mapping!$B:$B,AU$2,mapping!$D:$D,$B46)&gt;0,"X","")</f>
        <v/>
      </c>
      <c r="AV46" s="114" t="str">
        <f>IF(COUNTIFS(mapping!$B:$B,AV$2,mapping!$D:$D,$B46)&gt;0,"X","")</f>
        <v/>
      </c>
      <c r="AW46" s="114" t="str">
        <f>IF(COUNTIFS(mapping!$B:$B,AW$2,mapping!$D:$D,$B46)&gt;0,"X","")</f>
        <v/>
      </c>
      <c r="AX46" s="114" t="str">
        <f>IF(COUNTIFS(mapping!$B:$B,AX$2,mapping!$D:$D,$B46)&gt;0,"X","")</f>
        <v/>
      </c>
      <c r="AY46" s="114" t="str">
        <f>IF(COUNTIFS(mapping!$B:$B,AY$2,mapping!$D:$D,$B46)&gt;0,"X","")</f>
        <v/>
      </c>
      <c r="AZ46" s="114" t="str">
        <f>IF(COUNTIFS(mapping!$B:$B,AZ$2,mapping!$D:$D,$B46)&gt;0,"X","")</f>
        <v/>
      </c>
      <c r="BA46" s="114" t="str">
        <f>IF(COUNTIFS(mapping!$B:$B,BA$2,mapping!$D:$D,$B46)&gt;0,"X","")</f>
        <v/>
      </c>
      <c r="BB46" s="114" t="str">
        <f>IF(COUNTIFS(mapping!$B:$B,BB$2,mapping!$D:$D,$B46)&gt;0,"X","")</f>
        <v/>
      </c>
      <c r="BC46" s="114" t="str">
        <f>IF(COUNTIFS(mapping!$B:$B,BC$2,mapping!$D:$D,$B46)&gt;0,"X","")</f>
        <v/>
      </c>
      <c r="BD46" s="114" t="str">
        <f>IF(COUNTIFS(mapping!$B:$B,BD$2,mapping!$D:$D,$B46)&gt;0,"X","")</f>
        <v/>
      </c>
      <c r="BE46" s="114" t="str">
        <f>IF(COUNTIFS(mapping!$B:$B,BE$2,mapping!$D:$D,$B46)&gt;0,"X","")</f>
        <v/>
      </c>
      <c r="BF46" s="114" t="str">
        <f>IF(COUNTIFS(mapping!$B:$B,BF$2,mapping!$D:$D,$B46)&gt;0,"X","")</f>
        <v/>
      </c>
      <c r="BG46" s="114" t="str">
        <f>IF(COUNTIFS(mapping!$B:$B,BG$2,mapping!$D:$D,$B46)&gt;0,"X","")</f>
        <v/>
      </c>
      <c r="BH46" s="114" t="str">
        <f>IF(COUNTIFS(mapping!$B:$B,BH$2,mapping!$D:$D,$B46)&gt;0,"X","")</f>
        <v/>
      </c>
      <c r="BI46" s="114" t="str">
        <f>IF(COUNTIFS(mapping!$B:$B,BI$2,mapping!$D:$D,$B46)&gt;0,"X","")</f>
        <v/>
      </c>
      <c r="BJ46" s="114" t="str">
        <f>IF(COUNTIFS(mapping!$B:$B,BJ$2,mapping!$D:$D,$B46)&gt;0,"X","")</f>
        <v/>
      </c>
      <c r="BK46" s="114" t="str">
        <f>IF(COUNTIFS(mapping!$B:$B,BK$2,mapping!$D:$D,$B46)&gt;0,"X","")</f>
        <v/>
      </c>
      <c r="BL46" s="114" t="str">
        <f>IF(COUNTIFS(mapping!$B:$B,BL$2,mapping!$D:$D,$B46)&gt;0,"X","")</f>
        <v/>
      </c>
      <c r="BM46" s="114" t="str">
        <f>IF(COUNTIFS(mapping!$B:$B,BM$2,mapping!$D:$D,$B46)&gt;0,"X","")</f>
        <v/>
      </c>
      <c r="BN46" s="114" t="str">
        <f>IF(COUNTIFS(mapping!$B:$B,BN$2,mapping!$D:$D,$B46)&gt;0,"X","")</f>
        <v/>
      </c>
      <c r="BO46" s="114" t="str">
        <f>IF(COUNTIFS(mapping!$B:$B,BO$2,mapping!$D:$D,$B46)&gt;0,"X","")</f>
        <v/>
      </c>
      <c r="BP46" s="114" t="str">
        <f>IF(COUNTIFS(mapping!$B:$B,BP$2,mapping!$D:$D,$B46)&gt;0,"X","")</f>
        <v/>
      </c>
      <c r="BQ46" s="114" t="str">
        <f>IF(COUNTIFS(mapping!$B:$B,BQ$2,mapping!$D:$D,$B46)&gt;0,"X","")</f>
        <v/>
      </c>
      <c r="BR46" s="114" t="str">
        <f>IF(COUNTIFS(mapping!$B:$B,BR$2,mapping!$D:$D,$B46)&gt;0,"X","")</f>
        <v/>
      </c>
      <c r="BS46" s="114" t="str">
        <f>IF(COUNTIFS(mapping!$B:$B,BS$2,mapping!$D:$D,$B46)&gt;0,"X","")</f>
        <v/>
      </c>
      <c r="BT46" s="114" t="str">
        <f>IF(COUNTIFS(mapping!$B:$B,BT$2,mapping!$D:$D,$B46)&gt;0,"X","")</f>
        <v/>
      </c>
      <c r="BU46" s="114" t="str">
        <f>IF(COUNTIFS(mapping!$B:$B,BU$2,mapping!$D:$D,$B46)&gt;0,"X","")</f>
        <v/>
      </c>
      <c r="BV46" s="114" t="str">
        <f>IF(COUNTIFS(mapping!$B:$B,BV$2,mapping!$D:$D,$B46)&gt;0,"X","")</f>
        <v/>
      </c>
      <c r="BW46" s="114" t="str">
        <f>IF(COUNTIFS(mapping!$B:$B,BW$2,mapping!$D:$D,$B46)&gt;0,"X","")</f>
        <v/>
      </c>
      <c r="BX46" s="114" t="str">
        <f>IF(COUNTIFS(mapping!$B:$B,BX$2,mapping!$D:$D,$B46)&gt;0,"X","")</f>
        <v/>
      </c>
      <c r="BY46" s="114" t="str">
        <f>IF(COUNTIFS(mapping!$B:$B,BY$2,mapping!$D:$D,$B46)&gt;0,"X","")</f>
        <v/>
      </c>
      <c r="BZ46" s="114" t="str">
        <f>IF(COUNTIFS(mapping!$B:$B,BZ$2,mapping!$D:$D,$B46)&gt;0,"X","")</f>
        <v/>
      </c>
      <c r="CA46" s="114" t="str">
        <f>IF(COUNTIFS(mapping!$B:$B,CA$2,mapping!$D:$D,$B46)&gt;0,"X","")</f>
        <v/>
      </c>
      <c r="CB46" s="114" t="str">
        <f>IF(COUNTIFS(mapping!$B:$B,CB$2,mapping!$D:$D,$B46)&gt;0,"X","")</f>
        <v/>
      </c>
      <c r="CC46" s="114" t="str">
        <f>IF(COUNTIFS(mapping!$B:$B,CC$2,mapping!$D:$D,$B46)&gt;0,"X","")</f>
        <v/>
      </c>
      <c r="CD46" s="114" t="str">
        <f>IF(COUNTIFS(mapping!$B:$B,CD$2,mapping!$D:$D,$B46)&gt;0,"X","")</f>
        <v/>
      </c>
      <c r="CE46" s="114" t="str">
        <f>IF(COUNTIFS(mapping!$B:$B,CE$2,mapping!$D:$D,$B46)&gt;0,"X","")</f>
        <v/>
      </c>
      <c r="CF46" s="114" t="str">
        <f>IF(COUNTIFS(mapping!$B:$B,CF$2,mapping!$D:$D,$B46)&gt;0,"X","")</f>
        <v/>
      </c>
      <c r="CG46" s="114" t="str">
        <f>IF(COUNTIFS(mapping!$B:$B,CG$2,mapping!$D:$D,$B46)&gt;0,"X","")</f>
        <v/>
      </c>
      <c r="CH46" s="114" t="str">
        <f>IF(COUNTIFS(mapping!$B:$B,CH$2,mapping!$D:$D,$B46)&gt;0,"X","")</f>
        <v/>
      </c>
    </row>
    <row r="47" spans="1:86" ht="16">
      <c r="A47" s="257"/>
      <c r="B47" s="122" t="s">
        <v>444</v>
      </c>
      <c r="C47" s="122" t="s">
        <v>443</v>
      </c>
      <c r="E47" s="114" t="str">
        <f>IF(COUNTIFS(mapping!$B:$B,E$2,mapping!$D:$D,$B47)&gt;0,"X","")</f>
        <v/>
      </c>
      <c r="F47" s="114" t="str">
        <f>IF(COUNTIFS(mapping!$B:$B,F$2,mapping!$D:$D,$B47)&gt;0,"X","")</f>
        <v/>
      </c>
      <c r="G47" s="114" t="str">
        <f>IF(COUNTIFS(mapping!$B:$B,G$2,mapping!$D:$D,$B47)&gt;0,"X","")</f>
        <v/>
      </c>
      <c r="H47" s="114" t="str">
        <f>IF(COUNTIFS(mapping!$B:$B,H$2,mapping!$D:$D,$B47)&gt;0,"X","")</f>
        <v/>
      </c>
      <c r="I47" s="114" t="str">
        <f>IF(COUNTIFS(mapping!$B:$B,I$2,mapping!$D:$D,$B47)&gt;0,"X","")</f>
        <v/>
      </c>
      <c r="J47" s="114" t="str">
        <f>IF(COUNTIFS(mapping!$B:$B,J$2,mapping!$D:$D,$B47)&gt;0,"X","")</f>
        <v/>
      </c>
      <c r="K47" s="114" t="str">
        <f>IF(COUNTIFS(mapping!$B:$B,K$2,mapping!$D:$D,$B47)&gt;0,"X","")</f>
        <v/>
      </c>
      <c r="L47" s="114" t="str">
        <f>IF(COUNTIFS(mapping!$B:$B,L$2,mapping!$D:$D,$B47)&gt;0,"X","")</f>
        <v/>
      </c>
      <c r="M47" s="114" t="str">
        <f>IF(COUNTIFS(mapping!$B:$B,M$2,mapping!$D:$D,$B47)&gt;0,"X","")</f>
        <v>X</v>
      </c>
      <c r="N47" s="114" t="str">
        <f>IF(COUNTIFS(mapping!$B:$B,N$2,mapping!$D:$D,$B47)&gt;0,"X","")</f>
        <v/>
      </c>
      <c r="O47" s="114" t="str">
        <f>IF(COUNTIFS(mapping!$B:$B,O$2,mapping!$D:$D,$B47)&gt;0,"X","")</f>
        <v/>
      </c>
      <c r="P47" s="114" t="str">
        <f>IF(COUNTIFS(mapping!$B:$B,P$2,mapping!$D:$D,$B47)&gt;0,"X","")</f>
        <v/>
      </c>
      <c r="Q47" s="114" t="str">
        <f>IF(COUNTIFS(mapping!$B:$B,Q$2,mapping!$D:$D,$B47)&gt;0,"X","")</f>
        <v/>
      </c>
      <c r="R47" s="114" t="str">
        <f>IF(COUNTIFS(mapping!$B:$B,R$2,mapping!$D:$D,$B47)&gt;0,"X","")</f>
        <v/>
      </c>
      <c r="S47" s="114" t="str">
        <f>IF(COUNTIFS(mapping!$B:$B,S$2,mapping!$D:$D,$B47)&gt;0,"X","")</f>
        <v/>
      </c>
      <c r="T47" s="114" t="str">
        <f>IF(COUNTIFS(mapping!$B:$B,T$2,mapping!$D:$D,$B47)&gt;0,"X","")</f>
        <v/>
      </c>
      <c r="U47" s="114" t="str">
        <f>IF(COUNTIFS(mapping!$B:$B,U$2,mapping!$D:$D,$B47)&gt;0,"X","")</f>
        <v/>
      </c>
      <c r="V47" s="114" t="str">
        <f>IF(COUNTIFS(mapping!$B:$B,V$2,mapping!$D:$D,$B47)&gt;0,"X","")</f>
        <v/>
      </c>
      <c r="W47" s="114" t="str">
        <f>IF(COUNTIFS(mapping!$B:$B,W$2,mapping!$D:$D,$B47)&gt;0,"X","")</f>
        <v/>
      </c>
      <c r="X47" s="114" t="str">
        <f>IF(COUNTIFS(mapping!$B:$B,X$2,mapping!$D:$D,$B47)&gt;0,"X","")</f>
        <v/>
      </c>
      <c r="Y47" s="114" t="str">
        <f>IF(COUNTIFS(mapping!$B:$B,Y$2,mapping!$D:$D,$B47)&gt;0,"X","")</f>
        <v/>
      </c>
      <c r="Z47" s="114" t="str">
        <f>IF(COUNTIFS(mapping!$B:$B,Z$2,mapping!$D:$D,$B47)&gt;0,"X","")</f>
        <v/>
      </c>
      <c r="AA47" s="114" t="str">
        <f>IF(COUNTIFS(mapping!$B:$B,AA$2,mapping!$D:$D,$B47)&gt;0,"X","")</f>
        <v/>
      </c>
      <c r="AB47" s="114" t="str">
        <f>IF(COUNTIFS(mapping!$B:$B,AB$2,mapping!$D:$D,$B47)&gt;0,"X","")</f>
        <v/>
      </c>
      <c r="AC47" s="114" t="str">
        <f>IF(COUNTIFS(mapping!$B:$B,AC$2,mapping!$D:$D,$B47)&gt;0,"X","")</f>
        <v/>
      </c>
      <c r="AD47" s="114" t="str">
        <f>IF(COUNTIFS(mapping!$B:$B,AD$2,mapping!$D:$D,$B47)&gt;0,"X","")</f>
        <v/>
      </c>
      <c r="AE47" s="114" t="str">
        <f>IF(COUNTIFS(mapping!$B:$B,AE$2,mapping!$D:$D,$B47)&gt;0,"X","")</f>
        <v/>
      </c>
      <c r="AF47" s="114" t="str">
        <f>IF(COUNTIFS(mapping!$B:$B,AF$2,mapping!$D:$D,$B47)&gt;0,"X","")</f>
        <v/>
      </c>
      <c r="AG47" s="114" t="str">
        <f>IF(COUNTIFS(mapping!$B:$B,AG$2,mapping!$D:$D,$B47)&gt;0,"X","")</f>
        <v/>
      </c>
      <c r="AH47" s="114" t="str">
        <f>IF(COUNTIFS(mapping!$B:$B,AH$2,mapping!$D:$D,$B47)&gt;0,"X","")</f>
        <v/>
      </c>
      <c r="AI47" s="114" t="str">
        <f>IF(COUNTIFS(mapping!$B:$B,AI$2,mapping!$D:$D,$B47)&gt;0,"X","")</f>
        <v/>
      </c>
      <c r="AJ47" s="114" t="str">
        <f>IF(COUNTIFS(mapping!$B:$B,AJ$2,mapping!$D:$D,$B47)&gt;0,"X","")</f>
        <v/>
      </c>
      <c r="AK47" s="114" t="str">
        <f>IF(COUNTIFS(mapping!$B:$B,AK$2,mapping!$D:$D,$B47)&gt;0,"X","")</f>
        <v/>
      </c>
      <c r="AL47" s="114" t="str">
        <f>IF(COUNTIFS(mapping!$B:$B,AL$2,mapping!$D:$D,$B47)&gt;0,"X","")</f>
        <v/>
      </c>
      <c r="AM47" s="114" t="str">
        <f>IF(COUNTIFS(mapping!$B:$B,AM$2,mapping!$D:$D,$B47)&gt;0,"X","")</f>
        <v/>
      </c>
      <c r="AN47" s="114" t="str">
        <f>IF(COUNTIFS(mapping!$B:$B,AN$2,mapping!$D:$D,$B47)&gt;0,"X","")</f>
        <v/>
      </c>
      <c r="AO47" s="114" t="str">
        <f>IF(COUNTIFS(mapping!$B:$B,AO$2,mapping!$D:$D,$B47)&gt;0,"X","")</f>
        <v/>
      </c>
      <c r="AP47" s="114" t="str">
        <f>IF(COUNTIFS(mapping!$B:$B,AP$2,mapping!$D:$D,$B47)&gt;0,"X","")</f>
        <v/>
      </c>
      <c r="AQ47" s="114" t="str">
        <f>IF(COUNTIFS(mapping!$B:$B,AQ$2,mapping!$D:$D,$B47)&gt;0,"X","")</f>
        <v/>
      </c>
      <c r="AR47" s="114" t="str">
        <f>IF(COUNTIFS(mapping!$B:$B,AR$2,mapping!$D:$D,$B47)&gt;0,"X","")</f>
        <v/>
      </c>
      <c r="AS47" s="114" t="str">
        <f>IF(COUNTIFS(mapping!$B:$B,AS$2,mapping!$D:$D,$B47)&gt;0,"X","")</f>
        <v/>
      </c>
      <c r="AT47" s="114" t="str">
        <f>IF(COUNTIFS(mapping!$B:$B,AT$2,mapping!$D:$D,$B47)&gt;0,"X","")</f>
        <v/>
      </c>
      <c r="AU47" s="114" t="str">
        <f>IF(COUNTIFS(mapping!$B:$B,AU$2,mapping!$D:$D,$B47)&gt;0,"X","")</f>
        <v/>
      </c>
      <c r="AV47" s="114" t="str">
        <f>IF(COUNTIFS(mapping!$B:$B,AV$2,mapping!$D:$D,$B47)&gt;0,"X","")</f>
        <v/>
      </c>
      <c r="AW47" s="114" t="str">
        <f>IF(COUNTIFS(mapping!$B:$B,AW$2,mapping!$D:$D,$B47)&gt;0,"X","")</f>
        <v/>
      </c>
      <c r="AX47" s="114" t="str">
        <f>IF(COUNTIFS(mapping!$B:$B,AX$2,mapping!$D:$D,$B47)&gt;0,"X","")</f>
        <v/>
      </c>
      <c r="AY47" s="114" t="str">
        <f>IF(COUNTIFS(mapping!$B:$B,AY$2,mapping!$D:$D,$B47)&gt;0,"X","")</f>
        <v/>
      </c>
      <c r="AZ47" s="114" t="str">
        <f>IF(COUNTIFS(mapping!$B:$B,AZ$2,mapping!$D:$D,$B47)&gt;0,"X","")</f>
        <v/>
      </c>
      <c r="BA47" s="114" t="str">
        <f>IF(COUNTIFS(mapping!$B:$B,BA$2,mapping!$D:$D,$B47)&gt;0,"X","")</f>
        <v/>
      </c>
      <c r="BB47" s="114" t="str">
        <f>IF(COUNTIFS(mapping!$B:$B,BB$2,mapping!$D:$D,$B47)&gt;0,"X","")</f>
        <v/>
      </c>
      <c r="BC47" s="114" t="str">
        <f>IF(COUNTIFS(mapping!$B:$B,BC$2,mapping!$D:$D,$B47)&gt;0,"X","")</f>
        <v/>
      </c>
      <c r="BD47" s="114" t="str">
        <f>IF(COUNTIFS(mapping!$B:$B,BD$2,mapping!$D:$D,$B47)&gt;0,"X","")</f>
        <v/>
      </c>
      <c r="BE47" s="114" t="str">
        <f>IF(COUNTIFS(mapping!$B:$B,BE$2,mapping!$D:$D,$B47)&gt;0,"X","")</f>
        <v/>
      </c>
      <c r="BF47" s="114" t="str">
        <f>IF(COUNTIFS(mapping!$B:$B,BF$2,mapping!$D:$D,$B47)&gt;0,"X","")</f>
        <v/>
      </c>
      <c r="BG47" s="114" t="str">
        <f>IF(COUNTIFS(mapping!$B:$B,BG$2,mapping!$D:$D,$B47)&gt;0,"X","")</f>
        <v/>
      </c>
      <c r="BH47" s="114" t="str">
        <f>IF(COUNTIFS(mapping!$B:$B,BH$2,mapping!$D:$D,$B47)&gt;0,"X","")</f>
        <v/>
      </c>
      <c r="BI47" s="114" t="str">
        <f>IF(COUNTIFS(mapping!$B:$B,BI$2,mapping!$D:$D,$B47)&gt;0,"X","")</f>
        <v/>
      </c>
      <c r="BJ47" s="114" t="str">
        <f>IF(COUNTIFS(mapping!$B:$B,BJ$2,mapping!$D:$D,$B47)&gt;0,"X","")</f>
        <v/>
      </c>
      <c r="BK47" s="114" t="str">
        <f>IF(COUNTIFS(mapping!$B:$B,BK$2,mapping!$D:$D,$B47)&gt;0,"X","")</f>
        <v/>
      </c>
      <c r="BL47" s="114" t="str">
        <f>IF(COUNTIFS(mapping!$B:$B,BL$2,mapping!$D:$D,$B47)&gt;0,"X","")</f>
        <v>X</v>
      </c>
      <c r="BM47" s="114" t="str">
        <f>IF(COUNTIFS(mapping!$B:$B,BM$2,mapping!$D:$D,$B47)&gt;0,"X","")</f>
        <v/>
      </c>
      <c r="BN47" s="114" t="str">
        <f>IF(COUNTIFS(mapping!$B:$B,BN$2,mapping!$D:$D,$B47)&gt;0,"X","")</f>
        <v/>
      </c>
      <c r="BO47" s="114" t="str">
        <f>IF(COUNTIFS(mapping!$B:$B,BO$2,mapping!$D:$D,$B47)&gt;0,"X","")</f>
        <v/>
      </c>
      <c r="BP47" s="114" t="str">
        <f>IF(COUNTIFS(mapping!$B:$B,BP$2,mapping!$D:$D,$B47)&gt;0,"X","")</f>
        <v/>
      </c>
      <c r="BQ47" s="114" t="str">
        <f>IF(COUNTIFS(mapping!$B:$B,BQ$2,mapping!$D:$D,$B47)&gt;0,"X","")</f>
        <v/>
      </c>
      <c r="BR47" s="114" t="str">
        <f>IF(COUNTIFS(mapping!$B:$B,BR$2,mapping!$D:$D,$B47)&gt;0,"X","")</f>
        <v/>
      </c>
      <c r="BS47" s="114" t="str">
        <f>IF(COUNTIFS(mapping!$B:$B,BS$2,mapping!$D:$D,$B47)&gt;0,"X","")</f>
        <v/>
      </c>
      <c r="BT47" s="114" t="str">
        <f>IF(COUNTIFS(mapping!$B:$B,BT$2,mapping!$D:$D,$B47)&gt;0,"X","")</f>
        <v/>
      </c>
      <c r="BU47" s="114" t="str">
        <f>IF(COUNTIFS(mapping!$B:$B,BU$2,mapping!$D:$D,$B47)&gt;0,"X","")</f>
        <v/>
      </c>
      <c r="BV47" s="114" t="str">
        <f>IF(COUNTIFS(mapping!$B:$B,BV$2,mapping!$D:$D,$B47)&gt;0,"X","")</f>
        <v/>
      </c>
      <c r="BW47" s="114" t="str">
        <f>IF(COUNTIFS(mapping!$B:$B,BW$2,mapping!$D:$D,$B47)&gt;0,"X","")</f>
        <v/>
      </c>
      <c r="BX47" s="114" t="str">
        <f>IF(COUNTIFS(mapping!$B:$B,BX$2,mapping!$D:$D,$B47)&gt;0,"X","")</f>
        <v/>
      </c>
      <c r="BY47" s="114" t="str">
        <f>IF(COUNTIFS(mapping!$B:$B,BY$2,mapping!$D:$D,$B47)&gt;0,"X","")</f>
        <v/>
      </c>
      <c r="BZ47" s="114" t="str">
        <f>IF(COUNTIFS(mapping!$B:$B,BZ$2,mapping!$D:$D,$B47)&gt;0,"X","")</f>
        <v/>
      </c>
      <c r="CA47" s="114" t="str">
        <f>IF(COUNTIFS(mapping!$B:$B,CA$2,mapping!$D:$D,$B47)&gt;0,"X","")</f>
        <v/>
      </c>
      <c r="CB47" s="114" t="str">
        <f>IF(COUNTIFS(mapping!$B:$B,CB$2,mapping!$D:$D,$B47)&gt;0,"X","")</f>
        <v/>
      </c>
      <c r="CC47" s="114" t="str">
        <f>IF(COUNTIFS(mapping!$B:$B,CC$2,mapping!$D:$D,$B47)&gt;0,"X","")</f>
        <v/>
      </c>
      <c r="CD47" s="114" t="str">
        <f>IF(COUNTIFS(mapping!$B:$B,CD$2,mapping!$D:$D,$B47)&gt;0,"X","")</f>
        <v/>
      </c>
      <c r="CE47" s="114" t="str">
        <f>IF(COUNTIFS(mapping!$B:$B,CE$2,mapping!$D:$D,$B47)&gt;0,"X","")</f>
        <v/>
      </c>
      <c r="CF47" s="114" t="str">
        <f>IF(COUNTIFS(mapping!$B:$B,CF$2,mapping!$D:$D,$B47)&gt;0,"X","")</f>
        <v/>
      </c>
      <c r="CG47" s="114" t="str">
        <f>IF(COUNTIFS(mapping!$B:$B,CG$2,mapping!$D:$D,$B47)&gt;0,"X","")</f>
        <v/>
      </c>
      <c r="CH47" s="114" t="str">
        <f>IF(COUNTIFS(mapping!$B:$B,CH$2,mapping!$D:$D,$B47)&gt;0,"X","")</f>
        <v/>
      </c>
    </row>
    <row r="48" spans="1:86" ht="16">
      <c r="A48" s="257"/>
      <c r="B48" s="125" t="s">
        <v>442</v>
      </c>
      <c r="C48" s="125" t="s">
        <v>441</v>
      </c>
      <c r="E48" s="114" t="str">
        <f>IF(COUNTIFS(mapping!$B:$B,E$2,mapping!$D:$D,$B48)&gt;0,"X","")</f>
        <v/>
      </c>
      <c r="F48" s="114" t="str">
        <f>IF(COUNTIFS(mapping!$B:$B,F$2,mapping!$D:$D,$B48)&gt;0,"X","")</f>
        <v/>
      </c>
      <c r="G48" s="114" t="str">
        <f>IF(COUNTIFS(mapping!$B:$B,G$2,mapping!$D:$D,$B48)&gt;0,"X","")</f>
        <v/>
      </c>
      <c r="H48" s="114" t="str">
        <f>IF(COUNTIFS(mapping!$B:$B,H$2,mapping!$D:$D,$B48)&gt;0,"X","")</f>
        <v/>
      </c>
      <c r="I48" s="114" t="str">
        <f>IF(COUNTIFS(mapping!$B:$B,I$2,mapping!$D:$D,$B48)&gt;0,"X","")</f>
        <v/>
      </c>
      <c r="J48" s="114" t="str">
        <f>IF(COUNTIFS(mapping!$B:$B,J$2,mapping!$D:$D,$B48)&gt;0,"X","")</f>
        <v/>
      </c>
      <c r="K48" s="114" t="str">
        <f>IF(COUNTIFS(mapping!$B:$B,K$2,mapping!$D:$D,$B48)&gt;0,"X","")</f>
        <v/>
      </c>
      <c r="L48" s="114" t="str">
        <f>IF(COUNTIFS(mapping!$B:$B,L$2,mapping!$D:$D,$B48)&gt;0,"X","")</f>
        <v/>
      </c>
      <c r="M48" s="114" t="str">
        <f>IF(COUNTIFS(mapping!$B:$B,M$2,mapping!$D:$D,$B48)&gt;0,"X","")</f>
        <v/>
      </c>
      <c r="N48" s="114" t="str">
        <f>IF(COUNTIFS(mapping!$B:$B,N$2,mapping!$D:$D,$B48)&gt;0,"X","")</f>
        <v/>
      </c>
      <c r="O48" s="114" t="str">
        <f>IF(COUNTIFS(mapping!$B:$B,O$2,mapping!$D:$D,$B48)&gt;0,"X","")</f>
        <v/>
      </c>
      <c r="P48" s="114" t="str">
        <f>IF(COUNTIFS(mapping!$B:$B,P$2,mapping!$D:$D,$B48)&gt;0,"X","")</f>
        <v/>
      </c>
      <c r="Q48" s="114" t="str">
        <f>IF(COUNTIFS(mapping!$B:$B,Q$2,mapping!$D:$D,$B48)&gt;0,"X","")</f>
        <v/>
      </c>
      <c r="R48" s="114" t="str">
        <f>IF(COUNTIFS(mapping!$B:$B,R$2,mapping!$D:$D,$B48)&gt;0,"X","")</f>
        <v/>
      </c>
      <c r="S48" s="114" t="str">
        <f>IF(COUNTIFS(mapping!$B:$B,S$2,mapping!$D:$D,$B48)&gt;0,"X","")</f>
        <v/>
      </c>
      <c r="T48" s="114" t="str">
        <f>IF(COUNTIFS(mapping!$B:$B,T$2,mapping!$D:$D,$B48)&gt;0,"X","")</f>
        <v/>
      </c>
      <c r="U48" s="114" t="str">
        <f>IF(COUNTIFS(mapping!$B:$B,U$2,mapping!$D:$D,$B48)&gt;0,"X","")</f>
        <v/>
      </c>
      <c r="V48" s="114" t="str">
        <f>IF(COUNTIFS(mapping!$B:$B,V$2,mapping!$D:$D,$B48)&gt;0,"X","")</f>
        <v>X</v>
      </c>
      <c r="W48" s="114" t="str">
        <f>IF(COUNTIFS(mapping!$B:$B,W$2,mapping!$D:$D,$B48)&gt;0,"X","")</f>
        <v/>
      </c>
      <c r="X48" s="114" t="str">
        <f>IF(COUNTIFS(mapping!$B:$B,X$2,mapping!$D:$D,$B48)&gt;0,"X","")</f>
        <v/>
      </c>
      <c r="Y48" s="114" t="str">
        <f>IF(COUNTIFS(mapping!$B:$B,Y$2,mapping!$D:$D,$B48)&gt;0,"X","")</f>
        <v/>
      </c>
      <c r="Z48" s="114" t="str">
        <f>IF(COUNTIFS(mapping!$B:$B,Z$2,mapping!$D:$D,$B48)&gt;0,"X","")</f>
        <v/>
      </c>
      <c r="AA48" s="114" t="str">
        <f>IF(COUNTIFS(mapping!$B:$B,AA$2,mapping!$D:$D,$B48)&gt;0,"X","")</f>
        <v/>
      </c>
      <c r="AB48" s="114" t="str">
        <f>IF(COUNTIFS(mapping!$B:$B,AB$2,mapping!$D:$D,$B48)&gt;0,"X","")</f>
        <v>X</v>
      </c>
      <c r="AC48" s="114" t="str">
        <f>IF(COUNTIFS(mapping!$B:$B,AC$2,mapping!$D:$D,$B48)&gt;0,"X","")</f>
        <v/>
      </c>
      <c r="AD48" s="114" t="str">
        <f>IF(COUNTIFS(mapping!$B:$B,AD$2,mapping!$D:$D,$B48)&gt;0,"X","")</f>
        <v/>
      </c>
      <c r="AE48" s="114" t="str">
        <f>IF(COUNTIFS(mapping!$B:$B,AE$2,mapping!$D:$D,$B48)&gt;0,"X","")</f>
        <v/>
      </c>
      <c r="AF48" s="114" t="str">
        <f>IF(COUNTIFS(mapping!$B:$B,AF$2,mapping!$D:$D,$B48)&gt;0,"X","")</f>
        <v/>
      </c>
      <c r="AG48" s="114" t="str">
        <f>IF(COUNTIFS(mapping!$B:$B,AG$2,mapping!$D:$D,$B48)&gt;0,"X","")</f>
        <v/>
      </c>
      <c r="AH48" s="114" t="str">
        <f>IF(COUNTIFS(mapping!$B:$B,AH$2,mapping!$D:$D,$B48)&gt;0,"X","")</f>
        <v/>
      </c>
      <c r="AI48" s="114" t="str">
        <f>IF(COUNTIFS(mapping!$B:$B,AI$2,mapping!$D:$D,$B48)&gt;0,"X","")</f>
        <v/>
      </c>
      <c r="AJ48" s="114" t="str">
        <f>IF(COUNTIFS(mapping!$B:$B,AJ$2,mapping!$D:$D,$B48)&gt;0,"X","")</f>
        <v/>
      </c>
      <c r="AK48" s="114" t="str">
        <f>IF(COUNTIFS(mapping!$B:$B,AK$2,mapping!$D:$D,$B48)&gt;0,"X","")</f>
        <v/>
      </c>
      <c r="AL48" s="114" t="str">
        <f>IF(COUNTIFS(mapping!$B:$B,AL$2,mapping!$D:$D,$B48)&gt;0,"X","")</f>
        <v/>
      </c>
      <c r="AM48" s="114" t="str">
        <f>IF(COUNTIFS(mapping!$B:$B,AM$2,mapping!$D:$D,$B48)&gt;0,"X","")</f>
        <v/>
      </c>
      <c r="AN48" s="114" t="str">
        <f>IF(COUNTIFS(mapping!$B:$B,AN$2,mapping!$D:$D,$B48)&gt;0,"X","")</f>
        <v/>
      </c>
      <c r="AO48" s="114" t="str">
        <f>IF(COUNTIFS(mapping!$B:$B,AO$2,mapping!$D:$D,$B48)&gt;0,"X","")</f>
        <v/>
      </c>
      <c r="AP48" s="114" t="str">
        <f>IF(COUNTIFS(mapping!$B:$B,AP$2,mapping!$D:$D,$B48)&gt;0,"X","")</f>
        <v/>
      </c>
      <c r="AQ48" s="114" t="str">
        <f>IF(COUNTIFS(mapping!$B:$B,AQ$2,mapping!$D:$D,$B48)&gt;0,"X","")</f>
        <v>X</v>
      </c>
      <c r="AR48" s="114" t="str">
        <f>IF(COUNTIFS(mapping!$B:$B,AR$2,mapping!$D:$D,$B48)&gt;0,"X","")</f>
        <v/>
      </c>
      <c r="AS48" s="114" t="str">
        <f>IF(COUNTIFS(mapping!$B:$B,AS$2,mapping!$D:$D,$B48)&gt;0,"X","")</f>
        <v/>
      </c>
      <c r="AT48" s="114" t="str">
        <f>IF(COUNTIFS(mapping!$B:$B,AT$2,mapping!$D:$D,$B48)&gt;0,"X","")</f>
        <v/>
      </c>
      <c r="AU48" s="114" t="str">
        <f>IF(COUNTIFS(mapping!$B:$B,AU$2,mapping!$D:$D,$B48)&gt;0,"X","")</f>
        <v/>
      </c>
      <c r="AV48" s="114" t="str">
        <f>IF(COUNTIFS(mapping!$B:$B,AV$2,mapping!$D:$D,$B48)&gt;0,"X","")</f>
        <v/>
      </c>
      <c r="AW48" s="114" t="str">
        <f>IF(COUNTIFS(mapping!$B:$B,AW$2,mapping!$D:$D,$B48)&gt;0,"X","")</f>
        <v/>
      </c>
      <c r="AX48" s="114" t="str">
        <f>IF(COUNTIFS(mapping!$B:$B,AX$2,mapping!$D:$D,$B48)&gt;0,"X","")</f>
        <v/>
      </c>
      <c r="AY48" s="114" t="str">
        <f>IF(COUNTIFS(mapping!$B:$B,AY$2,mapping!$D:$D,$B48)&gt;0,"X","")</f>
        <v/>
      </c>
      <c r="AZ48" s="114" t="str">
        <f>IF(COUNTIFS(mapping!$B:$B,AZ$2,mapping!$D:$D,$B48)&gt;0,"X","")</f>
        <v/>
      </c>
      <c r="BA48" s="114" t="str">
        <f>IF(COUNTIFS(mapping!$B:$B,BA$2,mapping!$D:$D,$B48)&gt;0,"X","")</f>
        <v/>
      </c>
      <c r="BB48" s="114" t="str">
        <f>IF(COUNTIFS(mapping!$B:$B,BB$2,mapping!$D:$D,$B48)&gt;0,"X","")</f>
        <v/>
      </c>
      <c r="BC48" s="114" t="str">
        <f>IF(COUNTIFS(mapping!$B:$B,BC$2,mapping!$D:$D,$B48)&gt;0,"X","")</f>
        <v/>
      </c>
      <c r="BD48" s="114" t="str">
        <f>IF(COUNTIFS(mapping!$B:$B,BD$2,mapping!$D:$D,$B48)&gt;0,"X","")</f>
        <v/>
      </c>
      <c r="BE48" s="114" t="str">
        <f>IF(COUNTIFS(mapping!$B:$B,BE$2,mapping!$D:$D,$B48)&gt;0,"X","")</f>
        <v/>
      </c>
      <c r="BF48" s="114" t="str">
        <f>IF(COUNTIFS(mapping!$B:$B,BF$2,mapping!$D:$D,$B48)&gt;0,"X","")</f>
        <v/>
      </c>
      <c r="BG48" s="114" t="str">
        <f>IF(COUNTIFS(mapping!$B:$B,BG$2,mapping!$D:$D,$B48)&gt;0,"X","")</f>
        <v/>
      </c>
      <c r="BH48" s="114" t="str">
        <f>IF(COUNTIFS(mapping!$B:$B,BH$2,mapping!$D:$D,$B48)&gt;0,"X","")</f>
        <v>X</v>
      </c>
      <c r="BI48" s="114" t="str">
        <f>IF(COUNTIFS(mapping!$B:$B,BI$2,mapping!$D:$D,$B48)&gt;0,"X","")</f>
        <v/>
      </c>
      <c r="BJ48" s="114" t="str">
        <f>IF(COUNTIFS(mapping!$B:$B,BJ$2,mapping!$D:$D,$B48)&gt;0,"X","")</f>
        <v/>
      </c>
      <c r="BK48" s="114" t="str">
        <f>IF(COUNTIFS(mapping!$B:$B,BK$2,mapping!$D:$D,$B48)&gt;0,"X","")</f>
        <v/>
      </c>
      <c r="BL48" s="114" t="str">
        <f>IF(COUNTIFS(mapping!$B:$B,BL$2,mapping!$D:$D,$B48)&gt;0,"X","")</f>
        <v/>
      </c>
      <c r="BM48" s="114" t="str">
        <f>IF(COUNTIFS(mapping!$B:$B,BM$2,mapping!$D:$D,$B48)&gt;0,"X","")</f>
        <v/>
      </c>
      <c r="BN48" s="114" t="str">
        <f>IF(COUNTIFS(mapping!$B:$B,BN$2,mapping!$D:$D,$B48)&gt;0,"X","")</f>
        <v>X</v>
      </c>
      <c r="BO48" s="114" t="str">
        <f>IF(COUNTIFS(mapping!$B:$B,BO$2,mapping!$D:$D,$B48)&gt;0,"X","")</f>
        <v/>
      </c>
      <c r="BP48" s="114" t="str">
        <f>IF(COUNTIFS(mapping!$B:$B,BP$2,mapping!$D:$D,$B48)&gt;0,"X","")</f>
        <v/>
      </c>
      <c r="BQ48" s="114" t="str">
        <f>IF(COUNTIFS(mapping!$B:$B,BQ$2,mapping!$D:$D,$B48)&gt;0,"X","")</f>
        <v/>
      </c>
      <c r="BR48" s="114" t="str">
        <f>IF(COUNTIFS(mapping!$B:$B,BR$2,mapping!$D:$D,$B48)&gt;0,"X","")</f>
        <v>X</v>
      </c>
      <c r="BS48" s="114" t="str">
        <f>IF(COUNTIFS(mapping!$B:$B,BS$2,mapping!$D:$D,$B48)&gt;0,"X","")</f>
        <v/>
      </c>
      <c r="BT48" s="114" t="str">
        <f>IF(COUNTIFS(mapping!$B:$B,BT$2,mapping!$D:$D,$B48)&gt;0,"X","")</f>
        <v/>
      </c>
      <c r="BU48" s="114" t="str">
        <f>IF(COUNTIFS(mapping!$B:$B,BU$2,mapping!$D:$D,$B48)&gt;0,"X","")</f>
        <v/>
      </c>
      <c r="BV48" s="114" t="str">
        <f>IF(COUNTIFS(mapping!$B:$B,BV$2,mapping!$D:$D,$B48)&gt;0,"X","")</f>
        <v/>
      </c>
      <c r="BW48" s="114" t="str">
        <f>IF(COUNTIFS(mapping!$B:$B,BW$2,mapping!$D:$D,$B48)&gt;0,"X","")</f>
        <v/>
      </c>
      <c r="BX48" s="114" t="str">
        <f>IF(COUNTIFS(mapping!$B:$B,BX$2,mapping!$D:$D,$B48)&gt;0,"X","")</f>
        <v/>
      </c>
      <c r="BY48" s="114" t="str">
        <f>IF(COUNTIFS(mapping!$B:$B,BY$2,mapping!$D:$D,$B48)&gt;0,"X","")</f>
        <v/>
      </c>
      <c r="BZ48" s="114" t="str">
        <f>IF(COUNTIFS(mapping!$B:$B,BZ$2,mapping!$D:$D,$B48)&gt;0,"X","")</f>
        <v/>
      </c>
      <c r="CA48" s="114" t="str">
        <f>IF(COUNTIFS(mapping!$B:$B,CA$2,mapping!$D:$D,$B48)&gt;0,"X","")</f>
        <v/>
      </c>
      <c r="CB48" s="114" t="str">
        <f>IF(COUNTIFS(mapping!$B:$B,CB$2,mapping!$D:$D,$B48)&gt;0,"X","")</f>
        <v/>
      </c>
      <c r="CC48" s="114" t="str">
        <f>IF(COUNTIFS(mapping!$B:$B,CC$2,mapping!$D:$D,$B48)&gt;0,"X","")</f>
        <v/>
      </c>
      <c r="CD48" s="114" t="str">
        <f>IF(COUNTIFS(mapping!$B:$B,CD$2,mapping!$D:$D,$B48)&gt;0,"X","")</f>
        <v/>
      </c>
      <c r="CE48" s="114" t="str">
        <f>IF(COUNTIFS(mapping!$B:$B,CE$2,mapping!$D:$D,$B48)&gt;0,"X","")</f>
        <v/>
      </c>
      <c r="CF48" s="114" t="str">
        <f>IF(COUNTIFS(mapping!$B:$B,CF$2,mapping!$D:$D,$B48)&gt;0,"X","")</f>
        <v/>
      </c>
      <c r="CG48" s="114" t="str">
        <f>IF(COUNTIFS(mapping!$B:$B,CG$2,mapping!$D:$D,$B48)&gt;0,"X","")</f>
        <v/>
      </c>
      <c r="CH48" s="114" t="str">
        <f>IF(COUNTIFS(mapping!$B:$B,CH$2,mapping!$D:$D,$B48)&gt;0,"X","")</f>
        <v/>
      </c>
    </row>
    <row r="49" spans="1:86" ht="16">
      <c r="A49" s="257" t="s">
        <v>440</v>
      </c>
      <c r="B49" s="122" t="s">
        <v>439</v>
      </c>
      <c r="C49" s="122" t="s">
        <v>438</v>
      </c>
      <c r="E49" s="114" t="str">
        <f>IF(COUNTIFS(mapping!$B:$B,E$2,mapping!$D:$D,$B49)&gt;0,"X","")</f>
        <v/>
      </c>
      <c r="F49" s="114" t="str">
        <f>IF(COUNTIFS(mapping!$B:$B,F$2,mapping!$D:$D,$B49)&gt;0,"X","")</f>
        <v/>
      </c>
      <c r="G49" s="114" t="str">
        <f>IF(COUNTIFS(mapping!$B:$B,G$2,mapping!$D:$D,$B49)&gt;0,"X","")</f>
        <v/>
      </c>
      <c r="H49" s="114" t="str">
        <f>IF(COUNTIFS(mapping!$B:$B,H$2,mapping!$D:$D,$B49)&gt;0,"X","")</f>
        <v/>
      </c>
      <c r="I49" s="114" t="str">
        <f>IF(COUNTIFS(mapping!$B:$B,I$2,mapping!$D:$D,$B49)&gt;0,"X","")</f>
        <v/>
      </c>
      <c r="J49" s="114" t="str">
        <f>IF(COUNTIFS(mapping!$B:$B,J$2,mapping!$D:$D,$B49)&gt;0,"X","")</f>
        <v/>
      </c>
      <c r="K49" s="114" t="str">
        <f>IF(COUNTIFS(mapping!$B:$B,K$2,mapping!$D:$D,$B49)&gt;0,"X","")</f>
        <v/>
      </c>
      <c r="L49" s="114" t="str">
        <f>IF(COUNTIFS(mapping!$B:$B,L$2,mapping!$D:$D,$B49)&gt;0,"X","")</f>
        <v>X</v>
      </c>
      <c r="M49" s="114" t="str">
        <f>IF(COUNTIFS(mapping!$B:$B,M$2,mapping!$D:$D,$B49)&gt;0,"X","")</f>
        <v/>
      </c>
      <c r="N49" s="114" t="str">
        <f>IF(COUNTIFS(mapping!$B:$B,N$2,mapping!$D:$D,$B49)&gt;0,"X","")</f>
        <v/>
      </c>
      <c r="O49" s="114" t="str">
        <f>IF(COUNTIFS(mapping!$B:$B,O$2,mapping!$D:$D,$B49)&gt;0,"X","")</f>
        <v/>
      </c>
      <c r="P49" s="114" t="str">
        <f>IF(COUNTIFS(mapping!$B:$B,P$2,mapping!$D:$D,$B49)&gt;0,"X","")</f>
        <v/>
      </c>
      <c r="Q49" s="114" t="str">
        <f>IF(COUNTIFS(mapping!$B:$B,Q$2,mapping!$D:$D,$B49)&gt;0,"X","")</f>
        <v/>
      </c>
      <c r="R49" s="114" t="str">
        <f>IF(COUNTIFS(mapping!$B:$B,R$2,mapping!$D:$D,$B49)&gt;0,"X","")</f>
        <v/>
      </c>
      <c r="S49" s="114" t="str">
        <f>IF(COUNTIFS(mapping!$B:$B,S$2,mapping!$D:$D,$B49)&gt;0,"X","")</f>
        <v/>
      </c>
      <c r="T49" s="114" t="str">
        <f>IF(COUNTIFS(mapping!$B:$B,T$2,mapping!$D:$D,$B49)&gt;0,"X","")</f>
        <v>X</v>
      </c>
      <c r="U49" s="114" t="str">
        <f>IF(COUNTIFS(mapping!$B:$B,U$2,mapping!$D:$D,$B49)&gt;0,"X","")</f>
        <v/>
      </c>
      <c r="V49" s="114" t="str">
        <f>IF(COUNTIFS(mapping!$B:$B,V$2,mapping!$D:$D,$B49)&gt;0,"X","")</f>
        <v/>
      </c>
      <c r="W49" s="114" t="str">
        <f>IF(COUNTIFS(mapping!$B:$B,W$2,mapping!$D:$D,$B49)&gt;0,"X","")</f>
        <v/>
      </c>
      <c r="X49" s="114" t="str">
        <f>IF(COUNTIFS(mapping!$B:$B,X$2,mapping!$D:$D,$B49)&gt;0,"X","")</f>
        <v/>
      </c>
      <c r="Y49" s="114" t="str">
        <f>IF(COUNTIFS(mapping!$B:$B,Y$2,mapping!$D:$D,$B49)&gt;0,"X","")</f>
        <v/>
      </c>
      <c r="Z49" s="114" t="str">
        <f>IF(COUNTIFS(mapping!$B:$B,Z$2,mapping!$D:$D,$B49)&gt;0,"X","")</f>
        <v/>
      </c>
      <c r="AA49" s="114" t="str">
        <f>IF(COUNTIFS(mapping!$B:$B,AA$2,mapping!$D:$D,$B49)&gt;0,"X","")</f>
        <v/>
      </c>
      <c r="AB49" s="114" t="str">
        <f>IF(COUNTIFS(mapping!$B:$B,AB$2,mapping!$D:$D,$B49)&gt;0,"X","")</f>
        <v/>
      </c>
      <c r="AC49" s="114" t="str">
        <f>IF(COUNTIFS(mapping!$B:$B,AC$2,mapping!$D:$D,$B49)&gt;0,"X","")</f>
        <v/>
      </c>
      <c r="AD49" s="114" t="str">
        <f>IF(COUNTIFS(mapping!$B:$B,AD$2,mapping!$D:$D,$B49)&gt;0,"X","")</f>
        <v/>
      </c>
      <c r="AE49" s="114" t="str">
        <f>IF(COUNTIFS(mapping!$B:$B,AE$2,mapping!$D:$D,$B49)&gt;0,"X","")</f>
        <v/>
      </c>
      <c r="AF49" s="114" t="str">
        <f>IF(COUNTIFS(mapping!$B:$B,AF$2,mapping!$D:$D,$B49)&gt;0,"X","")</f>
        <v/>
      </c>
      <c r="AG49" s="114" t="str">
        <f>IF(COUNTIFS(mapping!$B:$B,AG$2,mapping!$D:$D,$B49)&gt;0,"X","")</f>
        <v/>
      </c>
      <c r="AH49" s="114" t="str">
        <f>IF(COUNTIFS(mapping!$B:$B,AH$2,mapping!$D:$D,$B49)&gt;0,"X","")</f>
        <v/>
      </c>
      <c r="AI49" s="114" t="str">
        <f>IF(COUNTIFS(mapping!$B:$B,AI$2,mapping!$D:$D,$B49)&gt;0,"X","")</f>
        <v/>
      </c>
      <c r="AJ49" s="114" t="str">
        <f>IF(COUNTIFS(mapping!$B:$B,AJ$2,mapping!$D:$D,$B49)&gt;0,"X","")</f>
        <v/>
      </c>
      <c r="AK49" s="114" t="str">
        <f>IF(COUNTIFS(mapping!$B:$B,AK$2,mapping!$D:$D,$B49)&gt;0,"X","")</f>
        <v/>
      </c>
      <c r="AL49" s="114" t="str">
        <f>IF(COUNTIFS(mapping!$B:$B,AL$2,mapping!$D:$D,$B49)&gt;0,"X","")</f>
        <v/>
      </c>
      <c r="AM49" s="114" t="str">
        <f>IF(COUNTIFS(mapping!$B:$B,AM$2,mapping!$D:$D,$B49)&gt;0,"X","")</f>
        <v/>
      </c>
      <c r="AN49" s="114" t="str">
        <f>IF(COUNTIFS(mapping!$B:$B,AN$2,mapping!$D:$D,$B49)&gt;0,"X","")</f>
        <v/>
      </c>
      <c r="AO49" s="114" t="str">
        <f>IF(COUNTIFS(mapping!$B:$B,AO$2,mapping!$D:$D,$B49)&gt;0,"X","")</f>
        <v/>
      </c>
      <c r="AP49" s="114" t="str">
        <f>IF(COUNTIFS(mapping!$B:$B,AP$2,mapping!$D:$D,$B49)&gt;0,"X","")</f>
        <v/>
      </c>
      <c r="AQ49" s="114" t="str">
        <f>IF(COUNTIFS(mapping!$B:$B,AQ$2,mapping!$D:$D,$B49)&gt;0,"X","")</f>
        <v/>
      </c>
      <c r="AR49" s="114" t="str">
        <f>IF(COUNTIFS(mapping!$B:$B,AR$2,mapping!$D:$D,$B49)&gt;0,"X","")</f>
        <v/>
      </c>
      <c r="AS49" s="114" t="str">
        <f>IF(COUNTIFS(mapping!$B:$B,AS$2,mapping!$D:$D,$B49)&gt;0,"X","")</f>
        <v/>
      </c>
      <c r="AT49" s="114" t="str">
        <f>IF(COUNTIFS(mapping!$B:$B,AT$2,mapping!$D:$D,$B49)&gt;0,"X","")</f>
        <v/>
      </c>
      <c r="AU49" s="114" t="str">
        <f>IF(COUNTIFS(mapping!$B:$B,AU$2,mapping!$D:$D,$B49)&gt;0,"X","")</f>
        <v/>
      </c>
      <c r="AV49" s="114" t="str">
        <f>IF(COUNTIFS(mapping!$B:$B,AV$2,mapping!$D:$D,$B49)&gt;0,"X","")</f>
        <v/>
      </c>
      <c r="AW49" s="114" t="str">
        <f>IF(COUNTIFS(mapping!$B:$B,AW$2,mapping!$D:$D,$B49)&gt;0,"X","")</f>
        <v/>
      </c>
      <c r="AX49" s="114" t="str">
        <f>IF(COUNTIFS(mapping!$B:$B,AX$2,mapping!$D:$D,$B49)&gt;0,"X","")</f>
        <v/>
      </c>
      <c r="AY49" s="114" t="str">
        <f>IF(COUNTIFS(mapping!$B:$B,AY$2,mapping!$D:$D,$B49)&gt;0,"X","")</f>
        <v/>
      </c>
      <c r="AZ49" s="114" t="str">
        <f>IF(COUNTIFS(mapping!$B:$B,AZ$2,mapping!$D:$D,$B49)&gt;0,"X","")</f>
        <v/>
      </c>
      <c r="BA49" s="114" t="str">
        <f>IF(COUNTIFS(mapping!$B:$B,BA$2,mapping!$D:$D,$B49)&gt;0,"X","")</f>
        <v/>
      </c>
      <c r="BB49" s="114" t="str">
        <f>IF(COUNTIFS(mapping!$B:$B,BB$2,mapping!$D:$D,$B49)&gt;0,"X","")</f>
        <v/>
      </c>
      <c r="BC49" s="114" t="str">
        <f>IF(COUNTIFS(mapping!$B:$B,BC$2,mapping!$D:$D,$B49)&gt;0,"X","")</f>
        <v/>
      </c>
      <c r="BD49" s="114" t="str">
        <f>IF(COUNTIFS(mapping!$B:$B,BD$2,mapping!$D:$D,$B49)&gt;0,"X","")</f>
        <v/>
      </c>
      <c r="BE49" s="114" t="str">
        <f>IF(COUNTIFS(mapping!$B:$B,BE$2,mapping!$D:$D,$B49)&gt;0,"X","")</f>
        <v/>
      </c>
      <c r="BF49" s="114" t="str">
        <f>IF(COUNTIFS(mapping!$B:$B,BF$2,mapping!$D:$D,$B49)&gt;0,"X","")</f>
        <v/>
      </c>
      <c r="BG49" s="114" t="str">
        <f>IF(COUNTIFS(mapping!$B:$B,BG$2,mapping!$D:$D,$B49)&gt;0,"X","")</f>
        <v/>
      </c>
      <c r="BH49" s="114" t="str">
        <f>IF(COUNTIFS(mapping!$B:$B,BH$2,mapping!$D:$D,$B49)&gt;0,"X","")</f>
        <v/>
      </c>
      <c r="BI49" s="114" t="str">
        <f>IF(COUNTIFS(mapping!$B:$B,BI$2,mapping!$D:$D,$B49)&gt;0,"X","")</f>
        <v/>
      </c>
      <c r="BJ49" s="114" t="str">
        <f>IF(COUNTIFS(mapping!$B:$B,BJ$2,mapping!$D:$D,$B49)&gt;0,"X","")</f>
        <v/>
      </c>
      <c r="BK49" s="114" t="str">
        <f>IF(COUNTIFS(mapping!$B:$B,BK$2,mapping!$D:$D,$B49)&gt;0,"X","")</f>
        <v/>
      </c>
      <c r="BL49" s="114" t="str">
        <f>IF(COUNTIFS(mapping!$B:$B,BL$2,mapping!$D:$D,$B49)&gt;0,"X","")</f>
        <v/>
      </c>
      <c r="BM49" s="114" t="str">
        <f>IF(COUNTIFS(mapping!$B:$B,BM$2,mapping!$D:$D,$B49)&gt;0,"X","")</f>
        <v/>
      </c>
      <c r="BN49" s="114" t="str">
        <f>IF(COUNTIFS(mapping!$B:$B,BN$2,mapping!$D:$D,$B49)&gt;0,"X","")</f>
        <v/>
      </c>
      <c r="BO49" s="114" t="str">
        <f>IF(COUNTIFS(mapping!$B:$B,BO$2,mapping!$D:$D,$B49)&gt;0,"X","")</f>
        <v/>
      </c>
      <c r="BP49" s="114" t="str">
        <f>IF(COUNTIFS(mapping!$B:$B,BP$2,mapping!$D:$D,$B49)&gt;0,"X","")</f>
        <v/>
      </c>
      <c r="BQ49" s="114" t="str">
        <f>IF(COUNTIFS(mapping!$B:$B,BQ$2,mapping!$D:$D,$B49)&gt;0,"X","")</f>
        <v/>
      </c>
      <c r="BR49" s="114" t="str">
        <f>IF(COUNTIFS(mapping!$B:$B,BR$2,mapping!$D:$D,$B49)&gt;0,"X","")</f>
        <v/>
      </c>
      <c r="BS49" s="114" t="str">
        <f>IF(COUNTIFS(mapping!$B:$B,BS$2,mapping!$D:$D,$B49)&gt;0,"X","")</f>
        <v/>
      </c>
      <c r="BT49" s="114" t="str">
        <f>IF(COUNTIFS(mapping!$B:$B,BT$2,mapping!$D:$D,$B49)&gt;0,"X","")</f>
        <v/>
      </c>
      <c r="BU49" s="114" t="str">
        <f>IF(COUNTIFS(mapping!$B:$B,BU$2,mapping!$D:$D,$B49)&gt;0,"X","")</f>
        <v/>
      </c>
      <c r="BV49" s="114" t="str">
        <f>IF(COUNTIFS(mapping!$B:$B,BV$2,mapping!$D:$D,$B49)&gt;0,"X","")</f>
        <v/>
      </c>
      <c r="BW49" s="114" t="str">
        <f>IF(COUNTIFS(mapping!$B:$B,BW$2,mapping!$D:$D,$B49)&gt;0,"X","")</f>
        <v/>
      </c>
      <c r="BX49" s="114" t="str">
        <f>IF(COUNTIFS(mapping!$B:$B,BX$2,mapping!$D:$D,$B49)&gt;0,"X","")</f>
        <v/>
      </c>
      <c r="BY49" s="114" t="str">
        <f>IF(COUNTIFS(mapping!$B:$B,BY$2,mapping!$D:$D,$B49)&gt;0,"X","")</f>
        <v/>
      </c>
      <c r="BZ49" s="114" t="str">
        <f>IF(COUNTIFS(mapping!$B:$B,BZ$2,mapping!$D:$D,$B49)&gt;0,"X","")</f>
        <v/>
      </c>
      <c r="CA49" s="114" t="str">
        <f>IF(COUNTIFS(mapping!$B:$B,CA$2,mapping!$D:$D,$B49)&gt;0,"X","")</f>
        <v/>
      </c>
      <c r="CB49" s="114" t="str">
        <f>IF(COUNTIFS(mapping!$B:$B,CB$2,mapping!$D:$D,$B49)&gt;0,"X","")</f>
        <v>X</v>
      </c>
      <c r="CC49" s="114" t="str">
        <f>IF(COUNTIFS(mapping!$B:$B,CC$2,mapping!$D:$D,$B49)&gt;0,"X","")</f>
        <v/>
      </c>
      <c r="CD49" s="114" t="str">
        <f>IF(COUNTIFS(mapping!$B:$B,CD$2,mapping!$D:$D,$B49)&gt;0,"X","")</f>
        <v/>
      </c>
      <c r="CE49" s="114" t="str">
        <f>IF(COUNTIFS(mapping!$B:$B,CE$2,mapping!$D:$D,$B49)&gt;0,"X","")</f>
        <v/>
      </c>
      <c r="CF49" s="114" t="str">
        <f>IF(COUNTIFS(mapping!$B:$B,CF$2,mapping!$D:$D,$B49)&gt;0,"X","")</f>
        <v/>
      </c>
      <c r="CG49" s="114" t="str">
        <f>IF(COUNTIFS(mapping!$B:$B,CG$2,mapping!$D:$D,$B49)&gt;0,"X","")</f>
        <v/>
      </c>
      <c r="CH49" s="114" t="str">
        <f>IF(COUNTIFS(mapping!$B:$B,CH$2,mapping!$D:$D,$B49)&gt;0,"X","")</f>
        <v/>
      </c>
    </row>
    <row r="50" spans="1:86" ht="16">
      <c r="A50" s="257"/>
      <c r="B50" s="122" t="s">
        <v>437</v>
      </c>
      <c r="C50" s="122" t="s">
        <v>816</v>
      </c>
      <c r="E50" s="114" t="str">
        <f>IF(COUNTIFS(mapping!$B:$B,E$2,mapping!$D:$D,$B50)&gt;0,"X","")</f>
        <v/>
      </c>
      <c r="F50" s="114" t="str">
        <f>IF(COUNTIFS(mapping!$B:$B,F$2,mapping!$D:$D,$B50)&gt;0,"X","")</f>
        <v/>
      </c>
      <c r="G50" s="114" t="str">
        <f>IF(COUNTIFS(mapping!$B:$B,G$2,mapping!$D:$D,$B50)&gt;0,"X","")</f>
        <v/>
      </c>
      <c r="H50" s="114" t="str">
        <f>IF(COUNTIFS(mapping!$B:$B,H$2,mapping!$D:$D,$B50)&gt;0,"X","")</f>
        <v/>
      </c>
      <c r="I50" s="114" t="str">
        <f>IF(COUNTIFS(mapping!$B:$B,I$2,mapping!$D:$D,$B50)&gt;0,"X","")</f>
        <v/>
      </c>
      <c r="J50" s="114" t="str">
        <f>IF(COUNTIFS(mapping!$B:$B,J$2,mapping!$D:$D,$B50)&gt;0,"X","")</f>
        <v>X</v>
      </c>
      <c r="K50" s="114" t="str">
        <f>IF(COUNTIFS(mapping!$B:$B,K$2,mapping!$D:$D,$B50)&gt;0,"X","")</f>
        <v>X</v>
      </c>
      <c r="L50" s="114" t="str">
        <f>IF(COUNTIFS(mapping!$B:$B,L$2,mapping!$D:$D,$B50)&gt;0,"X","")</f>
        <v>X</v>
      </c>
      <c r="M50" s="114" t="str">
        <f>IF(COUNTIFS(mapping!$B:$B,M$2,mapping!$D:$D,$B50)&gt;0,"X","")</f>
        <v/>
      </c>
      <c r="N50" s="114" t="str">
        <f>IF(COUNTIFS(mapping!$B:$B,N$2,mapping!$D:$D,$B50)&gt;0,"X","")</f>
        <v/>
      </c>
      <c r="O50" s="114" t="str">
        <f>IF(COUNTIFS(mapping!$B:$B,O$2,mapping!$D:$D,$B50)&gt;0,"X","")</f>
        <v/>
      </c>
      <c r="P50" s="114" t="str">
        <f>IF(COUNTIFS(mapping!$B:$B,P$2,mapping!$D:$D,$B50)&gt;0,"X","")</f>
        <v/>
      </c>
      <c r="Q50" s="114" t="str">
        <f>IF(COUNTIFS(mapping!$B:$B,Q$2,mapping!$D:$D,$B50)&gt;0,"X","")</f>
        <v/>
      </c>
      <c r="R50" s="114" t="str">
        <f>IF(COUNTIFS(mapping!$B:$B,R$2,mapping!$D:$D,$B50)&gt;0,"X","")</f>
        <v/>
      </c>
      <c r="S50" s="114" t="str">
        <f>IF(COUNTIFS(mapping!$B:$B,S$2,mapping!$D:$D,$B50)&gt;0,"X","")</f>
        <v/>
      </c>
      <c r="T50" s="114" t="str">
        <f>IF(COUNTIFS(mapping!$B:$B,T$2,mapping!$D:$D,$B50)&gt;0,"X","")</f>
        <v/>
      </c>
      <c r="U50" s="114" t="str">
        <f>IF(COUNTIFS(mapping!$B:$B,U$2,mapping!$D:$D,$B50)&gt;0,"X","")</f>
        <v/>
      </c>
      <c r="V50" s="114" t="str">
        <f>IF(COUNTIFS(mapping!$B:$B,V$2,mapping!$D:$D,$B50)&gt;0,"X","")</f>
        <v/>
      </c>
      <c r="W50" s="114" t="str">
        <f>IF(COUNTIFS(mapping!$B:$B,W$2,mapping!$D:$D,$B50)&gt;0,"X","")</f>
        <v/>
      </c>
      <c r="X50" s="114" t="str">
        <f>IF(COUNTIFS(mapping!$B:$B,X$2,mapping!$D:$D,$B50)&gt;0,"X","")</f>
        <v/>
      </c>
      <c r="Y50" s="114" t="str">
        <f>IF(COUNTIFS(mapping!$B:$B,Y$2,mapping!$D:$D,$B50)&gt;0,"X","")</f>
        <v/>
      </c>
      <c r="Z50" s="114" t="str">
        <f>IF(COUNTIFS(mapping!$B:$B,Z$2,mapping!$D:$D,$B50)&gt;0,"X","")</f>
        <v/>
      </c>
      <c r="AA50" s="114" t="str">
        <f>IF(COUNTIFS(mapping!$B:$B,AA$2,mapping!$D:$D,$B50)&gt;0,"X","")</f>
        <v/>
      </c>
      <c r="AB50" s="114" t="str">
        <f>IF(COUNTIFS(mapping!$B:$B,AB$2,mapping!$D:$D,$B50)&gt;0,"X","")</f>
        <v/>
      </c>
      <c r="AC50" s="114" t="str">
        <f>IF(COUNTIFS(mapping!$B:$B,AC$2,mapping!$D:$D,$B50)&gt;0,"X","")</f>
        <v/>
      </c>
      <c r="AD50" s="114" t="str">
        <f>IF(COUNTIFS(mapping!$B:$B,AD$2,mapping!$D:$D,$B50)&gt;0,"X","")</f>
        <v/>
      </c>
      <c r="AE50" s="114" t="str">
        <f>IF(COUNTIFS(mapping!$B:$B,AE$2,mapping!$D:$D,$B50)&gt;0,"X","")</f>
        <v/>
      </c>
      <c r="AF50" s="114" t="str">
        <f>IF(COUNTIFS(mapping!$B:$B,AF$2,mapping!$D:$D,$B50)&gt;0,"X","")</f>
        <v/>
      </c>
      <c r="AG50" s="114" t="str">
        <f>IF(COUNTIFS(mapping!$B:$B,AG$2,mapping!$D:$D,$B50)&gt;0,"X","")</f>
        <v/>
      </c>
      <c r="AH50" s="114" t="str">
        <f>IF(COUNTIFS(mapping!$B:$B,AH$2,mapping!$D:$D,$B50)&gt;0,"X","")</f>
        <v/>
      </c>
      <c r="AI50" s="114" t="str">
        <f>IF(COUNTIFS(mapping!$B:$B,AI$2,mapping!$D:$D,$B50)&gt;0,"X","")</f>
        <v/>
      </c>
      <c r="AJ50" s="114" t="str">
        <f>IF(COUNTIFS(mapping!$B:$B,AJ$2,mapping!$D:$D,$B50)&gt;0,"X","")</f>
        <v/>
      </c>
      <c r="AK50" s="114" t="str">
        <f>IF(COUNTIFS(mapping!$B:$B,AK$2,mapping!$D:$D,$B50)&gt;0,"X","")</f>
        <v/>
      </c>
      <c r="AL50" s="114" t="str">
        <f>IF(COUNTIFS(mapping!$B:$B,AL$2,mapping!$D:$D,$B50)&gt;0,"X","")</f>
        <v/>
      </c>
      <c r="AM50" s="114" t="str">
        <f>IF(COUNTIFS(mapping!$B:$B,AM$2,mapping!$D:$D,$B50)&gt;0,"X","")</f>
        <v/>
      </c>
      <c r="AN50" s="114" t="str">
        <f>IF(COUNTIFS(mapping!$B:$B,AN$2,mapping!$D:$D,$B50)&gt;0,"X","")</f>
        <v/>
      </c>
      <c r="AO50" s="114" t="str">
        <f>IF(COUNTIFS(mapping!$B:$B,AO$2,mapping!$D:$D,$B50)&gt;0,"X","")</f>
        <v/>
      </c>
      <c r="AP50" s="114" t="str">
        <f>IF(COUNTIFS(mapping!$B:$B,AP$2,mapping!$D:$D,$B50)&gt;0,"X","")</f>
        <v/>
      </c>
      <c r="AQ50" s="114" t="str">
        <f>IF(COUNTIFS(mapping!$B:$B,AQ$2,mapping!$D:$D,$B50)&gt;0,"X","")</f>
        <v/>
      </c>
      <c r="AR50" s="114" t="str">
        <f>IF(COUNTIFS(mapping!$B:$B,AR$2,mapping!$D:$D,$B50)&gt;0,"X","")</f>
        <v/>
      </c>
      <c r="AS50" s="114" t="str">
        <f>IF(COUNTIFS(mapping!$B:$B,AS$2,mapping!$D:$D,$B50)&gt;0,"X","")</f>
        <v/>
      </c>
      <c r="AT50" s="114" t="str">
        <f>IF(COUNTIFS(mapping!$B:$B,AT$2,mapping!$D:$D,$B50)&gt;0,"X","")</f>
        <v/>
      </c>
      <c r="AU50" s="114" t="str">
        <f>IF(COUNTIFS(mapping!$B:$B,AU$2,mapping!$D:$D,$B50)&gt;0,"X","")</f>
        <v/>
      </c>
      <c r="AV50" s="114" t="str">
        <f>IF(COUNTIFS(mapping!$B:$B,AV$2,mapping!$D:$D,$B50)&gt;0,"X","")</f>
        <v/>
      </c>
      <c r="AW50" s="114" t="str">
        <f>IF(COUNTIFS(mapping!$B:$B,AW$2,mapping!$D:$D,$B50)&gt;0,"X","")</f>
        <v/>
      </c>
      <c r="AX50" s="114" t="str">
        <f>IF(COUNTIFS(mapping!$B:$B,AX$2,mapping!$D:$D,$B50)&gt;0,"X","")</f>
        <v/>
      </c>
      <c r="AY50" s="114" t="str">
        <f>IF(COUNTIFS(mapping!$B:$B,AY$2,mapping!$D:$D,$B50)&gt;0,"X","")</f>
        <v/>
      </c>
      <c r="AZ50" s="114" t="str">
        <f>IF(COUNTIFS(mapping!$B:$B,AZ$2,mapping!$D:$D,$B50)&gt;0,"X","")</f>
        <v/>
      </c>
      <c r="BA50" s="114" t="str">
        <f>IF(COUNTIFS(mapping!$B:$B,BA$2,mapping!$D:$D,$B50)&gt;0,"X","")</f>
        <v/>
      </c>
      <c r="BB50" s="114" t="str">
        <f>IF(COUNTIFS(mapping!$B:$B,BB$2,mapping!$D:$D,$B50)&gt;0,"X","")</f>
        <v/>
      </c>
      <c r="BC50" s="114" t="str">
        <f>IF(COUNTIFS(mapping!$B:$B,BC$2,mapping!$D:$D,$B50)&gt;0,"X","")</f>
        <v/>
      </c>
      <c r="BD50" s="114" t="str">
        <f>IF(COUNTIFS(mapping!$B:$B,BD$2,mapping!$D:$D,$B50)&gt;0,"X","")</f>
        <v/>
      </c>
      <c r="BE50" s="114" t="str">
        <f>IF(COUNTIFS(mapping!$B:$B,BE$2,mapping!$D:$D,$B50)&gt;0,"X","")</f>
        <v/>
      </c>
      <c r="BF50" s="114" t="str">
        <f>IF(COUNTIFS(mapping!$B:$B,BF$2,mapping!$D:$D,$B50)&gt;0,"X","")</f>
        <v/>
      </c>
      <c r="BG50" s="114" t="str">
        <f>IF(COUNTIFS(mapping!$B:$B,BG$2,mapping!$D:$D,$B50)&gt;0,"X","")</f>
        <v/>
      </c>
      <c r="BH50" s="114" t="str">
        <f>IF(COUNTIFS(mapping!$B:$B,BH$2,mapping!$D:$D,$B50)&gt;0,"X","")</f>
        <v/>
      </c>
      <c r="BI50" s="114" t="str">
        <f>IF(COUNTIFS(mapping!$B:$B,BI$2,mapping!$D:$D,$B50)&gt;0,"X","")</f>
        <v/>
      </c>
      <c r="BJ50" s="114" t="str">
        <f>IF(COUNTIFS(mapping!$B:$B,BJ$2,mapping!$D:$D,$B50)&gt;0,"X","")</f>
        <v/>
      </c>
      <c r="BK50" s="114" t="str">
        <f>IF(COUNTIFS(mapping!$B:$B,BK$2,mapping!$D:$D,$B50)&gt;0,"X","")</f>
        <v/>
      </c>
      <c r="BL50" s="114" t="str">
        <f>IF(COUNTIFS(mapping!$B:$B,BL$2,mapping!$D:$D,$B50)&gt;0,"X","")</f>
        <v/>
      </c>
      <c r="BM50" s="114" t="str">
        <f>IF(COUNTIFS(mapping!$B:$B,BM$2,mapping!$D:$D,$B50)&gt;0,"X","")</f>
        <v/>
      </c>
      <c r="BN50" s="114" t="str">
        <f>IF(COUNTIFS(mapping!$B:$B,BN$2,mapping!$D:$D,$B50)&gt;0,"X","")</f>
        <v/>
      </c>
      <c r="BO50" s="114" t="str">
        <f>IF(COUNTIFS(mapping!$B:$B,BO$2,mapping!$D:$D,$B50)&gt;0,"X","")</f>
        <v/>
      </c>
      <c r="BP50" s="114" t="str">
        <f>IF(COUNTIFS(mapping!$B:$B,BP$2,mapping!$D:$D,$B50)&gt;0,"X","")</f>
        <v/>
      </c>
      <c r="BQ50" s="114" t="str">
        <f>IF(COUNTIFS(mapping!$B:$B,BQ$2,mapping!$D:$D,$B50)&gt;0,"X","")</f>
        <v/>
      </c>
      <c r="BR50" s="114" t="str">
        <f>IF(COUNTIFS(mapping!$B:$B,BR$2,mapping!$D:$D,$B50)&gt;0,"X","")</f>
        <v/>
      </c>
      <c r="BS50" s="114" t="str">
        <f>IF(COUNTIFS(mapping!$B:$B,BS$2,mapping!$D:$D,$B50)&gt;0,"X","")</f>
        <v/>
      </c>
      <c r="BT50" s="114" t="str">
        <f>IF(COUNTIFS(mapping!$B:$B,BT$2,mapping!$D:$D,$B50)&gt;0,"X","")</f>
        <v/>
      </c>
      <c r="BU50" s="114" t="str">
        <f>IF(COUNTIFS(mapping!$B:$B,BU$2,mapping!$D:$D,$B50)&gt;0,"X","")</f>
        <v/>
      </c>
      <c r="BV50" s="114" t="str">
        <f>IF(COUNTIFS(mapping!$B:$B,BV$2,mapping!$D:$D,$B50)&gt;0,"X","")</f>
        <v/>
      </c>
      <c r="BW50" s="114" t="str">
        <f>IF(COUNTIFS(mapping!$B:$B,BW$2,mapping!$D:$D,$B50)&gt;0,"X","")</f>
        <v/>
      </c>
      <c r="BX50" s="114" t="str">
        <f>IF(COUNTIFS(mapping!$B:$B,BX$2,mapping!$D:$D,$B50)&gt;0,"X","")</f>
        <v/>
      </c>
      <c r="BY50" s="114" t="str">
        <f>IF(COUNTIFS(mapping!$B:$B,BY$2,mapping!$D:$D,$B50)&gt;0,"X","")</f>
        <v>X</v>
      </c>
      <c r="BZ50" s="114" t="str">
        <f>IF(COUNTIFS(mapping!$B:$B,BZ$2,mapping!$D:$D,$B50)&gt;0,"X","")</f>
        <v>X</v>
      </c>
      <c r="CA50" s="114" t="str">
        <f>IF(COUNTIFS(mapping!$B:$B,CA$2,mapping!$D:$D,$B50)&gt;0,"X","")</f>
        <v>X</v>
      </c>
      <c r="CB50" s="114" t="str">
        <f>IF(COUNTIFS(mapping!$B:$B,CB$2,mapping!$D:$D,$B50)&gt;0,"X","")</f>
        <v>X</v>
      </c>
      <c r="CC50" s="114" t="str">
        <f>IF(COUNTIFS(mapping!$B:$B,CC$2,mapping!$D:$D,$B50)&gt;0,"X","")</f>
        <v/>
      </c>
      <c r="CD50" s="114" t="str">
        <f>IF(COUNTIFS(mapping!$B:$B,CD$2,mapping!$D:$D,$B50)&gt;0,"X","")</f>
        <v/>
      </c>
      <c r="CE50" s="114" t="str">
        <f>IF(COUNTIFS(mapping!$B:$B,CE$2,mapping!$D:$D,$B50)&gt;0,"X","")</f>
        <v/>
      </c>
      <c r="CF50" s="114" t="str">
        <f>IF(COUNTIFS(mapping!$B:$B,CF$2,mapping!$D:$D,$B50)&gt;0,"X","")</f>
        <v/>
      </c>
      <c r="CG50" s="114" t="str">
        <f>IF(COUNTIFS(mapping!$B:$B,CG$2,mapping!$D:$D,$B50)&gt;0,"X","")</f>
        <v/>
      </c>
      <c r="CH50" s="114" t="str">
        <f>IF(COUNTIFS(mapping!$B:$B,CH$2,mapping!$D:$D,$B50)&gt;0,"X","")</f>
        <v/>
      </c>
    </row>
    <row r="51" spans="1:86" ht="16">
      <c r="A51" s="257"/>
      <c r="B51" s="122" t="s">
        <v>436</v>
      </c>
      <c r="C51" s="122" t="s">
        <v>435</v>
      </c>
      <c r="E51" s="114" t="str">
        <f>IF(COUNTIFS(mapping!$B:$B,E$2,mapping!$D:$D,$B51)&gt;0,"X","")</f>
        <v/>
      </c>
      <c r="F51" s="114" t="str">
        <f>IF(COUNTIFS(mapping!$B:$B,F$2,mapping!$D:$D,$B51)&gt;0,"X","")</f>
        <v>X</v>
      </c>
      <c r="G51" s="114" t="str">
        <f>IF(COUNTIFS(mapping!$B:$B,G$2,mapping!$D:$D,$B51)&gt;0,"X","")</f>
        <v>X</v>
      </c>
      <c r="H51" s="114" t="str">
        <f>IF(COUNTIFS(mapping!$B:$B,H$2,mapping!$D:$D,$B51)&gt;0,"X","")</f>
        <v/>
      </c>
      <c r="I51" s="114" t="str">
        <f>IF(COUNTIFS(mapping!$B:$B,I$2,mapping!$D:$D,$B51)&gt;0,"X","")</f>
        <v>X</v>
      </c>
      <c r="J51" s="114" t="str">
        <f>IF(COUNTIFS(mapping!$B:$B,J$2,mapping!$D:$D,$B51)&gt;0,"X","")</f>
        <v/>
      </c>
      <c r="K51" s="114" t="str">
        <f>IF(COUNTIFS(mapping!$B:$B,K$2,mapping!$D:$D,$B51)&gt;0,"X","")</f>
        <v/>
      </c>
      <c r="L51" s="114" t="str">
        <f>IF(COUNTIFS(mapping!$B:$B,L$2,mapping!$D:$D,$B51)&gt;0,"X","")</f>
        <v/>
      </c>
      <c r="M51" s="114" t="str">
        <f>IF(COUNTIFS(mapping!$B:$B,M$2,mapping!$D:$D,$B51)&gt;0,"X","")</f>
        <v/>
      </c>
      <c r="N51" s="114" t="str">
        <f>IF(COUNTIFS(mapping!$B:$B,N$2,mapping!$D:$D,$B51)&gt;0,"X","")</f>
        <v/>
      </c>
      <c r="O51" s="114" t="str">
        <f>IF(COUNTIFS(mapping!$B:$B,O$2,mapping!$D:$D,$B51)&gt;0,"X","")</f>
        <v/>
      </c>
      <c r="P51" s="114" t="str">
        <f>IF(COUNTIFS(mapping!$B:$B,P$2,mapping!$D:$D,$B51)&gt;0,"X","")</f>
        <v/>
      </c>
      <c r="Q51" s="114" t="str">
        <f>IF(COUNTIFS(mapping!$B:$B,Q$2,mapping!$D:$D,$B51)&gt;0,"X","")</f>
        <v/>
      </c>
      <c r="R51" s="114" t="str">
        <f>IF(COUNTIFS(mapping!$B:$B,R$2,mapping!$D:$D,$B51)&gt;0,"X","")</f>
        <v/>
      </c>
      <c r="S51" s="114" t="str">
        <f>IF(COUNTIFS(mapping!$B:$B,S$2,mapping!$D:$D,$B51)&gt;0,"X","")</f>
        <v/>
      </c>
      <c r="T51" s="114" t="str">
        <f>IF(COUNTIFS(mapping!$B:$B,T$2,mapping!$D:$D,$B51)&gt;0,"X","")</f>
        <v/>
      </c>
      <c r="U51" s="114" t="str">
        <f>IF(COUNTIFS(mapping!$B:$B,U$2,mapping!$D:$D,$B51)&gt;0,"X","")</f>
        <v/>
      </c>
      <c r="V51" s="114" t="str">
        <f>IF(COUNTIFS(mapping!$B:$B,V$2,mapping!$D:$D,$B51)&gt;0,"X","")</f>
        <v/>
      </c>
      <c r="W51" s="114" t="str">
        <f>IF(COUNTIFS(mapping!$B:$B,W$2,mapping!$D:$D,$B51)&gt;0,"X","")</f>
        <v/>
      </c>
      <c r="X51" s="114" t="str">
        <f>IF(COUNTIFS(mapping!$B:$B,X$2,mapping!$D:$D,$B51)&gt;0,"X","")</f>
        <v/>
      </c>
      <c r="Y51" s="114" t="str">
        <f>IF(COUNTIFS(mapping!$B:$B,Y$2,mapping!$D:$D,$B51)&gt;0,"X","")</f>
        <v/>
      </c>
      <c r="Z51" s="114" t="str">
        <f>IF(COUNTIFS(mapping!$B:$B,Z$2,mapping!$D:$D,$B51)&gt;0,"X","")</f>
        <v/>
      </c>
      <c r="AA51" s="114" t="str">
        <f>IF(COUNTIFS(mapping!$B:$B,AA$2,mapping!$D:$D,$B51)&gt;0,"X","")</f>
        <v/>
      </c>
      <c r="AB51" s="114" t="str">
        <f>IF(COUNTIFS(mapping!$B:$B,AB$2,mapping!$D:$D,$B51)&gt;0,"X","")</f>
        <v/>
      </c>
      <c r="AC51" s="114" t="str">
        <f>IF(COUNTIFS(mapping!$B:$B,AC$2,mapping!$D:$D,$B51)&gt;0,"X","")</f>
        <v/>
      </c>
      <c r="AD51" s="114" t="str">
        <f>IF(COUNTIFS(mapping!$B:$B,AD$2,mapping!$D:$D,$B51)&gt;0,"X","")</f>
        <v/>
      </c>
      <c r="AE51" s="114" t="str">
        <f>IF(COUNTIFS(mapping!$B:$B,AE$2,mapping!$D:$D,$B51)&gt;0,"X","")</f>
        <v/>
      </c>
      <c r="AF51" s="114" t="str">
        <f>IF(COUNTIFS(mapping!$B:$B,AF$2,mapping!$D:$D,$B51)&gt;0,"X","")</f>
        <v/>
      </c>
      <c r="AG51" s="114" t="str">
        <f>IF(COUNTIFS(mapping!$B:$B,AG$2,mapping!$D:$D,$B51)&gt;0,"X","")</f>
        <v/>
      </c>
      <c r="AH51" s="114" t="str">
        <f>IF(COUNTIFS(mapping!$B:$B,AH$2,mapping!$D:$D,$B51)&gt;0,"X","")</f>
        <v/>
      </c>
      <c r="AI51" s="114" t="str">
        <f>IF(COUNTIFS(mapping!$B:$B,AI$2,mapping!$D:$D,$B51)&gt;0,"X","")</f>
        <v/>
      </c>
      <c r="AJ51" s="114" t="str">
        <f>IF(COUNTIFS(mapping!$B:$B,AJ$2,mapping!$D:$D,$B51)&gt;0,"X","")</f>
        <v/>
      </c>
      <c r="AK51" s="114" t="str">
        <f>IF(COUNTIFS(mapping!$B:$B,AK$2,mapping!$D:$D,$B51)&gt;0,"X","")</f>
        <v/>
      </c>
      <c r="AL51" s="114" t="str">
        <f>IF(COUNTIFS(mapping!$B:$B,AL$2,mapping!$D:$D,$B51)&gt;0,"X","")</f>
        <v/>
      </c>
      <c r="AM51" s="114" t="str">
        <f>IF(COUNTIFS(mapping!$B:$B,AM$2,mapping!$D:$D,$B51)&gt;0,"X","")</f>
        <v/>
      </c>
      <c r="AN51" s="114" t="str">
        <f>IF(COUNTIFS(mapping!$B:$B,AN$2,mapping!$D:$D,$B51)&gt;0,"X","")</f>
        <v/>
      </c>
      <c r="AO51" s="114" t="str">
        <f>IF(COUNTIFS(mapping!$B:$B,AO$2,mapping!$D:$D,$B51)&gt;0,"X","")</f>
        <v/>
      </c>
      <c r="AP51" s="114" t="str">
        <f>IF(COUNTIFS(mapping!$B:$B,AP$2,mapping!$D:$D,$B51)&gt;0,"X","")</f>
        <v/>
      </c>
      <c r="AQ51" s="114" t="str">
        <f>IF(COUNTIFS(mapping!$B:$B,AQ$2,mapping!$D:$D,$B51)&gt;0,"X","")</f>
        <v/>
      </c>
      <c r="AR51" s="114" t="str">
        <f>IF(COUNTIFS(mapping!$B:$B,AR$2,mapping!$D:$D,$B51)&gt;0,"X","")</f>
        <v/>
      </c>
      <c r="AS51" s="114" t="str">
        <f>IF(COUNTIFS(mapping!$B:$B,AS$2,mapping!$D:$D,$B51)&gt;0,"X","")</f>
        <v/>
      </c>
      <c r="AT51" s="114" t="str">
        <f>IF(COUNTIFS(mapping!$B:$B,AT$2,mapping!$D:$D,$B51)&gt;0,"X","")</f>
        <v>X</v>
      </c>
      <c r="AU51" s="114" t="str">
        <f>IF(COUNTIFS(mapping!$B:$B,AU$2,mapping!$D:$D,$B51)&gt;0,"X","")</f>
        <v/>
      </c>
      <c r="AV51" s="114" t="str">
        <f>IF(COUNTIFS(mapping!$B:$B,AV$2,mapping!$D:$D,$B51)&gt;0,"X","")</f>
        <v/>
      </c>
      <c r="AW51" s="114" t="str">
        <f>IF(COUNTIFS(mapping!$B:$B,AW$2,mapping!$D:$D,$B51)&gt;0,"X","")</f>
        <v/>
      </c>
      <c r="AX51" s="114" t="str">
        <f>IF(COUNTIFS(mapping!$B:$B,AX$2,mapping!$D:$D,$B51)&gt;0,"X","")</f>
        <v/>
      </c>
      <c r="AY51" s="114" t="str">
        <f>IF(COUNTIFS(mapping!$B:$B,AY$2,mapping!$D:$D,$B51)&gt;0,"X","")</f>
        <v/>
      </c>
      <c r="AZ51" s="114" t="str">
        <f>IF(COUNTIFS(mapping!$B:$B,AZ$2,mapping!$D:$D,$B51)&gt;0,"X","")</f>
        <v/>
      </c>
      <c r="BA51" s="114" t="str">
        <f>IF(COUNTIFS(mapping!$B:$B,BA$2,mapping!$D:$D,$B51)&gt;0,"X","")</f>
        <v/>
      </c>
      <c r="BB51" s="114" t="str">
        <f>IF(COUNTIFS(mapping!$B:$B,BB$2,mapping!$D:$D,$B51)&gt;0,"X","")</f>
        <v/>
      </c>
      <c r="BC51" s="114" t="str">
        <f>IF(COUNTIFS(mapping!$B:$B,BC$2,mapping!$D:$D,$B51)&gt;0,"X","")</f>
        <v/>
      </c>
      <c r="BD51" s="114" t="str">
        <f>IF(COUNTIFS(mapping!$B:$B,BD$2,mapping!$D:$D,$B51)&gt;0,"X","")</f>
        <v/>
      </c>
      <c r="BE51" s="114" t="str">
        <f>IF(COUNTIFS(mapping!$B:$B,BE$2,mapping!$D:$D,$B51)&gt;0,"X","")</f>
        <v/>
      </c>
      <c r="BF51" s="114" t="str">
        <f>IF(COUNTIFS(mapping!$B:$B,BF$2,mapping!$D:$D,$B51)&gt;0,"X","")</f>
        <v/>
      </c>
      <c r="BG51" s="114" t="str">
        <f>IF(COUNTIFS(mapping!$B:$B,BG$2,mapping!$D:$D,$B51)&gt;0,"X","")</f>
        <v/>
      </c>
      <c r="BH51" s="114" t="str">
        <f>IF(COUNTIFS(mapping!$B:$B,BH$2,mapping!$D:$D,$B51)&gt;0,"X","")</f>
        <v/>
      </c>
      <c r="BI51" s="114" t="str">
        <f>IF(COUNTIFS(mapping!$B:$B,BI$2,mapping!$D:$D,$B51)&gt;0,"X","")</f>
        <v/>
      </c>
      <c r="BJ51" s="114" t="str">
        <f>IF(COUNTIFS(mapping!$B:$B,BJ$2,mapping!$D:$D,$B51)&gt;0,"X","")</f>
        <v/>
      </c>
      <c r="BK51" s="114" t="str">
        <f>IF(COUNTIFS(mapping!$B:$B,BK$2,mapping!$D:$D,$B51)&gt;0,"X","")</f>
        <v/>
      </c>
      <c r="BL51" s="114" t="str">
        <f>IF(COUNTIFS(mapping!$B:$B,BL$2,mapping!$D:$D,$B51)&gt;0,"X","")</f>
        <v/>
      </c>
      <c r="BM51" s="114" t="str">
        <f>IF(COUNTIFS(mapping!$B:$B,BM$2,mapping!$D:$D,$B51)&gt;0,"X","")</f>
        <v>X</v>
      </c>
      <c r="BN51" s="114" t="str">
        <f>IF(COUNTIFS(mapping!$B:$B,BN$2,mapping!$D:$D,$B51)&gt;0,"X","")</f>
        <v/>
      </c>
      <c r="BO51" s="114" t="str">
        <f>IF(COUNTIFS(mapping!$B:$B,BO$2,mapping!$D:$D,$B51)&gt;0,"X","")</f>
        <v/>
      </c>
      <c r="BP51" s="114" t="str">
        <f>IF(COUNTIFS(mapping!$B:$B,BP$2,mapping!$D:$D,$B51)&gt;0,"X","")</f>
        <v/>
      </c>
      <c r="BQ51" s="114" t="str">
        <f>IF(COUNTIFS(mapping!$B:$B,BQ$2,mapping!$D:$D,$B51)&gt;0,"X","")</f>
        <v/>
      </c>
      <c r="BR51" s="114" t="str">
        <f>IF(COUNTIFS(mapping!$B:$B,BR$2,mapping!$D:$D,$B51)&gt;0,"X","")</f>
        <v/>
      </c>
      <c r="BS51" s="114" t="str">
        <f>IF(COUNTIFS(mapping!$B:$B,BS$2,mapping!$D:$D,$B51)&gt;0,"X","")</f>
        <v/>
      </c>
      <c r="BT51" s="114" t="str">
        <f>IF(COUNTIFS(mapping!$B:$B,BT$2,mapping!$D:$D,$B51)&gt;0,"X","")</f>
        <v/>
      </c>
      <c r="BU51" s="114" t="str">
        <f>IF(COUNTIFS(mapping!$B:$B,BU$2,mapping!$D:$D,$B51)&gt;0,"X","")</f>
        <v/>
      </c>
      <c r="BV51" s="114" t="str">
        <f>IF(COUNTIFS(mapping!$B:$B,BV$2,mapping!$D:$D,$B51)&gt;0,"X","")</f>
        <v/>
      </c>
      <c r="BW51" s="114" t="str">
        <f>IF(COUNTIFS(mapping!$B:$B,BW$2,mapping!$D:$D,$B51)&gt;0,"X","")</f>
        <v/>
      </c>
      <c r="BX51" s="114" t="str">
        <f>IF(COUNTIFS(mapping!$B:$B,BX$2,mapping!$D:$D,$B51)&gt;0,"X","")</f>
        <v/>
      </c>
      <c r="BY51" s="114" t="str">
        <f>IF(COUNTIFS(mapping!$B:$B,BY$2,mapping!$D:$D,$B51)&gt;0,"X","")</f>
        <v/>
      </c>
      <c r="BZ51" s="114" t="str">
        <f>IF(COUNTIFS(mapping!$B:$B,BZ$2,mapping!$D:$D,$B51)&gt;0,"X","")</f>
        <v/>
      </c>
      <c r="CA51" s="114" t="str">
        <f>IF(COUNTIFS(mapping!$B:$B,CA$2,mapping!$D:$D,$B51)&gt;0,"X","")</f>
        <v/>
      </c>
      <c r="CB51" s="114" t="str">
        <f>IF(COUNTIFS(mapping!$B:$B,CB$2,mapping!$D:$D,$B51)&gt;0,"X","")</f>
        <v/>
      </c>
      <c r="CC51" s="114" t="str">
        <f>IF(COUNTIFS(mapping!$B:$B,CC$2,mapping!$D:$D,$B51)&gt;0,"X","")</f>
        <v/>
      </c>
      <c r="CD51" s="114" t="str">
        <f>IF(COUNTIFS(mapping!$B:$B,CD$2,mapping!$D:$D,$B51)&gt;0,"X","")</f>
        <v/>
      </c>
      <c r="CE51" s="114" t="str">
        <f>IF(COUNTIFS(mapping!$B:$B,CE$2,mapping!$D:$D,$B51)&gt;0,"X","")</f>
        <v/>
      </c>
      <c r="CF51" s="114" t="str">
        <f>IF(COUNTIFS(mapping!$B:$B,CF$2,mapping!$D:$D,$B51)&gt;0,"X","")</f>
        <v/>
      </c>
      <c r="CG51" s="114" t="str">
        <f>IF(COUNTIFS(mapping!$B:$B,CG$2,mapping!$D:$D,$B51)&gt;0,"X","")</f>
        <v/>
      </c>
      <c r="CH51" s="114" t="str">
        <f>IF(COUNTIFS(mapping!$B:$B,CH$2,mapping!$D:$D,$B51)&gt;0,"X","")</f>
        <v/>
      </c>
    </row>
    <row r="52" spans="1:86" ht="16">
      <c r="A52" s="257"/>
      <c r="B52" s="122" t="s">
        <v>434</v>
      </c>
      <c r="C52" s="122" t="s">
        <v>433</v>
      </c>
      <c r="E52" s="114" t="str">
        <f>IF(COUNTIFS(mapping!$B:$B,E$2,mapping!$D:$D,$B52)&gt;0,"X","")</f>
        <v/>
      </c>
      <c r="F52" s="114" t="str">
        <f>IF(COUNTIFS(mapping!$B:$B,F$2,mapping!$D:$D,$B52)&gt;0,"X","")</f>
        <v/>
      </c>
      <c r="G52" s="114" t="str">
        <f>IF(COUNTIFS(mapping!$B:$B,G$2,mapping!$D:$D,$B52)&gt;0,"X","")</f>
        <v/>
      </c>
      <c r="H52" s="114" t="str">
        <f>IF(COUNTIFS(mapping!$B:$B,H$2,mapping!$D:$D,$B52)&gt;0,"X","")</f>
        <v/>
      </c>
      <c r="I52" s="114" t="str">
        <f>IF(COUNTIFS(mapping!$B:$B,I$2,mapping!$D:$D,$B52)&gt;0,"X","")</f>
        <v/>
      </c>
      <c r="J52" s="114" t="str">
        <f>IF(COUNTIFS(mapping!$B:$B,J$2,mapping!$D:$D,$B52)&gt;0,"X","")</f>
        <v/>
      </c>
      <c r="K52" s="114" t="str">
        <f>IF(COUNTIFS(mapping!$B:$B,K$2,mapping!$D:$D,$B52)&gt;0,"X","")</f>
        <v/>
      </c>
      <c r="L52" s="114" t="str">
        <f>IF(COUNTIFS(mapping!$B:$B,L$2,mapping!$D:$D,$B52)&gt;0,"X","")</f>
        <v/>
      </c>
      <c r="M52" s="114" t="str">
        <f>IF(COUNTIFS(mapping!$B:$B,M$2,mapping!$D:$D,$B52)&gt;0,"X","")</f>
        <v/>
      </c>
      <c r="N52" s="114" t="str">
        <f>IF(COUNTIFS(mapping!$B:$B,N$2,mapping!$D:$D,$B52)&gt;0,"X","")</f>
        <v/>
      </c>
      <c r="O52" s="114" t="str">
        <f>IF(COUNTIFS(mapping!$B:$B,O$2,mapping!$D:$D,$B52)&gt;0,"X","")</f>
        <v/>
      </c>
      <c r="P52" s="114" t="str">
        <f>IF(COUNTIFS(mapping!$B:$B,P$2,mapping!$D:$D,$B52)&gt;0,"X","")</f>
        <v/>
      </c>
      <c r="Q52" s="114" t="str">
        <f>IF(COUNTIFS(mapping!$B:$B,Q$2,mapping!$D:$D,$B52)&gt;0,"X","")</f>
        <v/>
      </c>
      <c r="R52" s="114" t="str">
        <f>IF(COUNTIFS(mapping!$B:$B,R$2,mapping!$D:$D,$B52)&gt;0,"X","")</f>
        <v/>
      </c>
      <c r="S52" s="114" t="str">
        <f>IF(COUNTIFS(mapping!$B:$B,S$2,mapping!$D:$D,$B52)&gt;0,"X","")</f>
        <v/>
      </c>
      <c r="T52" s="114" t="str">
        <f>IF(COUNTIFS(mapping!$B:$B,T$2,mapping!$D:$D,$B52)&gt;0,"X","")</f>
        <v/>
      </c>
      <c r="U52" s="114" t="str">
        <f>IF(COUNTIFS(mapping!$B:$B,U$2,mapping!$D:$D,$B52)&gt;0,"X","")</f>
        <v/>
      </c>
      <c r="V52" s="114" t="str">
        <f>IF(COUNTIFS(mapping!$B:$B,V$2,mapping!$D:$D,$B52)&gt;0,"X","")</f>
        <v/>
      </c>
      <c r="W52" s="114" t="str">
        <f>IF(COUNTIFS(mapping!$B:$B,W$2,mapping!$D:$D,$B52)&gt;0,"X","")</f>
        <v/>
      </c>
      <c r="X52" s="114" t="str">
        <f>IF(COUNTIFS(mapping!$B:$B,X$2,mapping!$D:$D,$B52)&gt;0,"X","")</f>
        <v/>
      </c>
      <c r="Y52" s="114" t="str">
        <f>IF(COUNTIFS(mapping!$B:$B,Y$2,mapping!$D:$D,$B52)&gt;0,"X","")</f>
        <v/>
      </c>
      <c r="Z52" s="114" t="str">
        <f>IF(COUNTIFS(mapping!$B:$B,Z$2,mapping!$D:$D,$B52)&gt;0,"X","")</f>
        <v/>
      </c>
      <c r="AA52" s="114" t="str">
        <f>IF(COUNTIFS(mapping!$B:$B,AA$2,mapping!$D:$D,$B52)&gt;0,"X","")</f>
        <v/>
      </c>
      <c r="AB52" s="114" t="str">
        <f>IF(COUNTIFS(mapping!$B:$B,AB$2,mapping!$D:$D,$B52)&gt;0,"X","")</f>
        <v/>
      </c>
      <c r="AC52" s="114" t="str">
        <f>IF(COUNTIFS(mapping!$B:$B,AC$2,mapping!$D:$D,$B52)&gt;0,"X","")</f>
        <v/>
      </c>
      <c r="AD52" s="114" t="str">
        <f>IF(COUNTIFS(mapping!$B:$B,AD$2,mapping!$D:$D,$B52)&gt;0,"X","")</f>
        <v/>
      </c>
      <c r="AE52" s="114" t="str">
        <f>IF(COUNTIFS(mapping!$B:$B,AE$2,mapping!$D:$D,$B52)&gt;0,"X","")</f>
        <v/>
      </c>
      <c r="AF52" s="114" t="str">
        <f>IF(COUNTIFS(mapping!$B:$B,AF$2,mapping!$D:$D,$B52)&gt;0,"X","")</f>
        <v/>
      </c>
      <c r="AG52" s="114" t="str">
        <f>IF(COUNTIFS(mapping!$B:$B,AG$2,mapping!$D:$D,$B52)&gt;0,"X","")</f>
        <v/>
      </c>
      <c r="AH52" s="114" t="str">
        <f>IF(COUNTIFS(mapping!$B:$B,AH$2,mapping!$D:$D,$B52)&gt;0,"X","")</f>
        <v/>
      </c>
      <c r="AI52" s="114" t="str">
        <f>IF(COUNTIFS(mapping!$B:$B,AI$2,mapping!$D:$D,$B52)&gt;0,"X","")</f>
        <v/>
      </c>
      <c r="AJ52" s="114" t="str">
        <f>IF(COUNTIFS(mapping!$B:$B,AJ$2,mapping!$D:$D,$B52)&gt;0,"X","")</f>
        <v/>
      </c>
      <c r="AK52" s="114" t="str">
        <f>IF(COUNTIFS(mapping!$B:$B,AK$2,mapping!$D:$D,$B52)&gt;0,"X","")</f>
        <v/>
      </c>
      <c r="AL52" s="114" t="str">
        <f>IF(COUNTIFS(mapping!$B:$B,AL$2,mapping!$D:$D,$B52)&gt;0,"X","")</f>
        <v/>
      </c>
      <c r="AM52" s="114" t="str">
        <f>IF(COUNTIFS(mapping!$B:$B,AM$2,mapping!$D:$D,$B52)&gt;0,"X","")</f>
        <v/>
      </c>
      <c r="AN52" s="114" t="str">
        <f>IF(COUNTIFS(mapping!$B:$B,AN$2,mapping!$D:$D,$B52)&gt;0,"X","")</f>
        <v/>
      </c>
      <c r="AO52" s="114" t="str">
        <f>IF(COUNTIFS(mapping!$B:$B,AO$2,mapping!$D:$D,$B52)&gt;0,"X","")</f>
        <v/>
      </c>
      <c r="AP52" s="114" t="str">
        <f>IF(COUNTIFS(mapping!$B:$B,AP$2,mapping!$D:$D,$B52)&gt;0,"X","")</f>
        <v/>
      </c>
      <c r="AQ52" s="114" t="str">
        <f>IF(COUNTIFS(mapping!$B:$B,AQ$2,mapping!$D:$D,$B52)&gt;0,"X","")</f>
        <v/>
      </c>
      <c r="AR52" s="114" t="str">
        <f>IF(COUNTIFS(mapping!$B:$B,AR$2,mapping!$D:$D,$B52)&gt;0,"X","")</f>
        <v/>
      </c>
      <c r="AS52" s="114" t="str">
        <f>IF(COUNTIFS(mapping!$B:$B,AS$2,mapping!$D:$D,$B52)&gt;0,"X","")</f>
        <v/>
      </c>
      <c r="AT52" s="114" t="str">
        <f>IF(COUNTIFS(mapping!$B:$B,AT$2,mapping!$D:$D,$B52)&gt;0,"X","")</f>
        <v>X</v>
      </c>
      <c r="AU52" s="114" t="str">
        <f>IF(COUNTIFS(mapping!$B:$B,AU$2,mapping!$D:$D,$B52)&gt;0,"X","")</f>
        <v/>
      </c>
      <c r="AV52" s="114" t="str">
        <f>IF(COUNTIFS(mapping!$B:$B,AV$2,mapping!$D:$D,$B52)&gt;0,"X","")</f>
        <v/>
      </c>
      <c r="AW52" s="114" t="str">
        <f>IF(COUNTIFS(mapping!$B:$B,AW$2,mapping!$D:$D,$B52)&gt;0,"X","")</f>
        <v/>
      </c>
      <c r="AX52" s="114" t="str">
        <f>IF(COUNTIFS(mapping!$B:$B,AX$2,mapping!$D:$D,$B52)&gt;0,"X","")</f>
        <v/>
      </c>
      <c r="AY52" s="114" t="str">
        <f>IF(COUNTIFS(mapping!$B:$B,AY$2,mapping!$D:$D,$B52)&gt;0,"X","")</f>
        <v/>
      </c>
      <c r="AZ52" s="114" t="str">
        <f>IF(COUNTIFS(mapping!$B:$B,AZ$2,mapping!$D:$D,$B52)&gt;0,"X","")</f>
        <v/>
      </c>
      <c r="BA52" s="114" t="str">
        <f>IF(COUNTIFS(mapping!$B:$B,BA$2,mapping!$D:$D,$B52)&gt;0,"X","")</f>
        <v/>
      </c>
      <c r="BB52" s="114" t="str">
        <f>IF(COUNTIFS(mapping!$B:$B,BB$2,mapping!$D:$D,$B52)&gt;0,"X","")</f>
        <v/>
      </c>
      <c r="BC52" s="114" t="str">
        <f>IF(COUNTIFS(mapping!$B:$B,BC$2,mapping!$D:$D,$B52)&gt;0,"X","")</f>
        <v/>
      </c>
      <c r="BD52" s="114" t="str">
        <f>IF(COUNTIFS(mapping!$B:$B,BD$2,mapping!$D:$D,$B52)&gt;0,"X","")</f>
        <v/>
      </c>
      <c r="BE52" s="114" t="str">
        <f>IF(COUNTIFS(mapping!$B:$B,BE$2,mapping!$D:$D,$B52)&gt;0,"X","")</f>
        <v/>
      </c>
      <c r="BF52" s="114" t="str">
        <f>IF(COUNTIFS(mapping!$B:$B,BF$2,mapping!$D:$D,$B52)&gt;0,"X","")</f>
        <v/>
      </c>
      <c r="BG52" s="114" t="str">
        <f>IF(COUNTIFS(mapping!$B:$B,BG$2,mapping!$D:$D,$B52)&gt;0,"X","")</f>
        <v/>
      </c>
      <c r="BH52" s="114" t="str">
        <f>IF(COUNTIFS(mapping!$B:$B,BH$2,mapping!$D:$D,$B52)&gt;0,"X","")</f>
        <v/>
      </c>
      <c r="BI52" s="114" t="str">
        <f>IF(COUNTIFS(mapping!$B:$B,BI$2,mapping!$D:$D,$B52)&gt;0,"X","")</f>
        <v/>
      </c>
      <c r="BJ52" s="114" t="str">
        <f>IF(COUNTIFS(mapping!$B:$B,BJ$2,mapping!$D:$D,$B52)&gt;0,"X","")</f>
        <v/>
      </c>
      <c r="BK52" s="114" t="str">
        <f>IF(COUNTIFS(mapping!$B:$B,BK$2,mapping!$D:$D,$B52)&gt;0,"X","")</f>
        <v/>
      </c>
      <c r="BL52" s="114" t="str">
        <f>IF(COUNTIFS(mapping!$B:$B,BL$2,mapping!$D:$D,$B52)&gt;0,"X","")</f>
        <v/>
      </c>
      <c r="BM52" s="114" t="str">
        <f>IF(COUNTIFS(mapping!$B:$B,BM$2,mapping!$D:$D,$B52)&gt;0,"X","")</f>
        <v/>
      </c>
      <c r="BN52" s="114" t="str">
        <f>IF(COUNTIFS(mapping!$B:$B,BN$2,mapping!$D:$D,$B52)&gt;0,"X","")</f>
        <v/>
      </c>
      <c r="BO52" s="114" t="str">
        <f>IF(COUNTIFS(mapping!$B:$B,BO$2,mapping!$D:$D,$B52)&gt;0,"X","")</f>
        <v/>
      </c>
      <c r="BP52" s="114" t="str">
        <f>IF(COUNTIFS(mapping!$B:$B,BP$2,mapping!$D:$D,$B52)&gt;0,"X","")</f>
        <v/>
      </c>
      <c r="BQ52" s="114" t="str">
        <f>IF(COUNTIFS(mapping!$B:$B,BQ$2,mapping!$D:$D,$B52)&gt;0,"X","")</f>
        <v/>
      </c>
      <c r="BR52" s="114" t="str">
        <f>IF(COUNTIFS(mapping!$B:$B,BR$2,mapping!$D:$D,$B52)&gt;0,"X","")</f>
        <v/>
      </c>
      <c r="BS52" s="114" t="str">
        <f>IF(COUNTIFS(mapping!$B:$B,BS$2,mapping!$D:$D,$B52)&gt;0,"X","")</f>
        <v/>
      </c>
      <c r="BT52" s="114" t="str">
        <f>IF(COUNTIFS(mapping!$B:$B,BT$2,mapping!$D:$D,$B52)&gt;0,"X","")</f>
        <v/>
      </c>
      <c r="BU52" s="114" t="str">
        <f>IF(COUNTIFS(mapping!$B:$B,BU$2,mapping!$D:$D,$B52)&gt;0,"X","")</f>
        <v/>
      </c>
      <c r="BV52" s="114" t="str">
        <f>IF(COUNTIFS(mapping!$B:$B,BV$2,mapping!$D:$D,$B52)&gt;0,"X","")</f>
        <v/>
      </c>
      <c r="BW52" s="114" t="str">
        <f>IF(COUNTIFS(mapping!$B:$B,BW$2,mapping!$D:$D,$B52)&gt;0,"X","")</f>
        <v/>
      </c>
      <c r="BX52" s="114" t="str">
        <f>IF(COUNTIFS(mapping!$B:$B,BX$2,mapping!$D:$D,$B52)&gt;0,"X","")</f>
        <v/>
      </c>
      <c r="BY52" s="114" t="str">
        <f>IF(COUNTIFS(mapping!$B:$B,BY$2,mapping!$D:$D,$B52)&gt;0,"X","")</f>
        <v/>
      </c>
      <c r="BZ52" s="114" t="str">
        <f>IF(COUNTIFS(mapping!$B:$B,BZ$2,mapping!$D:$D,$B52)&gt;0,"X","")</f>
        <v/>
      </c>
      <c r="CA52" s="114" t="str">
        <f>IF(COUNTIFS(mapping!$B:$B,CA$2,mapping!$D:$D,$B52)&gt;0,"X","")</f>
        <v/>
      </c>
      <c r="CB52" s="114" t="str">
        <f>IF(COUNTIFS(mapping!$B:$B,CB$2,mapping!$D:$D,$B52)&gt;0,"X","")</f>
        <v/>
      </c>
      <c r="CC52" s="114" t="str">
        <f>IF(COUNTIFS(mapping!$B:$B,CC$2,mapping!$D:$D,$B52)&gt;0,"X","")</f>
        <v/>
      </c>
      <c r="CD52" s="114" t="str">
        <f>IF(COUNTIFS(mapping!$B:$B,CD$2,mapping!$D:$D,$B52)&gt;0,"X","")</f>
        <v/>
      </c>
      <c r="CE52" s="114" t="str">
        <f>IF(COUNTIFS(mapping!$B:$B,CE$2,mapping!$D:$D,$B52)&gt;0,"X","")</f>
        <v/>
      </c>
      <c r="CF52" s="114" t="str">
        <f>IF(COUNTIFS(mapping!$B:$B,CF$2,mapping!$D:$D,$B52)&gt;0,"X","")</f>
        <v/>
      </c>
      <c r="CG52" s="114" t="str">
        <f>IF(COUNTIFS(mapping!$B:$B,CG$2,mapping!$D:$D,$B52)&gt;0,"X","")</f>
        <v/>
      </c>
      <c r="CH52" s="114" t="str">
        <f>IF(COUNTIFS(mapping!$B:$B,CH$2,mapping!$D:$D,$B52)&gt;0,"X","")</f>
        <v/>
      </c>
    </row>
    <row r="53" spans="1:86" ht="16">
      <c r="A53" s="257"/>
      <c r="B53" s="122" t="s">
        <v>432</v>
      </c>
      <c r="C53" s="122" t="s">
        <v>431</v>
      </c>
      <c r="E53" s="114" t="str">
        <f>IF(COUNTIFS(mapping!$B:$B,E$2,mapping!$D:$D,$B53)&gt;0,"X","")</f>
        <v/>
      </c>
      <c r="F53" s="114" t="str">
        <f>IF(COUNTIFS(mapping!$B:$B,F$2,mapping!$D:$D,$B53)&gt;0,"X","")</f>
        <v/>
      </c>
      <c r="G53" s="114" t="str">
        <f>IF(COUNTIFS(mapping!$B:$B,G$2,mapping!$D:$D,$B53)&gt;0,"X","")</f>
        <v/>
      </c>
      <c r="H53" s="114" t="str">
        <f>IF(COUNTIFS(mapping!$B:$B,H$2,mapping!$D:$D,$B53)&gt;0,"X","")</f>
        <v/>
      </c>
      <c r="I53" s="114" t="str">
        <f>IF(COUNTIFS(mapping!$B:$B,I$2,mapping!$D:$D,$B53)&gt;0,"X","")</f>
        <v/>
      </c>
      <c r="J53" s="114" t="str">
        <f>IF(COUNTIFS(mapping!$B:$B,J$2,mapping!$D:$D,$B53)&gt;0,"X","")</f>
        <v/>
      </c>
      <c r="K53" s="114" t="str">
        <f>IF(COUNTIFS(mapping!$B:$B,K$2,mapping!$D:$D,$B53)&gt;0,"X","")</f>
        <v>X</v>
      </c>
      <c r="L53" s="114" t="str">
        <f>IF(COUNTIFS(mapping!$B:$B,L$2,mapping!$D:$D,$B53)&gt;0,"X","")</f>
        <v/>
      </c>
      <c r="M53" s="114" t="str">
        <f>IF(COUNTIFS(mapping!$B:$B,M$2,mapping!$D:$D,$B53)&gt;0,"X","")</f>
        <v/>
      </c>
      <c r="N53" s="114" t="str">
        <f>IF(COUNTIFS(mapping!$B:$B,N$2,mapping!$D:$D,$B53)&gt;0,"X","")</f>
        <v/>
      </c>
      <c r="O53" s="114" t="str">
        <f>IF(COUNTIFS(mapping!$B:$B,O$2,mapping!$D:$D,$B53)&gt;0,"X","")</f>
        <v/>
      </c>
      <c r="P53" s="114" t="str">
        <f>IF(COUNTIFS(mapping!$B:$B,P$2,mapping!$D:$D,$B53)&gt;0,"X","")</f>
        <v/>
      </c>
      <c r="Q53" s="114" t="str">
        <f>IF(COUNTIFS(mapping!$B:$B,Q$2,mapping!$D:$D,$B53)&gt;0,"X","")</f>
        <v/>
      </c>
      <c r="R53" s="114" t="str">
        <f>IF(COUNTIFS(mapping!$B:$B,R$2,mapping!$D:$D,$B53)&gt;0,"X","")</f>
        <v/>
      </c>
      <c r="S53" s="114" t="str">
        <f>IF(COUNTIFS(mapping!$B:$B,S$2,mapping!$D:$D,$B53)&gt;0,"X","")</f>
        <v/>
      </c>
      <c r="T53" s="114" t="str">
        <f>IF(COUNTIFS(mapping!$B:$B,T$2,mapping!$D:$D,$B53)&gt;0,"X","")</f>
        <v/>
      </c>
      <c r="U53" s="114" t="str">
        <f>IF(COUNTIFS(mapping!$B:$B,U$2,mapping!$D:$D,$B53)&gt;0,"X","")</f>
        <v/>
      </c>
      <c r="V53" s="114" t="str">
        <f>IF(COUNTIFS(mapping!$B:$B,V$2,mapping!$D:$D,$B53)&gt;0,"X","")</f>
        <v/>
      </c>
      <c r="W53" s="114" t="str">
        <f>IF(COUNTIFS(mapping!$B:$B,W$2,mapping!$D:$D,$B53)&gt;0,"X","")</f>
        <v/>
      </c>
      <c r="X53" s="114" t="str">
        <f>IF(COUNTIFS(mapping!$B:$B,X$2,mapping!$D:$D,$B53)&gt;0,"X","")</f>
        <v/>
      </c>
      <c r="Y53" s="114" t="str">
        <f>IF(COUNTIFS(mapping!$B:$B,Y$2,mapping!$D:$D,$B53)&gt;0,"X","")</f>
        <v/>
      </c>
      <c r="Z53" s="114" t="str">
        <f>IF(COUNTIFS(mapping!$B:$B,Z$2,mapping!$D:$D,$B53)&gt;0,"X","")</f>
        <v/>
      </c>
      <c r="AA53" s="114" t="str">
        <f>IF(COUNTIFS(mapping!$B:$B,AA$2,mapping!$D:$D,$B53)&gt;0,"X","")</f>
        <v/>
      </c>
      <c r="AB53" s="114" t="str">
        <f>IF(COUNTIFS(mapping!$B:$B,AB$2,mapping!$D:$D,$B53)&gt;0,"X","")</f>
        <v/>
      </c>
      <c r="AC53" s="114" t="str">
        <f>IF(COUNTIFS(mapping!$B:$B,AC$2,mapping!$D:$D,$B53)&gt;0,"X","")</f>
        <v/>
      </c>
      <c r="AD53" s="114" t="str">
        <f>IF(COUNTIFS(mapping!$B:$B,AD$2,mapping!$D:$D,$B53)&gt;0,"X","")</f>
        <v/>
      </c>
      <c r="AE53" s="114" t="str">
        <f>IF(COUNTIFS(mapping!$B:$B,AE$2,mapping!$D:$D,$B53)&gt;0,"X","")</f>
        <v/>
      </c>
      <c r="AF53" s="114" t="str">
        <f>IF(COUNTIFS(mapping!$B:$B,AF$2,mapping!$D:$D,$B53)&gt;0,"X","")</f>
        <v/>
      </c>
      <c r="AG53" s="114" t="str">
        <f>IF(COUNTIFS(mapping!$B:$B,AG$2,mapping!$D:$D,$B53)&gt;0,"X","")</f>
        <v/>
      </c>
      <c r="AH53" s="114" t="str">
        <f>IF(COUNTIFS(mapping!$B:$B,AH$2,mapping!$D:$D,$B53)&gt;0,"X","")</f>
        <v/>
      </c>
      <c r="AI53" s="114" t="str">
        <f>IF(COUNTIFS(mapping!$B:$B,AI$2,mapping!$D:$D,$B53)&gt;0,"X","")</f>
        <v/>
      </c>
      <c r="AJ53" s="114" t="str">
        <f>IF(COUNTIFS(mapping!$B:$B,AJ$2,mapping!$D:$D,$B53)&gt;0,"X","")</f>
        <v/>
      </c>
      <c r="AK53" s="114" t="str">
        <f>IF(COUNTIFS(mapping!$B:$B,AK$2,mapping!$D:$D,$B53)&gt;0,"X","")</f>
        <v/>
      </c>
      <c r="AL53" s="114" t="str">
        <f>IF(COUNTIFS(mapping!$B:$B,AL$2,mapping!$D:$D,$B53)&gt;0,"X","")</f>
        <v/>
      </c>
      <c r="AM53" s="114" t="str">
        <f>IF(COUNTIFS(mapping!$B:$B,AM$2,mapping!$D:$D,$B53)&gt;0,"X","")</f>
        <v/>
      </c>
      <c r="AN53" s="114" t="str">
        <f>IF(COUNTIFS(mapping!$B:$B,AN$2,mapping!$D:$D,$B53)&gt;0,"X","")</f>
        <v/>
      </c>
      <c r="AO53" s="114" t="str">
        <f>IF(COUNTIFS(mapping!$B:$B,AO$2,mapping!$D:$D,$B53)&gt;0,"X","")</f>
        <v/>
      </c>
      <c r="AP53" s="114" t="str">
        <f>IF(COUNTIFS(mapping!$B:$B,AP$2,mapping!$D:$D,$B53)&gt;0,"X","")</f>
        <v/>
      </c>
      <c r="AQ53" s="114" t="str">
        <f>IF(COUNTIFS(mapping!$B:$B,AQ$2,mapping!$D:$D,$B53)&gt;0,"X","")</f>
        <v/>
      </c>
      <c r="AR53" s="114" t="str">
        <f>IF(COUNTIFS(mapping!$B:$B,AR$2,mapping!$D:$D,$B53)&gt;0,"X","")</f>
        <v/>
      </c>
      <c r="AS53" s="114" t="str">
        <f>IF(COUNTIFS(mapping!$B:$B,AS$2,mapping!$D:$D,$B53)&gt;0,"X","")</f>
        <v/>
      </c>
      <c r="AT53" s="114" t="str">
        <f>IF(COUNTIFS(mapping!$B:$B,AT$2,mapping!$D:$D,$B53)&gt;0,"X","")</f>
        <v/>
      </c>
      <c r="AU53" s="114" t="str">
        <f>IF(COUNTIFS(mapping!$B:$B,AU$2,mapping!$D:$D,$B53)&gt;0,"X","")</f>
        <v/>
      </c>
      <c r="AV53" s="114" t="str">
        <f>IF(COUNTIFS(mapping!$B:$B,AV$2,mapping!$D:$D,$B53)&gt;0,"X","")</f>
        <v/>
      </c>
      <c r="AW53" s="114" t="str">
        <f>IF(COUNTIFS(mapping!$B:$B,AW$2,mapping!$D:$D,$B53)&gt;0,"X","")</f>
        <v/>
      </c>
      <c r="AX53" s="114" t="str">
        <f>IF(COUNTIFS(mapping!$B:$B,AX$2,mapping!$D:$D,$B53)&gt;0,"X","")</f>
        <v/>
      </c>
      <c r="AY53" s="114" t="str">
        <f>IF(COUNTIFS(mapping!$B:$B,AY$2,mapping!$D:$D,$B53)&gt;0,"X","")</f>
        <v/>
      </c>
      <c r="AZ53" s="114" t="str">
        <f>IF(COUNTIFS(mapping!$B:$B,AZ$2,mapping!$D:$D,$B53)&gt;0,"X","")</f>
        <v/>
      </c>
      <c r="BA53" s="114" t="str">
        <f>IF(COUNTIFS(mapping!$B:$B,BA$2,mapping!$D:$D,$B53)&gt;0,"X","")</f>
        <v/>
      </c>
      <c r="BB53" s="114" t="str">
        <f>IF(COUNTIFS(mapping!$B:$B,BB$2,mapping!$D:$D,$B53)&gt;0,"X","")</f>
        <v/>
      </c>
      <c r="BC53" s="114" t="str">
        <f>IF(COUNTIFS(mapping!$B:$B,BC$2,mapping!$D:$D,$B53)&gt;0,"X","")</f>
        <v/>
      </c>
      <c r="BD53" s="114" t="str">
        <f>IF(COUNTIFS(mapping!$B:$B,BD$2,mapping!$D:$D,$B53)&gt;0,"X","")</f>
        <v/>
      </c>
      <c r="BE53" s="114" t="str">
        <f>IF(COUNTIFS(mapping!$B:$B,BE$2,mapping!$D:$D,$B53)&gt;0,"X","")</f>
        <v/>
      </c>
      <c r="BF53" s="114" t="str">
        <f>IF(COUNTIFS(mapping!$B:$B,BF$2,mapping!$D:$D,$B53)&gt;0,"X","")</f>
        <v/>
      </c>
      <c r="BG53" s="114" t="str">
        <f>IF(COUNTIFS(mapping!$B:$B,BG$2,mapping!$D:$D,$B53)&gt;0,"X","")</f>
        <v/>
      </c>
      <c r="BH53" s="114" t="str">
        <f>IF(COUNTIFS(mapping!$B:$B,BH$2,mapping!$D:$D,$B53)&gt;0,"X","")</f>
        <v/>
      </c>
      <c r="BI53" s="114" t="str">
        <f>IF(COUNTIFS(mapping!$B:$B,BI$2,mapping!$D:$D,$B53)&gt;0,"X","")</f>
        <v/>
      </c>
      <c r="BJ53" s="114" t="str">
        <f>IF(COUNTIFS(mapping!$B:$B,BJ$2,mapping!$D:$D,$B53)&gt;0,"X","")</f>
        <v/>
      </c>
      <c r="BK53" s="114" t="str">
        <f>IF(COUNTIFS(mapping!$B:$B,BK$2,mapping!$D:$D,$B53)&gt;0,"X","")</f>
        <v/>
      </c>
      <c r="BL53" s="114" t="str">
        <f>IF(COUNTIFS(mapping!$B:$B,BL$2,mapping!$D:$D,$B53)&gt;0,"X","")</f>
        <v/>
      </c>
      <c r="BM53" s="114" t="str">
        <f>IF(COUNTIFS(mapping!$B:$B,BM$2,mapping!$D:$D,$B53)&gt;0,"X","")</f>
        <v/>
      </c>
      <c r="BN53" s="114" t="str">
        <f>IF(COUNTIFS(mapping!$B:$B,BN$2,mapping!$D:$D,$B53)&gt;0,"X","")</f>
        <v/>
      </c>
      <c r="BO53" s="114" t="str">
        <f>IF(COUNTIFS(mapping!$B:$B,BO$2,mapping!$D:$D,$B53)&gt;0,"X","")</f>
        <v/>
      </c>
      <c r="BP53" s="114" t="str">
        <f>IF(COUNTIFS(mapping!$B:$B,BP$2,mapping!$D:$D,$B53)&gt;0,"X","")</f>
        <v/>
      </c>
      <c r="BQ53" s="114" t="str">
        <f>IF(COUNTIFS(mapping!$B:$B,BQ$2,mapping!$D:$D,$B53)&gt;0,"X","")</f>
        <v/>
      </c>
      <c r="BR53" s="114" t="str">
        <f>IF(COUNTIFS(mapping!$B:$B,BR$2,mapping!$D:$D,$B53)&gt;0,"X","")</f>
        <v/>
      </c>
      <c r="BS53" s="114" t="str">
        <f>IF(COUNTIFS(mapping!$B:$B,BS$2,mapping!$D:$D,$B53)&gt;0,"X","")</f>
        <v/>
      </c>
      <c r="BT53" s="114" t="str">
        <f>IF(COUNTIFS(mapping!$B:$B,BT$2,mapping!$D:$D,$B53)&gt;0,"X","")</f>
        <v/>
      </c>
      <c r="BU53" s="114" t="str">
        <f>IF(COUNTIFS(mapping!$B:$B,BU$2,mapping!$D:$D,$B53)&gt;0,"X","")</f>
        <v/>
      </c>
      <c r="BV53" s="114" t="str">
        <f>IF(COUNTIFS(mapping!$B:$B,BV$2,mapping!$D:$D,$B53)&gt;0,"X","")</f>
        <v/>
      </c>
      <c r="BW53" s="114" t="str">
        <f>IF(COUNTIFS(mapping!$B:$B,BW$2,mapping!$D:$D,$B53)&gt;0,"X","")</f>
        <v/>
      </c>
      <c r="BX53" s="114" t="str">
        <f>IF(COUNTIFS(mapping!$B:$B,BX$2,mapping!$D:$D,$B53)&gt;0,"X","")</f>
        <v/>
      </c>
      <c r="BY53" s="114" t="str">
        <f>IF(COUNTIFS(mapping!$B:$B,BY$2,mapping!$D:$D,$B53)&gt;0,"X","")</f>
        <v/>
      </c>
      <c r="BZ53" s="114" t="str">
        <f>IF(COUNTIFS(mapping!$B:$B,BZ$2,mapping!$D:$D,$B53)&gt;0,"X","")</f>
        <v>X</v>
      </c>
      <c r="CA53" s="114" t="str">
        <f>IF(COUNTIFS(mapping!$B:$B,CA$2,mapping!$D:$D,$B53)&gt;0,"X","")</f>
        <v>X</v>
      </c>
      <c r="CB53" s="114" t="str">
        <f>IF(COUNTIFS(mapping!$B:$B,CB$2,mapping!$D:$D,$B53)&gt;0,"X","")</f>
        <v/>
      </c>
      <c r="CC53" s="114" t="str">
        <f>IF(COUNTIFS(mapping!$B:$B,CC$2,mapping!$D:$D,$B53)&gt;0,"X","")</f>
        <v/>
      </c>
      <c r="CD53" s="114" t="str">
        <f>IF(COUNTIFS(mapping!$B:$B,CD$2,mapping!$D:$D,$B53)&gt;0,"X","")</f>
        <v/>
      </c>
      <c r="CE53" s="114" t="str">
        <f>IF(COUNTIFS(mapping!$B:$B,CE$2,mapping!$D:$D,$B53)&gt;0,"X","")</f>
        <v/>
      </c>
      <c r="CF53" s="114" t="str">
        <f>IF(COUNTIFS(mapping!$B:$B,CF$2,mapping!$D:$D,$B53)&gt;0,"X","")</f>
        <v/>
      </c>
      <c r="CG53" s="114" t="str">
        <f>IF(COUNTIFS(mapping!$B:$B,CG$2,mapping!$D:$D,$B53)&gt;0,"X","")</f>
        <v/>
      </c>
      <c r="CH53" s="114" t="str">
        <f>IF(COUNTIFS(mapping!$B:$B,CH$2,mapping!$D:$D,$B53)&gt;0,"X","")</f>
        <v/>
      </c>
    </row>
    <row r="54" spans="1:86" ht="16">
      <c r="A54" s="257"/>
      <c r="B54" s="122" t="s">
        <v>430</v>
      </c>
      <c r="C54" s="122" t="s">
        <v>429</v>
      </c>
      <c r="E54" s="114" t="str">
        <f>IF(COUNTIFS(mapping!$B:$B,E$2,mapping!$D:$D,$B54)&gt;0,"X","")</f>
        <v/>
      </c>
      <c r="F54" s="114" t="str">
        <f>IF(COUNTIFS(mapping!$B:$B,F$2,mapping!$D:$D,$B54)&gt;0,"X","")</f>
        <v/>
      </c>
      <c r="G54" s="114" t="str">
        <f>IF(COUNTIFS(mapping!$B:$B,G$2,mapping!$D:$D,$B54)&gt;0,"X","")</f>
        <v/>
      </c>
      <c r="H54" s="114" t="str">
        <f>IF(COUNTIFS(mapping!$B:$B,H$2,mapping!$D:$D,$B54)&gt;0,"X","")</f>
        <v/>
      </c>
      <c r="I54" s="114" t="str">
        <f>IF(COUNTIFS(mapping!$B:$B,I$2,mapping!$D:$D,$B54)&gt;0,"X","")</f>
        <v/>
      </c>
      <c r="J54" s="114" t="str">
        <f>IF(COUNTIFS(mapping!$B:$B,J$2,mapping!$D:$D,$B54)&gt;0,"X","")</f>
        <v>X</v>
      </c>
      <c r="K54" s="114" t="str">
        <f>IF(COUNTIFS(mapping!$B:$B,K$2,mapping!$D:$D,$B54)&gt;0,"X","")</f>
        <v/>
      </c>
      <c r="L54" s="114" t="str">
        <f>IF(COUNTIFS(mapping!$B:$B,L$2,mapping!$D:$D,$B54)&gt;0,"X","")</f>
        <v>X</v>
      </c>
      <c r="M54" s="114" t="str">
        <f>IF(COUNTIFS(mapping!$B:$B,M$2,mapping!$D:$D,$B54)&gt;0,"X","")</f>
        <v/>
      </c>
      <c r="N54" s="114" t="str">
        <f>IF(COUNTIFS(mapping!$B:$B,N$2,mapping!$D:$D,$B54)&gt;0,"X","")</f>
        <v/>
      </c>
      <c r="O54" s="114" t="str">
        <f>IF(COUNTIFS(mapping!$B:$B,O$2,mapping!$D:$D,$B54)&gt;0,"X","")</f>
        <v/>
      </c>
      <c r="P54" s="114" t="str">
        <f>IF(COUNTIFS(mapping!$B:$B,P$2,mapping!$D:$D,$B54)&gt;0,"X","")</f>
        <v/>
      </c>
      <c r="Q54" s="114" t="str">
        <f>IF(COUNTIFS(mapping!$B:$B,Q$2,mapping!$D:$D,$B54)&gt;0,"X","")</f>
        <v/>
      </c>
      <c r="R54" s="114" t="str">
        <f>IF(COUNTIFS(mapping!$B:$B,R$2,mapping!$D:$D,$B54)&gt;0,"X","")</f>
        <v/>
      </c>
      <c r="S54" s="114" t="str">
        <f>IF(COUNTIFS(mapping!$B:$B,S$2,mapping!$D:$D,$B54)&gt;0,"X","")</f>
        <v/>
      </c>
      <c r="T54" s="114" t="str">
        <f>IF(COUNTIFS(mapping!$B:$B,T$2,mapping!$D:$D,$B54)&gt;0,"X","")</f>
        <v/>
      </c>
      <c r="U54" s="114" t="str">
        <f>IF(COUNTIFS(mapping!$B:$B,U$2,mapping!$D:$D,$B54)&gt;0,"X","")</f>
        <v/>
      </c>
      <c r="V54" s="114" t="str">
        <f>IF(COUNTIFS(mapping!$B:$B,V$2,mapping!$D:$D,$B54)&gt;0,"X","")</f>
        <v/>
      </c>
      <c r="W54" s="114" t="str">
        <f>IF(COUNTIFS(mapping!$B:$B,W$2,mapping!$D:$D,$B54)&gt;0,"X","")</f>
        <v/>
      </c>
      <c r="X54" s="114" t="str">
        <f>IF(COUNTIFS(mapping!$B:$B,X$2,mapping!$D:$D,$B54)&gt;0,"X","")</f>
        <v/>
      </c>
      <c r="Y54" s="114" t="str">
        <f>IF(COUNTIFS(mapping!$B:$B,Y$2,mapping!$D:$D,$B54)&gt;0,"X","")</f>
        <v/>
      </c>
      <c r="Z54" s="114" t="str">
        <f>IF(COUNTIFS(mapping!$B:$B,Z$2,mapping!$D:$D,$B54)&gt;0,"X","")</f>
        <v/>
      </c>
      <c r="AA54" s="114" t="str">
        <f>IF(COUNTIFS(mapping!$B:$B,AA$2,mapping!$D:$D,$B54)&gt;0,"X","")</f>
        <v/>
      </c>
      <c r="AB54" s="114" t="str">
        <f>IF(COUNTIFS(mapping!$B:$B,AB$2,mapping!$D:$D,$B54)&gt;0,"X","")</f>
        <v/>
      </c>
      <c r="AC54" s="114" t="str">
        <f>IF(COUNTIFS(mapping!$B:$B,AC$2,mapping!$D:$D,$B54)&gt;0,"X","")</f>
        <v/>
      </c>
      <c r="AD54" s="114" t="str">
        <f>IF(COUNTIFS(mapping!$B:$B,AD$2,mapping!$D:$D,$B54)&gt;0,"X","")</f>
        <v/>
      </c>
      <c r="AE54" s="114" t="str">
        <f>IF(COUNTIFS(mapping!$B:$B,AE$2,mapping!$D:$D,$B54)&gt;0,"X","")</f>
        <v/>
      </c>
      <c r="AF54" s="114" t="str">
        <f>IF(COUNTIFS(mapping!$B:$B,AF$2,mapping!$D:$D,$B54)&gt;0,"X","")</f>
        <v/>
      </c>
      <c r="AG54" s="114" t="str">
        <f>IF(COUNTIFS(mapping!$B:$B,AG$2,mapping!$D:$D,$B54)&gt;0,"X","")</f>
        <v/>
      </c>
      <c r="AH54" s="114" t="str">
        <f>IF(COUNTIFS(mapping!$B:$B,AH$2,mapping!$D:$D,$B54)&gt;0,"X","")</f>
        <v/>
      </c>
      <c r="AI54" s="114" t="str">
        <f>IF(COUNTIFS(mapping!$B:$B,AI$2,mapping!$D:$D,$B54)&gt;0,"X","")</f>
        <v/>
      </c>
      <c r="AJ54" s="114" t="str">
        <f>IF(COUNTIFS(mapping!$B:$B,AJ$2,mapping!$D:$D,$B54)&gt;0,"X","")</f>
        <v/>
      </c>
      <c r="AK54" s="114" t="str">
        <f>IF(COUNTIFS(mapping!$B:$B,AK$2,mapping!$D:$D,$B54)&gt;0,"X","")</f>
        <v/>
      </c>
      <c r="AL54" s="114" t="str">
        <f>IF(COUNTIFS(mapping!$B:$B,AL$2,mapping!$D:$D,$B54)&gt;0,"X","")</f>
        <v/>
      </c>
      <c r="AM54" s="114" t="str">
        <f>IF(COUNTIFS(mapping!$B:$B,AM$2,mapping!$D:$D,$B54)&gt;0,"X","")</f>
        <v/>
      </c>
      <c r="AN54" s="114" t="str">
        <f>IF(COUNTIFS(mapping!$B:$B,AN$2,mapping!$D:$D,$B54)&gt;0,"X","")</f>
        <v/>
      </c>
      <c r="AO54" s="114" t="str">
        <f>IF(COUNTIFS(mapping!$B:$B,AO$2,mapping!$D:$D,$B54)&gt;0,"X","")</f>
        <v/>
      </c>
      <c r="AP54" s="114" t="str">
        <f>IF(COUNTIFS(mapping!$B:$B,AP$2,mapping!$D:$D,$B54)&gt;0,"X","")</f>
        <v/>
      </c>
      <c r="AQ54" s="114" t="str">
        <f>IF(COUNTIFS(mapping!$B:$B,AQ$2,mapping!$D:$D,$B54)&gt;0,"X","")</f>
        <v/>
      </c>
      <c r="AR54" s="114" t="str">
        <f>IF(COUNTIFS(mapping!$B:$B,AR$2,mapping!$D:$D,$B54)&gt;0,"X","")</f>
        <v>X</v>
      </c>
      <c r="AS54" s="114" t="str">
        <f>IF(COUNTIFS(mapping!$B:$B,AS$2,mapping!$D:$D,$B54)&gt;0,"X","")</f>
        <v/>
      </c>
      <c r="AT54" s="114" t="str">
        <f>IF(COUNTIFS(mapping!$B:$B,AT$2,mapping!$D:$D,$B54)&gt;0,"X","")</f>
        <v/>
      </c>
      <c r="AU54" s="114" t="str">
        <f>IF(COUNTIFS(mapping!$B:$B,AU$2,mapping!$D:$D,$B54)&gt;0,"X","")</f>
        <v/>
      </c>
      <c r="AV54" s="114" t="str">
        <f>IF(COUNTIFS(mapping!$B:$B,AV$2,mapping!$D:$D,$B54)&gt;0,"X","")</f>
        <v/>
      </c>
      <c r="AW54" s="114" t="str">
        <f>IF(COUNTIFS(mapping!$B:$B,AW$2,mapping!$D:$D,$B54)&gt;0,"X","")</f>
        <v/>
      </c>
      <c r="AX54" s="114" t="str">
        <f>IF(COUNTIFS(mapping!$B:$B,AX$2,mapping!$D:$D,$B54)&gt;0,"X","")</f>
        <v/>
      </c>
      <c r="AY54" s="114" t="str">
        <f>IF(COUNTIFS(mapping!$B:$B,AY$2,mapping!$D:$D,$B54)&gt;0,"X","")</f>
        <v/>
      </c>
      <c r="AZ54" s="114" t="str">
        <f>IF(COUNTIFS(mapping!$B:$B,AZ$2,mapping!$D:$D,$B54)&gt;0,"X","")</f>
        <v/>
      </c>
      <c r="BA54" s="114" t="str">
        <f>IF(COUNTIFS(mapping!$B:$B,BA$2,mapping!$D:$D,$B54)&gt;0,"X","")</f>
        <v/>
      </c>
      <c r="BB54" s="114" t="str">
        <f>IF(COUNTIFS(mapping!$B:$B,BB$2,mapping!$D:$D,$B54)&gt;0,"X","")</f>
        <v/>
      </c>
      <c r="BC54" s="114" t="str">
        <f>IF(COUNTIFS(mapping!$B:$B,BC$2,mapping!$D:$D,$B54)&gt;0,"X","")</f>
        <v/>
      </c>
      <c r="BD54" s="114" t="str">
        <f>IF(COUNTIFS(mapping!$B:$B,BD$2,mapping!$D:$D,$B54)&gt;0,"X","")</f>
        <v/>
      </c>
      <c r="BE54" s="114" t="str">
        <f>IF(COUNTIFS(mapping!$B:$B,BE$2,mapping!$D:$D,$B54)&gt;0,"X","")</f>
        <v/>
      </c>
      <c r="BF54" s="114" t="str">
        <f>IF(COUNTIFS(mapping!$B:$B,BF$2,mapping!$D:$D,$B54)&gt;0,"X","")</f>
        <v/>
      </c>
      <c r="BG54" s="114" t="str">
        <f>IF(COUNTIFS(mapping!$B:$B,BG$2,mapping!$D:$D,$B54)&gt;0,"X","")</f>
        <v/>
      </c>
      <c r="BH54" s="114" t="str">
        <f>IF(COUNTIFS(mapping!$B:$B,BH$2,mapping!$D:$D,$B54)&gt;0,"X","")</f>
        <v/>
      </c>
      <c r="BI54" s="114" t="str">
        <f>IF(COUNTIFS(mapping!$B:$B,BI$2,mapping!$D:$D,$B54)&gt;0,"X","")</f>
        <v/>
      </c>
      <c r="BJ54" s="114" t="str">
        <f>IF(COUNTIFS(mapping!$B:$B,BJ$2,mapping!$D:$D,$B54)&gt;0,"X","")</f>
        <v/>
      </c>
      <c r="BK54" s="114" t="str">
        <f>IF(COUNTIFS(mapping!$B:$B,BK$2,mapping!$D:$D,$B54)&gt;0,"X","")</f>
        <v/>
      </c>
      <c r="BL54" s="114" t="str">
        <f>IF(COUNTIFS(mapping!$B:$B,BL$2,mapping!$D:$D,$B54)&gt;0,"X","")</f>
        <v/>
      </c>
      <c r="BM54" s="114" t="str">
        <f>IF(COUNTIFS(mapping!$B:$B,BM$2,mapping!$D:$D,$B54)&gt;0,"X","")</f>
        <v/>
      </c>
      <c r="BN54" s="114" t="str">
        <f>IF(COUNTIFS(mapping!$B:$B,BN$2,mapping!$D:$D,$B54)&gt;0,"X","")</f>
        <v/>
      </c>
      <c r="BO54" s="114" t="str">
        <f>IF(COUNTIFS(mapping!$B:$B,BO$2,mapping!$D:$D,$B54)&gt;0,"X","")</f>
        <v/>
      </c>
      <c r="BP54" s="114" t="str">
        <f>IF(COUNTIFS(mapping!$B:$B,BP$2,mapping!$D:$D,$B54)&gt;0,"X","")</f>
        <v/>
      </c>
      <c r="BQ54" s="114" t="str">
        <f>IF(COUNTIFS(mapping!$B:$B,BQ$2,mapping!$D:$D,$B54)&gt;0,"X","")</f>
        <v/>
      </c>
      <c r="BR54" s="114" t="str">
        <f>IF(COUNTIFS(mapping!$B:$B,BR$2,mapping!$D:$D,$B54)&gt;0,"X","")</f>
        <v/>
      </c>
      <c r="BS54" s="114" t="str">
        <f>IF(COUNTIFS(mapping!$B:$B,BS$2,mapping!$D:$D,$B54)&gt;0,"X","")</f>
        <v/>
      </c>
      <c r="BT54" s="114" t="str">
        <f>IF(COUNTIFS(mapping!$B:$B,BT$2,mapping!$D:$D,$B54)&gt;0,"X","")</f>
        <v/>
      </c>
      <c r="BU54" s="114" t="str">
        <f>IF(COUNTIFS(mapping!$B:$B,BU$2,mapping!$D:$D,$B54)&gt;0,"X","")</f>
        <v/>
      </c>
      <c r="BV54" s="114" t="str">
        <f>IF(COUNTIFS(mapping!$B:$B,BV$2,mapping!$D:$D,$B54)&gt;0,"X","")</f>
        <v/>
      </c>
      <c r="BW54" s="114" t="str">
        <f>IF(COUNTIFS(mapping!$B:$B,BW$2,mapping!$D:$D,$B54)&gt;0,"X","")</f>
        <v/>
      </c>
      <c r="BX54" s="114" t="str">
        <f>IF(COUNTIFS(mapping!$B:$B,BX$2,mapping!$D:$D,$B54)&gt;0,"X","")</f>
        <v/>
      </c>
      <c r="BY54" s="114" t="str">
        <f>IF(COUNTIFS(mapping!$B:$B,BY$2,mapping!$D:$D,$B54)&gt;0,"X","")</f>
        <v>X</v>
      </c>
      <c r="BZ54" s="114" t="str">
        <f>IF(COUNTIFS(mapping!$B:$B,BZ$2,mapping!$D:$D,$B54)&gt;0,"X","")</f>
        <v/>
      </c>
      <c r="CA54" s="114" t="str">
        <f>IF(COUNTIFS(mapping!$B:$B,CA$2,mapping!$D:$D,$B54)&gt;0,"X","")</f>
        <v/>
      </c>
      <c r="CB54" s="114" t="str">
        <f>IF(COUNTIFS(mapping!$B:$B,CB$2,mapping!$D:$D,$B54)&gt;0,"X","")</f>
        <v>X</v>
      </c>
      <c r="CC54" s="114" t="str">
        <f>IF(COUNTIFS(mapping!$B:$B,CC$2,mapping!$D:$D,$B54)&gt;0,"X","")</f>
        <v/>
      </c>
      <c r="CD54" s="114" t="str">
        <f>IF(COUNTIFS(mapping!$B:$B,CD$2,mapping!$D:$D,$B54)&gt;0,"X","")</f>
        <v/>
      </c>
      <c r="CE54" s="114" t="str">
        <f>IF(COUNTIFS(mapping!$B:$B,CE$2,mapping!$D:$D,$B54)&gt;0,"X","")</f>
        <v/>
      </c>
      <c r="CF54" s="114" t="str">
        <f>IF(COUNTIFS(mapping!$B:$B,CF$2,mapping!$D:$D,$B54)&gt;0,"X","")</f>
        <v/>
      </c>
      <c r="CG54" s="114" t="str">
        <f>IF(COUNTIFS(mapping!$B:$B,CG$2,mapping!$D:$D,$B54)&gt;0,"X","")</f>
        <v/>
      </c>
      <c r="CH54" s="114" t="str">
        <f>IF(COUNTIFS(mapping!$B:$B,CH$2,mapping!$D:$D,$B54)&gt;0,"X","")</f>
        <v/>
      </c>
    </row>
    <row r="55" spans="1:86" ht="16">
      <c r="A55" s="257"/>
      <c r="B55" s="122" t="s">
        <v>428</v>
      </c>
      <c r="C55" s="122" t="s">
        <v>427</v>
      </c>
      <c r="E55" s="114" t="str">
        <f>IF(COUNTIFS(mapping!$B:$B,E$2,mapping!$D:$D,$B55)&gt;0,"X","")</f>
        <v/>
      </c>
      <c r="F55" s="114" t="str">
        <f>IF(COUNTIFS(mapping!$B:$B,F$2,mapping!$D:$D,$B55)&gt;0,"X","")</f>
        <v/>
      </c>
      <c r="G55" s="114" t="str">
        <f>IF(COUNTIFS(mapping!$B:$B,G$2,mapping!$D:$D,$B55)&gt;0,"X","")</f>
        <v/>
      </c>
      <c r="H55" s="114" t="str">
        <f>IF(COUNTIFS(mapping!$B:$B,H$2,mapping!$D:$D,$B55)&gt;0,"X","")</f>
        <v/>
      </c>
      <c r="I55" s="114" t="str">
        <f>IF(COUNTIFS(mapping!$B:$B,I$2,mapping!$D:$D,$B55)&gt;0,"X","")</f>
        <v/>
      </c>
      <c r="J55" s="114" t="str">
        <f>IF(COUNTIFS(mapping!$B:$B,J$2,mapping!$D:$D,$B55)&gt;0,"X","")</f>
        <v/>
      </c>
      <c r="K55" s="114" t="str">
        <f>IF(COUNTIFS(mapping!$B:$B,K$2,mapping!$D:$D,$B55)&gt;0,"X","")</f>
        <v/>
      </c>
      <c r="L55" s="114" t="str">
        <f>IF(COUNTIFS(mapping!$B:$B,L$2,mapping!$D:$D,$B55)&gt;0,"X","")</f>
        <v/>
      </c>
      <c r="M55" s="114" t="str">
        <f>IF(COUNTIFS(mapping!$B:$B,M$2,mapping!$D:$D,$B55)&gt;0,"X","")</f>
        <v/>
      </c>
      <c r="N55" s="114" t="str">
        <f>IF(COUNTIFS(mapping!$B:$B,N$2,mapping!$D:$D,$B55)&gt;0,"X","")</f>
        <v/>
      </c>
      <c r="O55" s="114" t="str">
        <f>IF(COUNTIFS(mapping!$B:$B,O$2,mapping!$D:$D,$B55)&gt;0,"X","")</f>
        <v/>
      </c>
      <c r="P55" s="114" t="str">
        <f>IF(COUNTIFS(mapping!$B:$B,P$2,mapping!$D:$D,$B55)&gt;0,"X","")</f>
        <v/>
      </c>
      <c r="Q55" s="114" t="str">
        <f>IF(COUNTIFS(mapping!$B:$B,Q$2,mapping!$D:$D,$B55)&gt;0,"X","")</f>
        <v/>
      </c>
      <c r="R55" s="114" t="str">
        <f>IF(COUNTIFS(mapping!$B:$B,R$2,mapping!$D:$D,$B55)&gt;0,"X","")</f>
        <v/>
      </c>
      <c r="S55" s="114" t="str">
        <f>IF(COUNTIFS(mapping!$B:$B,S$2,mapping!$D:$D,$B55)&gt;0,"X","")</f>
        <v/>
      </c>
      <c r="T55" s="114" t="str">
        <f>IF(COUNTIFS(mapping!$B:$B,T$2,mapping!$D:$D,$B55)&gt;0,"X","")</f>
        <v/>
      </c>
      <c r="U55" s="114" t="str">
        <f>IF(COUNTIFS(mapping!$B:$B,U$2,mapping!$D:$D,$B55)&gt;0,"X","")</f>
        <v/>
      </c>
      <c r="V55" s="114" t="str">
        <f>IF(COUNTIFS(mapping!$B:$B,V$2,mapping!$D:$D,$B55)&gt;0,"X","")</f>
        <v/>
      </c>
      <c r="W55" s="114" t="str">
        <f>IF(COUNTIFS(mapping!$B:$B,W$2,mapping!$D:$D,$B55)&gt;0,"X","")</f>
        <v/>
      </c>
      <c r="X55" s="114" t="str">
        <f>IF(COUNTIFS(mapping!$B:$B,X$2,mapping!$D:$D,$B55)&gt;0,"X","")</f>
        <v/>
      </c>
      <c r="Y55" s="114" t="str">
        <f>IF(COUNTIFS(mapping!$B:$B,Y$2,mapping!$D:$D,$B55)&gt;0,"X","")</f>
        <v/>
      </c>
      <c r="Z55" s="114" t="str">
        <f>IF(COUNTIFS(mapping!$B:$B,Z$2,mapping!$D:$D,$B55)&gt;0,"X","")</f>
        <v/>
      </c>
      <c r="AA55" s="114" t="str">
        <f>IF(COUNTIFS(mapping!$B:$B,AA$2,mapping!$D:$D,$B55)&gt;0,"X","")</f>
        <v/>
      </c>
      <c r="AB55" s="114" t="str">
        <f>IF(COUNTIFS(mapping!$B:$B,AB$2,mapping!$D:$D,$B55)&gt;0,"X","")</f>
        <v/>
      </c>
      <c r="AC55" s="114" t="str">
        <f>IF(COUNTIFS(mapping!$B:$B,AC$2,mapping!$D:$D,$B55)&gt;0,"X","")</f>
        <v/>
      </c>
      <c r="AD55" s="114" t="str">
        <f>IF(COUNTIFS(mapping!$B:$B,AD$2,mapping!$D:$D,$B55)&gt;0,"X","")</f>
        <v>X</v>
      </c>
      <c r="AE55" s="114" t="str">
        <f>IF(COUNTIFS(mapping!$B:$B,AE$2,mapping!$D:$D,$B55)&gt;0,"X","")</f>
        <v/>
      </c>
      <c r="AF55" s="114" t="str">
        <f>IF(COUNTIFS(mapping!$B:$B,AF$2,mapping!$D:$D,$B55)&gt;0,"X","")</f>
        <v/>
      </c>
      <c r="AG55" s="114" t="str">
        <f>IF(COUNTIFS(mapping!$B:$B,AG$2,mapping!$D:$D,$B55)&gt;0,"X","")</f>
        <v/>
      </c>
      <c r="AH55" s="114" t="str">
        <f>IF(COUNTIFS(mapping!$B:$B,AH$2,mapping!$D:$D,$B55)&gt;0,"X","")</f>
        <v/>
      </c>
      <c r="AI55" s="114" t="str">
        <f>IF(COUNTIFS(mapping!$B:$B,AI$2,mapping!$D:$D,$B55)&gt;0,"X","")</f>
        <v/>
      </c>
      <c r="AJ55" s="114" t="str">
        <f>IF(COUNTIFS(mapping!$B:$B,AJ$2,mapping!$D:$D,$B55)&gt;0,"X","")</f>
        <v/>
      </c>
      <c r="AK55" s="114" t="str">
        <f>IF(COUNTIFS(mapping!$B:$B,AK$2,mapping!$D:$D,$B55)&gt;0,"X","")</f>
        <v/>
      </c>
      <c r="AL55" s="114" t="str">
        <f>IF(COUNTIFS(mapping!$B:$B,AL$2,mapping!$D:$D,$B55)&gt;0,"X","")</f>
        <v/>
      </c>
      <c r="AM55" s="114" t="str">
        <f>IF(COUNTIFS(mapping!$B:$B,AM$2,mapping!$D:$D,$B55)&gt;0,"X","")</f>
        <v/>
      </c>
      <c r="AN55" s="114" t="str">
        <f>IF(COUNTIFS(mapping!$B:$B,AN$2,mapping!$D:$D,$B55)&gt;0,"X","")</f>
        <v/>
      </c>
      <c r="AO55" s="114" t="str">
        <f>IF(COUNTIFS(mapping!$B:$B,AO$2,mapping!$D:$D,$B55)&gt;0,"X","")</f>
        <v/>
      </c>
      <c r="AP55" s="114" t="str">
        <f>IF(COUNTIFS(mapping!$B:$B,AP$2,mapping!$D:$D,$B55)&gt;0,"X","")</f>
        <v/>
      </c>
      <c r="AQ55" s="114" t="str">
        <f>IF(COUNTIFS(mapping!$B:$B,AQ$2,mapping!$D:$D,$B55)&gt;0,"X","")</f>
        <v/>
      </c>
      <c r="AR55" s="114" t="str">
        <f>IF(COUNTIFS(mapping!$B:$B,AR$2,mapping!$D:$D,$B55)&gt;0,"X","")</f>
        <v/>
      </c>
      <c r="AS55" s="114" t="str">
        <f>IF(COUNTIFS(mapping!$B:$B,AS$2,mapping!$D:$D,$B55)&gt;0,"X","")</f>
        <v/>
      </c>
      <c r="AT55" s="114" t="str">
        <f>IF(COUNTIFS(mapping!$B:$B,AT$2,mapping!$D:$D,$B55)&gt;0,"X","")</f>
        <v>X</v>
      </c>
      <c r="AU55" s="114" t="str">
        <f>IF(COUNTIFS(mapping!$B:$B,AU$2,mapping!$D:$D,$B55)&gt;0,"X","")</f>
        <v/>
      </c>
      <c r="AV55" s="114" t="str">
        <f>IF(COUNTIFS(mapping!$B:$B,AV$2,mapping!$D:$D,$B55)&gt;0,"X","")</f>
        <v/>
      </c>
      <c r="AW55" s="114" t="str">
        <f>IF(COUNTIFS(mapping!$B:$B,AW$2,mapping!$D:$D,$B55)&gt;0,"X","")</f>
        <v/>
      </c>
      <c r="AX55" s="114" t="str">
        <f>IF(COUNTIFS(mapping!$B:$B,AX$2,mapping!$D:$D,$B55)&gt;0,"X","")</f>
        <v/>
      </c>
      <c r="AY55" s="114" t="str">
        <f>IF(COUNTIFS(mapping!$B:$B,AY$2,mapping!$D:$D,$B55)&gt;0,"X","")</f>
        <v/>
      </c>
      <c r="AZ55" s="114" t="str">
        <f>IF(COUNTIFS(mapping!$B:$B,AZ$2,mapping!$D:$D,$B55)&gt;0,"X","")</f>
        <v/>
      </c>
      <c r="BA55" s="114" t="str">
        <f>IF(COUNTIFS(mapping!$B:$B,BA$2,mapping!$D:$D,$B55)&gt;0,"X","")</f>
        <v/>
      </c>
      <c r="BB55" s="114" t="str">
        <f>IF(COUNTIFS(mapping!$B:$B,BB$2,mapping!$D:$D,$B55)&gt;0,"X","")</f>
        <v/>
      </c>
      <c r="BC55" s="114" t="str">
        <f>IF(COUNTIFS(mapping!$B:$B,BC$2,mapping!$D:$D,$B55)&gt;0,"X","")</f>
        <v/>
      </c>
      <c r="BD55" s="114" t="str">
        <f>IF(COUNTIFS(mapping!$B:$B,BD$2,mapping!$D:$D,$B55)&gt;0,"X","")</f>
        <v/>
      </c>
      <c r="BE55" s="114" t="str">
        <f>IF(COUNTIFS(mapping!$B:$B,BE$2,mapping!$D:$D,$B55)&gt;0,"X","")</f>
        <v/>
      </c>
      <c r="BF55" s="114" t="str">
        <f>IF(COUNTIFS(mapping!$B:$B,BF$2,mapping!$D:$D,$B55)&gt;0,"X","")</f>
        <v/>
      </c>
      <c r="BG55" s="114" t="str">
        <f>IF(COUNTIFS(mapping!$B:$B,BG$2,mapping!$D:$D,$B55)&gt;0,"X","")</f>
        <v/>
      </c>
      <c r="BH55" s="114" t="str">
        <f>IF(COUNTIFS(mapping!$B:$B,BH$2,mapping!$D:$D,$B55)&gt;0,"X","")</f>
        <v/>
      </c>
      <c r="BI55" s="114" t="str">
        <f>IF(COUNTIFS(mapping!$B:$B,BI$2,mapping!$D:$D,$B55)&gt;0,"X","")</f>
        <v/>
      </c>
      <c r="BJ55" s="114" t="str">
        <f>IF(COUNTIFS(mapping!$B:$B,BJ$2,mapping!$D:$D,$B55)&gt;0,"X","")</f>
        <v/>
      </c>
      <c r="BK55" s="114" t="str">
        <f>IF(COUNTIFS(mapping!$B:$B,BK$2,mapping!$D:$D,$B55)&gt;0,"X","")</f>
        <v/>
      </c>
      <c r="BL55" s="114" t="str">
        <f>IF(COUNTIFS(mapping!$B:$B,BL$2,mapping!$D:$D,$B55)&gt;0,"X","")</f>
        <v/>
      </c>
      <c r="BM55" s="114" t="str">
        <f>IF(COUNTIFS(mapping!$B:$B,BM$2,mapping!$D:$D,$B55)&gt;0,"X","")</f>
        <v/>
      </c>
      <c r="BN55" s="114" t="str">
        <f>IF(COUNTIFS(mapping!$B:$B,BN$2,mapping!$D:$D,$B55)&gt;0,"X","")</f>
        <v/>
      </c>
      <c r="BO55" s="114" t="str">
        <f>IF(COUNTIFS(mapping!$B:$B,BO$2,mapping!$D:$D,$B55)&gt;0,"X","")</f>
        <v/>
      </c>
      <c r="BP55" s="114" t="str">
        <f>IF(COUNTIFS(mapping!$B:$B,BP$2,mapping!$D:$D,$B55)&gt;0,"X","")</f>
        <v/>
      </c>
      <c r="BQ55" s="114" t="str">
        <f>IF(COUNTIFS(mapping!$B:$B,BQ$2,mapping!$D:$D,$B55)&gt;0,"X","")</f>
        <v/>
      </c>
      <c r="BR55" s="114" t="str">
        <f>IF(COUNTIFS(mapping!$B:$B,BR$2,mapping!$D:$D,$B55)&gt;0,"X","")</f>
        <v/>
      </c>
      <c r="BS55" s="114" t="str">
        <f>IF(COUNTIFS(mapping!$B:$B,BS$2,mapping!$D:$D,$B55)&gt;0,"X","")</f>
        <v/>
      </c>
      <c r="BT55" s="114" t="str">
        <f>IF(COUNTIFS(mapping!$B:$B,BT$2,mapping!$D:$D,$B55)&gt;0,"X","")</f>
        <v/>
      </c>
      <c r="BU55" s="114" t="str">
        <f>IF(COUNTIFS(mapping!$B:$B,BU$2,mapping!$D:$D,$B55)&gt;0,"X","")</f>
        <v/>
      </c>
      <c r="BV55" s="114" t="str">
        <f>IF(COUNTIFS(mapping!$B:$B,BV$2,mapping!$D:$D,$B55)&gt;0,"X","")</f>
        <v/>
      </c>
      <c r="BW55" s="114" t="str">
        <f>IF(COUNTIFS(mapping!$B:$B,BW$2,mapping!$D:$D,$B55)&gt;0,"X","")</f>
        <v/>
      </c>
      <c r="BX55" s="114" t="str">
        <f>IF(COUNTIFS(mapping!$B:$B,BX$2,mapping!$D:$D,$B55)&gt;0,"X","")</f>
        <v/>
      </c>
      <c r="BY55" s="114" t="str">
        <f>IF(COUNTIFS(mapping!$B:$B,BY$2,mapping!$D:$D,$B55)&gt;0,"X","")</f>
        <v/>
      </c>
      <c r="BZ55" s="114" t="str">
        <f>IF(COUNTIFS(mapping!$B:$B,BZ$2,mapping!$D:$D,$B55)&gt;0,"X","")</f>
        <v/>
      </c>
      <c r="CA55" s="114" t="str">
        <f>IF(COUNTIFS(mapping!$B:$B,CA$2,mapping!$D:$D,$B55)&gt;0,"X","")</f>
        <v/>
      </c>
      <c r="CB55" s="114" t="str">
        <f>IF(COUNTIFS(mapping!$B:$B,CB$2,mapping!$D:$D,$B55)&gt;0,"X","")</f>
        <v/>
      </c>
      <c r="CC55" s="114" t="str">
        <f>IF(COUNTIFS(mapping!$B:$B,CC$2,mapping!$D:$D,$B55)&gt;0,"X","")</f>
        <v/>
      </c>
      <c r="CD55" s="114" t="str">
        <f>IF(COUNTIFS(mapping!$B:$B,CD$2,mapping!$D:$D,$B55)&gt;0,"X","")</f>
        <v/>
      </c>
      <c r="CE55" s="114" t="str">
        <f>IF(COUNTIFS(mapping!$B:$B,CE$2,mapping!$D:$D,$B55)&gt;0,"X","")</f>
        <v/>
      </c>
      <c r="CF55" s="114" t="str">
        <f>IF(COUNTIFS(mapping!$B:$B,CF$2,mapping!$D:$D,$B55)&gt;0,"X","")</f>
        <v/>
      </c>
      <c r="CG55" s="114" t="str">
        <f>IF(COUNTIFS(mapping!$B:$B,CG$2,mapping!$D:$D,$B55)&gt;0,"X","")</f>
        <v/>
      </c>
      <c r="CH55" s="114" t="str">
        <f>IF(COUNTIFS(mapping!$B:$B,CH$2,mapping!$D:$D,$B55)&gt;0,"X","")</f>
        <v/>
      </c>
    </row>
    <row r="56" spans="1:86" ht="16">
      <c r="A56" s="257"/>
      <c r="B56" s="125" t="s">
        <v>426</v>
      </c>
      <c r="C56" s="125" t="s">
        <v>425</v>
      </c>
      <c r="E56" s="114" t="str">
        <f>IF(COUNTIFS(mapping!$B:$B,E$2,mapping!$D:$D,$B56)&gt;0,"X","")</f>
        <v/>
      </c>
      <c r="F56" s="114" t="str">
        <f>IF(COUNTIFS(mapping!$B:$B,F$2,mapping!$D:$D,$B56)&gt;0,"X","")</f>
        <v/>
      </c>
      <c r="G56" s="114" t="str">
        <f>IF(COUNTIFS(mapping!$B:$B,G$2,mapping!$D:$D,$B56)&gt;0,"X","")</f>
        <v/>
      </c>
      <c r="H56" s="114" t="str">
        <f>IF(COUNTIFS(mapping!$B:$B,H$2,mapping!$D:$D,$B56)&gt;0,"X","")</f>
        <v/>
      </c>
      <c r="I56" s="114" t="str">
        <f>IF(COUNTIFS(mapping!$B:$B,I$2,mapping!$D:$D,$B56)&gt;0,"X","")</f>
        <v/>
      </c>
      <c r="J56" s="114" t="str">
        <f>IF(COUNTIFS(mapping!$B:$B,J$2,mapping!$D:$D,$B56)&gt;0,"X","")</f>
        <v/>
      </c>
      <c r="K56" s="114" t="str">
        <f>IF(COUNTIFS(mapping!$B:$B,K$2,mapping!$D:$D,$B56)&gt;0,"X","")</f>
        <v>X</v>
      </c>
      <c r="L56" s="114" t="str">
        <f>IF(COUNTIFS(mapping!$B:$B,L$2,mapping!$D:$D,$B56)&gt;0,"X","")</f>
        <v/>
      </c>
      <c r="M56" s="114" t="str">
        <f>IF(COUNTIFS(mapping!$B:$B,M$2,mapping!$D:$D,$B56)&gt;0,"X","")</f>
        <v/>
      </c>
      <c r="N56" s="114" t="str">
        <f>IF(COUNTIFS(mapping!$B:$B,N$2,mapping!$D:$D,$B56)&gt;0,"X","")</f>
        <v/>
      </c>
      <c r="O56" s="114" t="str">
        <f>IF(COUNTIFS(mapping!$B:$B,O$2,mapping!$D:$D,$B56)&gt;0,"X","")</f>
        <v/>
      </c>
      <c r="P56" s="114" t="str">
        <f>IF(COUNTIFS(mapping!$B:$B,P$2,mapping!$D:$D,$B56)&gt;0,"X","")</f>
        <v/>
      </c>
      <c r="Q56" s="114" t="str">
        <f>IF(COUNTIFS(mapping!$B:$B,Q$2,mapping!$D:$D,$B56)&gt;0,"X","")</f>
        <v/>
      </c>
      <c r="R56" s="114" t="str">
        <f>IF(COUNTIFS(mapping!$B:$B,R$2,mapping!$D:$D,$B56)&gt;0,"X","")</f>
        <v/>
      </c>
      <c r="S56" s="114" t="str">
        <f>IF(COUNTIFS(mapping!$B:$B,S$2,mapping!$D:$D,$B56)&gt;0,"X","")</f>
        <v/>
      </c>
      <c r="T56" s="114" t="str">
        <f>IF(COUNTIFS(mapping!$B:$B,T$2,mapping!$D:$D,$B56)&gt;0,"X","")</f>
        <v/>
      </c>
      <c r="U56" s="114" t="str">
        <f>IF(COUNTIFS(mapping!$B:$B,U$2,mapping!$D:$D,$B56)&gt;0,"X","")</f>
        <v/>
      </c>
      <c r="V56" s="114" t="str">
        <f>IF(COUNTIFS(mapping!$B:$B,V$2,mapping!$D:$D,$B56)&gt;0,"X","")</f>
        <v/>
      </c>
      <c r="W56" s="114" t="str">
        <f>IF(COUNTIFS(mapping!$B:$B,W$2,mapping!$D:$D,$B56)&gt;0,"X","")</f>
        <v/>
      </c>
      <c r="X56" s="114" t="str">
        <f>IF(COUNTIFS(mapping!$B:$B,X$2,mapping!$D:$D,$B56)&gt;0,"X","")</f>
        <v/>
      </c>
      <c r="Y56" s="114" t="str">
        <f>IF(COUNTIFS(mapping!$B:$B,Y$2,mapping!$D:$D,$B56)&gt;0,"X","")</f>
        <v/>
      </c>
      <c r="Z56" s="114" t="str">
        <f>IF(COUNTIFS(mapping!$B:$B,Z$2,mapping!$D:$D,$B56)&gt;0,"X","")</f>
        <v/>
      </c>
      <c r="AA56" s="114" t="str">
        <f>IF(COUNTIFS(mapping!$B:$B,AA$2,mapping!$D:$D,$B56)&gt;0,"X","")</f>
        <v/>
      </c>
      <c r="AB56" s="114" t="str">
        <f>IF(COUNTIFS(mapping!$B:$B,AB$2,mapping!$D:$D,$B56)&gt;0,"X","")</f>
        <v/>
      </c>
      <c r="AC56" s="114" t="str">
        <f>IF(COUNTIFS(mapping!$B:$B,AC$2,mapping!$D:$D,$B56)&gt;0,"X","")</f>
        <v/>
      </c>
      <c r="AD56" s="114" t="str">
        <f>IF(COUNTIFS(mapping!$B:$B,AD$2,mapping!$D:$D,$B56)&gt;0,"X","")</f>
        <v/>
      </c>
      <c r="AE56" s="114" t="str">
        <f>IF(COUNTIFS(mapping!$B:$B,AE$2,mapping!$D:$D,$B56)&gt;0,"X","")</f>
        <v/>
      </c>
      <c r="AF56" s="114" t="str">
        <f>IF(COUNTIFS(mapping!$B:$B,AF$2,mapping!$D:$D,$B56)&gt;0,"X","")</f>
        <v/>
      </c>
      <c r="AG56" s="114" t="str">
        <f>IF(COUNTIFS(mapping!$B:$B,AG$2,mapping!$D:$D,$B56)&gt;0,"X","")</f>
        <v/>
      </c>
      <c r="AH56" s="114" t="str">
        <f>IF(COUNTIFS(mapping!$B:$B,AH$2,mapping!$D:$D,$B56)&gt;0,"X","")</f>
        <v/>
      </c>
      <c r="AI56" s="114" t="str">
        <f>IF(COUNTIFS(mapping!$B:$B,AI$2,mapping!$D:$D,$B56)&gt;0,"X","")</f>
        <v/>
      </c>
      <c r="AJ56" s="114" t="str">
        <f>IF(COUNTIFS(mapping!$B:$B,AJ$2,mapping!$D:$D,$B56)&gt;0,"X","")</f>
        <v/>
      </c>
      <c r="AK56" s="114" t="str">
        <f>IF(COUNTIFS(mapping!$B:$B,AK$2,mapping!$D:$D,$B56)&gt;0,"X","")</f>
        <v/>
      </c>
      <c r="AL56" s="114" t="str">
        <f>IF(COUNTIFS(mapping!$B:$B,AL$2,mapping!$D:$D,$B56)&gt;0,"X","")</f>
        <v/>
      </c>
      <c r="AM56" s="114" t="str">
        <f>IF(COUNTIFS(mapping!$B:$B,AM$2,mapping!$D:$D,$B56)&gt;0,"X","")</f>
        <v/>
      </c>
      <c r="AN56" s="114" t="str">
        <f>IF(COUNTIFS(mapping!$B:$B,AN$2,mapping!$D:$D,$B56)&gt;0,"X","")</f>
        <v/>
      </c>
      <c r="AO56" s="114" t="str">
        <f>IF(COUNTIFS(mapping!$B:$B,AO$2,mapping!$D:$D,$B56)&gt;0,"X","")</f>
        <v/>
      </c>
      <c r="AP56" s="114" t="str">
        <f>IF(COUNTIFS(mapping!$B:$B,AP$2,mapping!$D:$D,$B56)&gt;0,"X","")</f>
        <v/>
      </c>
      <c r="AQ56" s="114" t="str">
        <f>IF(COUNTIFS(mapping!$B:$B,AQ$2,mapping!$D:$D,$B56)&gt;0,"X","")</f>
        <v/>
      </c>
      <c r="AR56" s="114" t="str">
        <f>IF(COUNTIFS(mapping!$B:$B,AR$2,mapping!$D:$D,$B56)&gt;0,"X","")</f>
        <v/>
      </c>
      <c r="AS56" s="114" t="str">
        <f>IF(COUNTIFS(mapping!$B:$B,AS$2,mapping!$D:$D,$B56)&gt;0,"X","")</f>
        <v/>
      </c>
      <c r="AT56" s="114" t="str">
        <f>IF(COUNTIFS(mapping!$B:$B,AT$2,mapping!$D:$D,$B56)&gt;0,"X","")</f>
        <v/>
      </c>
      <c r="AU56" s="114" t="str">
        <f>IF(COUNTIFS(mapping!$B:$B,AU$2,mapping!$D:$D,$B56)&gt;0,"X","")</f>
        <v/>
      </c>
      <c r="AV56" s="114" t="str">
        <f>IF(COUNTIFS(mapping!$B:$B,AV$2,mapping!$D:$D,$B56)&gt;0,"X","")</f>
        <v/>
      </c>
      <c r="AW56" s="114" t="str">
        <f>IF(COUNTIFS(mapping!$B:$B,AW$2,mapping!$D:$D,$B56)&gt;0,"X","")</f>
        <v/>
      </c>
      <c r="AX56" s="114" t="str">
        <f>IF(COUNTIFS(mapping!$B:$B,AX$2,mapping!$D:$D,$B56)&gt;0,"X","")</f>
        <v/>
      </c>
      <c r="AY56" s="114" t="str">
        <f>IF(COUNTIFS(mapping!$B:$B,AY$2,mapping!$D:$D,$B56)&gt;0,"X","")</f>
        <v/>
      </c>
      <c r="AZ56" s="114" t="str">
        <f>IF(COUNTIFS(mapping!$B:$B,AZ$2,mapping!$D:$D,$B56)&gt;0,"X","")</f>
        <v/>
      </c>
      <c r="BA56" s="114" t="str">
        <f>IF(COUNTIFS(mapping!$B:$B,BA$2,mapping!$D:$D,$B56)&gt;0,"X","")</f>
        <v/>
      </c>
      <c r="BB56" s="114" t="str">
        <f>IF(COUNTIFS(mapping!$B:$B,BB$2,mapping!$D:$D,$B56)&gt;0,"X","")</f>
        <v/>
      </c>
      <c r="BC56" s="114" t="str">
        <f>IF(COUNTIFS(mapping!$B:$B,BC$2,mapping!$D:$D,$B56)&gt;0,"X","")</f>
        <v/>
      </c>
      <c r="BD56" s="114" t="str">
        <f>IF(COUNTIFS(mapping!$B:$B,BD$2,mapping!$D:$D,$B56)&gt;0,"X","")</f>
        <v/>
      </c>
      <c r="BE56" s="114" t="str">
        <f>IF(COUNTIFS(mapping!$B:$B,BE$2,mapping!$D:$D,$B56)&gt;0,"X","")</f>
        <v/>
      </c>
      <c r="BF56" s="114" t="str">
        <f>IF(COUNTIFS(mapping!$B:$B,BF$2,mapping!$D:$D,$B56)&gt;0,"X","")</f>
        <v/>
      </c>
      <c r="BG56" s="114" t="str">
        <f>IF(COUNTIFS(mapping!$B:$B,BG$2,mapping!$D:$D,$B56)&gt;0,"X","")</f>
        <v/>
      </c>
      <c r="BH56" s="114" t="str">
        <f>IF(COUNTIFS(mapping!$B:$B,BH$2,mapping!$D:$D,$B56)&gt;0,"X","")</f>
        <v/>
      </c>
      <c r="BI56" s="114" t="str">
        <f>IF(COUNTIFS(mapping!$B:$B,BI$2,mapping!$D:$D,$B56)&gt;0,"X","")</f>
        <v/>
      </c>
      <c r="BJ56" s="114" t="str">
        <f>IF(COUNTIFS(mapping!$B:$B,BJ$2,mapping!$D:$D,$B56)&gt;0,"X","")</f>
        <v/>
      </c>
      <c r="BK56" s="114" t="str">
        <f>IF(COUNTIFS(mapping!$B:$B,BK$2,mapping!$D:$D,$B56)&gt;0,"X","")</f>
        <v/>
      </c>
      <c r="BL56" s="114" t="str">
        <f>IF(COUNTIFS(mapping!$B:$B,BL$2,mapping!$D:$D,$B56)&gt;0,"X","")</f>
        <v/>
      </c>
      <c r="BM56" s="114" t="str">
        <f>IF(COUNTIFS(mapping!$B:$B,BM$2,mapping!$D:$D,$B56)&gt;0,"X","")</f>
        <v/>
      </c>
      <c r="BN56" s="114" t="str">
        <f>IF(COUNTIFS(mapping!$B:$B,BN$2,mapping!$D:$D,$B56)&gt;0,"X","")</f>
        <v/>
      </c>
      <c r="BO56" s="114" t="str">
        <f>IF(COUNTIFS(mapping!$B:$B,BO$2,mapping!$D:$D,$B56)&gt;0,"X","")</f>
        <v/>
      </c>
      <c r="BP56" s="114" t="str">
        <f>IF(COUNTIFS(mapping!$B:$B,BP$2,mapping!$D:$D,$B56)&gt;0,"X","")</f>
        <v/>
      </c>
      <c r="BQ56" s="114" t="str">
        <f>IF(COUNTIFS(mapping!$B:$B,BQ$2,mapping!$D:$D,$B56)&gt;0,"X","")</f>
        <v/>
      </c>
      <c r="BR56" s="114" t="str">
        <f>IF(COUNTIFS(mapping!$B:$B,BR$2,mapping!$D:$D,$B56)&gt;0,"X","")</f>
        <v/>
      </c>
      <c r="BS56" s="114" t="str">
        <f>IF(COUNTIFS(mapping!$B:$B,BS$2,mapping!$D:$D,$B56)&gt;0,"X","")</f>
        <v/>
      </c>
      <c r="BT56" s="114" t="str">
        <f>IF(COUNTIFS(mapping!$B:$B,BT$2,mapping!$D:$D,$B56)&gt;0,"X","")</f>
        <v/>
      </c>
      <c r="BU56" s="114" t="str">
        <f>IF(COUNTIFS(mapping!$B:$B,BU$2,mapping!$D:$D,$B56)&gt;0,"X","")</f>
        <v/>
      </c>
      <c r="BV56" s="114" t="str">
        <f>IF(COUNTIFS(mapping!$B:$B,BV$2,mapping!$D:$D,$B56)&gt;0,"X","")</f>
        <v/>
      </c>
      <c r="BW56" s="114" t="str">
        <f>IF(COUNTIFS(mapping!$B:$B,BW$2,mapping!$D:$D,$B56)&gt;0,"X","")</f>
        <v/>
      </c>
      <c r="BX56" s="114" t="str">
        <f>IF(COUNTIFS(mapping!$B:$B,BX$2,mapping!$D:$D,$B56)&gt;0,"X","")</f>
        <v/>
      </c>
      <c r="BY56" s="114" t="str">
        <f>IF(COUNTIFS(mapping!$B:$B,BY$2,mapping!$D:$D,$B56)&gt;0,"X","")</f>
        <v/>
      </c>
      <c r="BZ56" s="114" t="str">
        <f>IF(COUNTIFS(mapping!$B:$B,BZ$2,mapping!$D:$D,$B56)&gt;0,"X","")</f>
        <v>X</v>
      </c>
      <c r="CA56" s="114" t="str">
        <f>IF(COUNTIFS(mapping!$B:$B,CA$2,mapping!$D:$D,$B56)&gt;0,"X","")</f>
        <v>X</v>
      </c>
      <c r="CB56" s="114" t="str">
        <f>IF(COUNTIFS(mapping!$B:$B,CB$2,mapping!$D:$D,$B56)&gt;0,"X","")</f>
        <v/>
      </c>
      <c r="CC56" s="114" t="str">
        <f>IF(COUNTIFS(mapping!$B:$B,CC$2,mapping!$D:$D,$B56)&gt;0,"X","")</f>
        <v/>
      </c>
      <c r="CD56" s="114" t="str">
        <f>IF(COUNTIFS(mapping!$B:$B,CD$2,mapping!$D:$D,$B56)&gt;0,"X","")</f>
        <v/>
      </c>
      <c r="CE56" s="114" t="str">
        <f>IF(COUNTIFS(mapping!$B:$B,CE$2,mapping!$D:$D,$B56)&gt;0,"X","")</f>
        <v/>
      </c>
      <c r="CF56" s="114" t="str">
        <f>IF(COUNTIFS(mapping!$B:$B,CF$2,mapping!$D:$D,$B56)&gt;0,"X","")</f>
        <v/>
      </c>
      <c r="CG56" s="114" t="str">
        <f>IF(COUNTIFS(mapping!$B:$B,CG$2,mapping!$D:$D,$B56)&gt;0,"X","")</f>
        <v/>
      </c>
      <c r="CH56" s="114" t="str">
        <f>IF(COUNTIFS(mapping!$B:$B,CH$2,mapping!$D:$D,$B56)&gt;0,"X","")</f>
        <v>X</v>
      </c>
    </row>
    <row r="57" spans="1:86" ht="16">
      <c r="A57" s="257" t="s">
        <v>424</v>
      </c>
      <c r="B57" s="122" t="s">
        <v>423</v>
      </c>
      <c r="C57" s="122" t="s">
        <v>422</v>
      </c>
      <c r="E57" s="114" t="str">
        <f>IF(COUNTIFS(mapping!$B:$B,E$2,mapping!$D:$D,$B57)&gt;0,"X","")</f>
        <v/>
      </c>
      <c r="F57" s="114" t="str">
        <f>IF(COUNTIFS(mapping!$B:$B,F$2,mapping!$D:$D,$B57)&gt;0,"X","")</f>
        <v/>
      </c>
      <c r="G57" s="114" t="str">
        <f>IF(COUNTIFS(mapping!$B:$B,G$2,mapping!$D:$D,$B57)&gt;0,"X","")</f>
        <v/>
      </c>
      <c r="H57" s="114" t="str">
        <f>IF(COUNTIFS(mapping!$B:$B,H$2,mapping!$D:$D,$B57)&gt;0,"X","")</f>
        <v/>
      </c>
      <c r="I57" s="114" t="str">
        <f>IF(COUNTIFS(mapping!$B:$B,I$2,mapping!$D:$D,$B57)&gt;0,"X","")</f>
        <v/>
      </c>
      <c r="J57" s="114" t="str">
        <f>IF(COUNTIFS(mapping!$B:$B,J$2,mapping!$D:$D,$B57)&gt;0,"X","")</f>
        <v/>
      </c>
      <c r="K57" s="114" t="str">
        <f>IF(COUNTIFS(mapping!$B:$B,K$2,mapping!$D:$D,$B57)&gt;0,"X","")</f>
        <v/>
      </c>
      <c r="L57" s="114" t="str">
        <f>IF(COUNTIFS(mapping!$B:$B,L$2,mapping!$D:$D,$B57)&gt;0,"X","")</f>
        <v/>
      </c>
      <c r="M57" s="114" t="str">
        <f>IF(COUNTIFS(mapping!$B:$B,M$2,mapping!$D:$D,$B57)&gt;0,"X","")</f>
        <v/>
      </c>
      <c r="N57" s="114" t="str">
        <f>IF(COUNTIFS(mapping!$B:$B,N$2,mapping!$D:$D,$B57)&gt;0,"X","")</f>
        <v/>
      </c>
      <c r="O57" s="114" t="str">
        <f>IF(COUNTIFS(mapping!$B:$B,O$2,mapping!$D:$D,$B57)&gt;0,"X","")</f>
        <v/>
      </c>
      <c r="P57" s="114" t="str">
        <f>IF(COUNTIFS(mapping!$B:$B,P$2,mapping!$D:$D,$B57)&gt;0,"X","")</f>
        <v/>
      </c>
      <c r="Q57" s="114" t="str">
        <f>IF(COUNTIFS(mapping!$B:$B,Q$2,mapping!$D:$D,$B57)&gt;0,"X","")</f>
        <v/>
      </c>
      <c r="R57" s="114" t="str">
        <f>IF(COUNTIFS(mapping!$B:$B,R$2,mapping!$D:$D,$B57)&gt;0,"X","")</f>
        <v/>
      </c>
      <c r="S57" s="114" t="str">
        <f>IF(COUNTIFS(mapping!$B:$B,S$2,mapping!$D:$D,$B57)&gt;0,"X","")</f>
        <v/>
      </c>
      <c r="T57" s="114" t="str">
        <f>IF(COUNTIFS(mapping!$B:$B,T$2,mapping!$D:$D,$B57)&gt;0,"X","")</f>
        <v/>
      </c>
      <c r="U57" s="114" t="str">
        <f>IF(COUNTIFS(mapping!$B:$B,U$2,mapping!$D:$D,$B57)&gt;0,"X","")</f>
        <v/>
      </c>
      <c r="V57" s="114" t="str">
        <f>IF(COUNTIFS(mapping!$B:$B,V$2,mapping!$D:$D,$B57)&gt;0,"X","")</f>
        <v/>
      </c>
      <c r="W57" s="114" t="str">
        <f>IF(COUNTIFS(mapping!$B:$B,W$2,mapping!$D:$D,$B57)&gt;0,"X","")</f>
        <v/>
      </c>
      <c r="X57" s="114" t="str">
        <f>IF(COUNTIFS(mapping!$B:$B,X$2,mapping!$D:$D,$B57)&gt;0,"X","")</f>
        <v/>
      </c>
      <c r="Y57" s="114" t="str">
        <f>IF(COUNTIFS(mapping!$B:$B,Y$2,mapping!$D:$D,$B57)&gt;0,"X","")</f>
        <v/>
      </c>
      <c r="Z57" s="114" t="str">
        <f>IF(COUNTIFS(mapping!$B:$B,Z$2,mapping!$D:$D,$B57)&gt;0,"X","")</f>
        <v/>
      </c>
      <c r="AA57" s="114" t="str">
        <f>IF(COUNTIFS(mapping!$B:$B,AA$2,mapping!$D:$D,$B57)&gt;0,"X","")</f>
        <v/>
      </c>
      <c r="AB57" s="114" t="str">
        <f>IF(COUNTIFS(mapping!$B:$B,AB$2,mapping!$D:$D,$B57)&gt;0,"X","")</f>
        <v/>
      </c>
      <c r="AC57" s="114" t="str">
        <f>IF(COUNTIFS(mapping!$B:$B,AC$2,mapping!$D:$D,$B57)&gt;0,"X","")</f>
        <v/>
      </c>
      <c r="AD57" s="114" t="str">
        <f>IF(COUNTIFS(mapping!$B:$B,AD$2,mapping!$D:$D,$B57)&gt;0,"X","")</f>
        <v/>
      </c>
      <c r="AE57" s="114" t="str">
        <f>IF(COUNTIFS(mapping!$B:$B,AE$2,mapping!$D:$D,$B57)&gt;0,"X","")</f>
        <v>X</v>
      </c>
      <c r="AF57" s="114" t="str">
        <f>IF(COUNTIFS(mapping!$B:$B,AF$2,mapping!$D:$D,$B57)&gt;0,"X","")</f>
        <v>X</v>
      </c>
      <c r="AG57" s="114" t="str">
        <f>IF(COUNTIFS(mapping!$B:$B,AG$2,mapping!$D:$D,$B57)&gt;0,"X","")</f>
        <v/>
      </c>
      <c r="AH57" s="114" t="str">
        <f>IF(COUNTIFS(mapping!$B:$B,AH$2,mapping!$D:$D,$B57)&gt;0,"X","")</f>
        <v/>
      </c>
      <c r="AI57" s="114" t="str">
        <f>IF(COUNTIFS(mapping!$B:$B,AI$2,mapping!$D:$D,$B57)&gt;0,"X","")</f>
        <v/>
      </c>
      <c r="AJ57" s="114" t="str">
        <f>IF(COUNTIFS(mapping!$B:$B,AJ$2,mapping!$D:$D,$B57)&gt;0,"X","")</f>
        <v/>
      </c>
      <c r="AK57" s="114" t="str">
        <f>IF(COUNTIFS(mapping!$B:$B,AK$2,mapping!$D:$D,$B57)&gt;0,"X","")</f>
        <v/>
      </c>
      <c r="AL57" s="114" t="str">
        <f>IF(COUNTIFS(mapping!$B:$B,AL$2,mapping!$D:$D,$B57)&gt;0,"X","")</f>
        <v/>
      </c>
      <c r="AM57" s="114" t="str">
        <f>IF(COUNTIFS(mapping!$B:$B,AM$2,mapping!$D:$D,$B57)&gt;0,"X","")</f>
        <v/>
      </c>
      <c r="AN57" s="114" t="str">
        <f>IF(COUNTIFS(mapping!$B:$B,AN$2,mapping!$D:$D,$B57)&gt;0,"X","")</f>
        <v/>
      </c>
      <c r="AO57" s="114" t="str">
        <f>IF(COUNTIFS(mapping!$B:$B,AO$2,mapping!$D:$D,$B57)&gt;0,"X","")</f>
        <v/>
      </c>
      <c r="AP57" s="114" t="str">
        <f>IF(COUNTIFS(mapping!$B:$B,AP$2,mapping!$D:$D,$B57)&gt;0,"X","")</f>
        <v/>
      </c>
      <c r="AQ57" s="114" t="str">
        <f>IF(COUNTIFS(mapping!$B:$B,AQ$2,mapping!$D:$D,$B57)&gt;0,"X","")</f>
        <v/>
      </c>
      <c r="AR57" s="114" t="str">
        <f>IF(COUNTIFS(mapping!$B:$B,AR$2,mapping!$D:$D,$B57)&gt;0,"X","")</f>
        <v/>
      </c>
      <c r="AS57" s="114" t="str">
        <f>IF(COUNTIFS(mapping!$B:$B,AS$2,mapping!$D:$D,$B57)&gt;0,"X","")</f>
        <v/>
      </c>
      <c r="AT57" s="114" t="str">
        <f>IF(COUNTIFS(mapping!$B:$B,AT$2,mapping!$D:$D,$B57)&gt;0,"X","")</f>
        <v/>
      </c>
      <c r="AU57" s="114" t="str">
        <f>IF(COUNTIFS(mapping!$B:$B,AU$2,mapping!$D:$D,$B57)&gt;0,"X","")</f>
        <v/>
      </c>
      <c r="AV57" s="114" t="str">
        <f>IF(COUNTIFS(mapping!$B:$B,AV$2,mapping!$D:$D,$B57)&gt;0,"X","")</f>
        <v/>
      </c>
      <c r="AW57" s="114" t="str">
        <f>IF(COUNTIFS(mapping!$B:$B,AW$2,mapping!$D:$D,$B57)&gt;0,"X","")</f>
        <v/>
      </c>
      <c r="AX57" s="114" t="str">
        <f>IF(COUNTIFS(mapping!$B:$B,AX$2,mapping!$D:$D,$B57)&gt;0,"X","")</f>
        <v/>
      </c>
      <c r="AY57" s="114" t="str">
        <f>IF(COUNTIFS(mapping!$B:$B,AY$2,mapping!$D:$D,$B57)&gt;0,"X","")</f>
        <v/>
      </c>
      <c r="AZ57" s="114" t="str">
        <f>IF(COUNTIFS(mapping!$B:$B,AZ$2,mapping!$D:$D,$B57)&gt;0,"X","")</f>
        <v/>
      </c>
      <c r="BA57" s="114" t="str">
        <f>IF(COUNTIFS(mapping!$B:$B,BA$2,mapping!$D:$D,$B57)&gt;0,"X","")</f>
        <v/>
      </c>
      <c r="BB57" s="114" t="str">
        <f>IF(COUNTIFS(mapping!$B:$B,BB$2,mapping!$D:$D,$B57)&gt;0,"X","")</f>
        <v/>
      </c>
      <c r="BC57" s="114" t="str">
        <f>IF(COUNTIFS(mapping!$B:$B,BC$2,mapping!$D:$D,$B57)&gt;0,"X","")</f>
        <v/>
      </c>
      <c r="BD57" s="114" t="str">
        <f>IF(COUNTIFS(mapping!$B:$B,BD$2,mapping!$D:$D,$B57)&gt;0,"X","")</f>
        <v/>
      </c>
      <c r="BE57" s="114" t="str">
        <f>IF(COUNTIFS(mapping!$B:$B,BE$2,mapping!$D:$D,$B57)&gt;0,"X","")</f>
        <v/>
      </c>
      <c r="BF57" s="114" t="str">
        <f>IF(COUNTIFS(mapping!$B:$B,BF$2,mapping!$D:$D,$B57)&gt;0,"X","")</f>
        <v/>
      </c>
      <c r="BG57" s="114" t="str">
        <f>IF(COUNTIFS(mapping!$B:$B,BG$2,mapping!$D:$D,$B57)&gt;0,"X","")</f>
        <v/>
      </c>
      <c r="BH57" s="114" t="str">
        <f>IF(COUNTIFS(mapping!$B:$B,BH$2,mapping!$D:$D,$B57)&gt;0,"X","")</f>
        <v/>
      </c>
      <c r="BI57" s="114" t="str">
        <f>IF(COUNTIFS(mapping!$B:$B,BI$2,mapping!$D:$D,$B57)&gt;0,"X","")</f>
        <v/>
      </c>
      <c r="BJ57" s="114" t="str">
        <f>IF(COUNTIFS(mapping!$B:$B,BJ$2,mapping!$D:$D,$B57)&gt;0,"X","")</f>
        <v/>
      </c>
      <c r="BK57" s="114" t="str">
        <f>IF(COUNTIFS(mapping!$B:$B,BK$2,mapping!$D:$D,$B57)&gt;0,"X","")</f>
        <v/>
      </c>
      <c r="BL57" s="114" t="str">
        <f>IF(COUNTIFS(mapping!$B:$B,BL$2,mapping!$D:$D,$B57)&gt;0,"X","")</f>
        <v/>
      </c>
      <c r="BM57" s="114" t="str">
        <f>IF(COUNTIFS(mapping!$B:$B,BM$2,mapping!$D:$D,$B57)&gt;0,"X","")</f>
        <v/>
      </c>
      <c r="BN57" s="114" t="str">
        <f>IF(COUNTIFS(mapping!$B:$B,BN$2,mapping!$D:$D,$B57)&gt;0,"X","")</f>
        <v/>
      </c>
      <c r="BO57" s="114" t="str">
        <f>IF(COUNTIFS(mapping!$B:$B,BO$2,mapping!$D:$D,$B57)&gt;0,"X","")</f>
        <v/>
      </c>
      <c r="BP57" s="114" t="str">
        <f>IF(COUNTIFS(mapping!$B:$B,BP$2,mapping!$D:$D,$B57)&gt;0,"X","")</f>
        <v/>
      </c>
      <c r="BQ57" s="114" t="str">
        <f>IF(COUNTIFS(mapping!$B:$B,BQ$2,mapping!$D:$D,$B57)&gt;0,"X","")</f>
        <v/>
      </c>
      <c r="BR57" s="114" t="str">
        <f>IF(COUNTIFS(mapping!$B:$B,BR$2,mapping!$D:$D,$B57)&gt;0,"X","")</f>
        <v/>
      </c>
      <c r="BS57" s="114" t="str">
        <f>IF(COUNTIFS(mapping!$B:$B,BS$2,mapping!$D:$D,$B57)&gt;0,"X","")</f>
        <v/>
      </c>
      <c r="BT57" s="114" t="str">
        <f>IF(COUNTIFS(mapping!$B:$B,BT$2,mapping!$D:$D,$B57)&gt;0,"X","")</f>
        <v/>
      </c>
      <c r="BU57" s="114" t="str">
        <f>IF(COUNTIFS(mapping!$B:$B,BU$2,mapping!$D:$D,$B57)&gt;0,"X","")</f>
        <v/>
      </c>
      <c r="BV57" s="114" t="str">
        <f>IF(COUNTIFS(mapping!$B:$B,BV$2,mapping!$D:$D,$B57)&gt;0,"X","")</f>
        <v/>
      </c>
      <c r="BW57" s="114" t="str">
        <f>IF(COUNTIFS(mapping!$B:$B,BW$2,mapping!$D:$D,$B57)&gt;0,"X","")</f>
        <v/>
      </c>
      <c r="BX57" s="114" t="str">
        <f>IF(COUNTIFS(mapping!$B:$B,BX$2,mapping!$D:$D,$B57)&gt;0,"X","")</f>
        <v/>
      </c>
      <c r="BY57" s="114" t="str">
        <f>IF(COUNTIFS(mapping!$B:$B,BY$2,mapping!$D:$D,$B57)&gt;0,"X","")</f>
        <v/>
      </c>
      <c r="BZ57" s="114" t="str">
        <f>IF(COUNTIFS(mapping!$B:$B,BZ$2,mapping!$D:$D,$B57)&gt;0,"X","")</f>
        <v/>
      </c>
      <c r="CA57" s="114" t="str">
        <f>IF(COUNTIFS(mapping!$B:$B,CA$2,mapping!$D:$D,$B57)&gt;0,"X","")</f>
        <v/>
      </c>
      <c r="CB57" s="114" t="str">
        <f>IF(COUNTIFS(mapping!$B:$B,CB$2,mapping!$D:$D,$B57)&gt;0,"X","")</f>
        <v/>
      </c>
      <c r="CC57" s="114" t="str">
        <f>IF(COUNTIFS(mapping!$B:$B,CC$2,mapping!$D:$D,$B57)&gt;0,"X","")</f>
        <v/>
      </c>
      <c r="CD57" s="114" t="str">
        <f>IF(COUNTIFS(mapping!$B:$B,CD$2,mapping!$D:$D,$B57)&gt;0,"X","")</f>
        <v/>
      </c>
      <c r="CE57" s="114" t="str">
        <f>IF(COUNTIFS(mapping!$B:$B,CE$2,mapping!$D:$D,$B57)&gt;0,"X","")</f>
        <v/>
      </c>
      <c r="CF57" s="114" t="str">
        <f>IF(COUNTIFS(mapping!$B:$B,CF$2,mapping!$D:$D,$B57)&gt;0,"X","")</f>
        <v/>
      </c>
      <c r="CG57" s="114" t="str">
        <f>IF(COUNTIFS(mapping!$B:$B,CG$2,mapping!$D:$D,$B57)&gt;0,"X","")</f>
        <v/>
      </c>
      <c r="CH57" s="114" t="str">
        <f>IF(COUNTIFS(mapping!$B:$B,CH$2,mapping!$D:$D,$B57)&gt;0,"X","")</f>
        <v/>
      </c>
    </row>
    <row r="58" spans="1:86" ht="16">
      <c r="A58" s="257"/>
      <c r="B58" s="122" t="s">
        <v>421</v>
      </c>
      <c r="C58" s="122" t="s">
        <v>420</v>
      </c>
      <c r="E58" s="114" t="str">
        <f>IF(COUNTIFS(mapping!$B:$B,E$2,mapping!$D:$D,$B58)&gt;0,"X","")</f>
        <v/>
      </c>
      <c r="F58" s="114" t="str">
        <f>IF(COUNTIFS(mapping!$B:$B,F$2,mapping!$D:$D,$B58)&gt;0,"X","")</f>
        <v/>
      </c>
      <c r="G58" s="114" t="str">
        <f>IF(COUNTIFS(mapping!$B:$B,G$2,mapping!$D:$D,$B58)&gt;0,"X","")</f>
        <v/>
      </c>
      <c r="H58" s="114" t="str">
        <f>IF(COUNTIFS(mapping!$B:$B,H$2,mapping!$D:$D,$B58)&gt;0,"X","")</f>
        <v/>
      </c>
      <c r="I58" s="114" t="str">
        <f>IF(COUNTIFS(mapping!$B:$B,I$2,mapping!$D:$D,$B58)&gt;0,"X","")</f>
        <v/>
      </c>
      <c r="J58" s="114" t="str">
        <f>IF(COUNTIFS(mapping!$B:$B,J$2,mapping!$D:$D,$B58)&gt;0,"X","")</f>
        <v/>
      </c>
      <c r="K58" s="114" t="str">
        <f>IF(COUNTIFS(mapping!$B:$B,K$2,mapping!$D:$D,$B58)&gt;0,"X","")</f>
        <v/>
      </c>
      <c r="L58" s="114" t="str">
        <f>IF(COUNTIFS(mapping!$B:$B,L$2,mapping!$D:$D,$B58)&gt;0,"X","")</f>
        <v/>
      </c>
      <c r="M58" s="114" t="str">
        <f>IF(COUNTIFS(mapping!$B:$B,M$2,mapping!$D:$D,$B58)&gt;0,"X","")</f>
        <v/>
      </c>
      <c r="N58" s="114" t="str">
        <f>IF(COUNTIFS(mapping!$B:$B,N$2,mapping!$D:$D,$B58)&gt;0,"X","")</f>
        <v/>
      </c>
      <c r="O58" s="114" t="str">
        <f>IF(COUNTIFS(mapping!$B:$B,O$2,mapping!$D:$D,$B58)&gt;0,"X","")</f>
        <v/>
      </c>
      <c r="P58" s="114" t="str">
        <f>IF(COUNTIFS(mapping!$B:$B,P$2,mapping!$D:$D,$B58)&gt;0,"X","")</f>
        <v>X</v>
      </c>
      <c r="Q58" s="114" t="str">
        <f>IF(COUNTIFS(mapping!$B:$B,Q$2,mapping!$D:$D,$B58)&gt;0,"X","")</f>
        <v>X</v>
      </c>
      <c r="R58" s="114" t="str">
        <f>IF(COUNTIFS(mapping!$B:$B,R$2,mapping!$D:$D,$B58)&gt;0,"X","")</f>
        <v>X</v>
      </c>
      <c r="S58" s="114" t="str">
        <f>IF(COUNTIFS(mapping!$B:$B,S$2,mapping!$D:$D,$B58)&gt;0,"X","")</f>
        <v>X</v>
      </c>
      <c r="T58" s="114" t="str">
        <f>IF(COUNTIFS(mapping!$B:$B,T$2,mapping!$D:$D,$B58)&gt;0,"X","")</f>
        <v/>
      </c>
      <c r="U58" s="114" t="str">
        <f>IF(COUNTIFS(mapping!$B:$B,U$2,mapping!$D:$D,$B58)&gt;0,"X","")</f>
        <v/>
      </c>
      <c r="V58" s="114" t="str">
        <f>IF(COUNTIFS(mapping!$B:$B,V$2,mapping!$D:$D,$B58)&gt;0,"X","")</f>
        <v/>
      </c>
      <c r="W58" s="114" t="str">
        <f>IF(COUNTIFS(mapping!$B:$B,W$2,mapping!$D:$D,$B58)&gt;0,"X","")</f>
        <v/>
      </c>
      <c r="X58" s="114" t="str">
        <f>IF(COUNTIFS(mapping!$B:$B,X$2,mapping!$D:$D,$B58)&gt;0,"X","")</f>
        <v/>
      </c>
      <c r="Y58" s="114" t="str">
        <f>IF(COUNTIFS(mapping!$B:$B,Y$2,mapping!$D:$D,$B58)&gt;0,"X","")</f>
        <v/>
      </c>
      <c r="Z58" s="114" t="str">
        <f>IF(COUNTIFS(mapping!$B:$B,Z$2,mapping!$D:$D,$B58)&gt;0,"X","")</f>
        <v/>
      </c>
      <c r="AA58" s="114" t="str">
        <f>IF(COUNTIFS(mapping!$B:$B,AA$2,mapping!$D:$D,$B58)&gt;0,"X","")</f>
        <v/>
      </c>
      <c r="AB58" s="114" t="str">
        <f>IF(COUNTIFS(mapping!$B:$B,AB$2,mapping!$D:$D,$B58)&gt;0,"X","")</f>
        <v/>
      </c>
      <c r="AC58" s="114" t="str">
        <f>IF(COUNTIFS(mapping!$B:$B,AC$2,mapping!$D:$D,$B58)&gt;0,"X","")</f>
        <v/>
      </c>
      <c r="AD58" s="114" t="str">
        <f>IF(COUNTIFS(mapping!$B:$B,AD$2,mapping!$D:$D,$B58)&gt;0,"X","")</f>
        <v/>
      </c>
      <c r="AE58" s="114" t="str">
        <f>IF(COUNTIFS(mapping!$B:$B,AE$2,mapping!$D:$D,$B58)&gt;0,"X","")</f>
        <v/>
      </c>
      <c r="AF58" s="114" t="str">
        <f>IF(COUNTIFS(mapping!$B:$B,AF$2,mapping!$D:$D,$B58)&gt;0,"X","")</f>
        <v/>
      </c>
      <c r="AG58" s="114" t="str">
        <f>IF(COUNTIFS(mapping!$B:$B,AG$2,mapping!$D:$D,$B58)&gt;0,"X","")</f>
        <v/>
      </c>
      <c r="AH58" s="114" t="str">
        <f>IF(COUNTIFS(mapping!$B:$B,AH$2,mapping!$D:$D,$B58)&gt;0,"X","")</f>
        <v/>
      </c>
      <c r="AI58" s="114" t="str">
        <f>IF(COUNTIFS(mapping!$B:$B,AI$2,mapping!$D:$D,$B58)&gt;0,"X","")</f>
        <v/>
      </c>
      <c r="AJ58" s="114" t="str">
        <f>IF(COUNTIFS(mapping!$B:$B,AJ$2,mapping!$D:$D,$B58)&gt;0,"X","")</f>
        <v/>
      </c>
      <c r="AK58" s="114" t="str">
        <f>IF(COUNTIFS(mapping!$B:$B,AK$2,mapping!$D:$D,$B58)&gt;0,"X","")</f>
        <v/>
      </c>
      <c r="AL58" s="114" t="str">
        <f>IF(COUNTIFS(mapping!$B:$B,AL$2,mapping!$D:$D,$B58)&gt;0,"X","")</f>
        <v/>
      </c>
      <c r="AM58" s="114" t="str">
        <f>IF(COUNTIFS(mapping!$B:$B,AM$2,mapping!$D:$D,$B58)&gt;0,"X","")</f>
        <v/>
      </c>
      <c r="AN58" s="114" t="str">
        <f>IF(COUNTIFS(mapping!$B:$B,AN$2,mapping!$D:$D,$B58)&gt;0,"X","")</f>
        <v/>
      </c>
      <c r="AO58" s="114" t="str">
        <f>IF(COUNTIFS(mapping!$B:$B,AO$2,mapping!$D:$D,$B58)&gt;0,"X","")</f>
        <v/>
      </c>
      <c r="AP58" s="114" t="str">
        <f>IF(COUNTIFS(mapping!$B:$B,AP$2,mapping!$D:$D,$B58)&gt;0,"X","")</f>
        <v/>
      </c>
      <c r="AQ58" s="114" t="str">
        <f>IF(COUNTIFS(mapping!$B:$B,AQ$2,mapping!$D:$D,$B58)&gt;0,"X","")</f>
        <v/>
      </c>
      <c r="AR58" s="114" t="str">
        <f>IF(COUNTIFS(mapping!$B:$B,AR$2,mapping!$D:$D,$B58)&gt;0,"X","")</f>
        <v/>
      </c>
      <c r="AS58" s="114" t="str">
        <f>IF(COUNTIFS(mapping!$B:$B,AS$2,mapping!$D:$D,$B58)&gt;0,"X","")</f>
        <v/>
      </c>
      <c r="AT58" s="114" t="str">
        <f>IF(COUNTIFS(mapping!$B:$B,AT$2,mapping!$D:$D,$B58)&gt;0,"X","")</f>
        <v/>
      </c>
      <c r="AU58" s="114" t="str">
        <f>IF(COUNTIFS(mapping!$B:$B,AU$2,mapping!$D:$D,$B58)&gt;0,"X","")</f>
        <v/>
      </c>
      <c r="AV58" s="114" t="str">
        <f>IF(COUNTIFS(mapping!$B:$B,AV$2,mapping!$D:$D,$B58)&gt;0,"X","")</f>
        <v/>
      </c>
      <c r="AW58" s="114" t="str">
        <f>IF(COUNTIFS(mapping!$B:$B,AW$2,mapping!$D:$D,$B58)&gt;0,"X","")</f>
        <v/>
      </c>
      <c r="AX58" s="114" t="str">
        <f>IF(COUNTIFS(mapping!$B:$B,AX$2,mapping!$D:$D,$B58)&gt;0,"X","")</f>
        <v/>
      </c>
      <c r="AY58" s="114" t="str">
        <f>IF(COUNTIFS(mapping!$B:$B,AY$2,mapping!$D:$D,$B58)&gt;0,"X","")</f>
        <v/>
      </c>
      <c r="AZ58" s="114" t="str">
        <f>IF(COUNTIFS(mapping!$B:$B,AZ$2,mapping!$D:$D,$B58)&gt;0,"X","")</f>
        <v/>
      </c>
      <c r="BA58" s="114" t="str">
        <f>IF(COUNTIFS(mapping!$B:$B,BA$2,mapping!$D:$D,$B58)&gt;0,"X","")</f>
        <v/>
      </c>
      <c r="BB58" s="114" t="str">
        <f>IF(COUNTIFS(mapping!$B:$B,BB$2,mapping!$D:$D,$B58)&gt;0,"X","")</f>
        <v/>
      </c>
      <c r="BC58" s="114" t="str">
        <f>IF(COUNTIFS(mapping!$B:$B,BC$2,mapping!$D:$D,$B58)&gt;0,"X","")</f>
        <v/>
      </c>
      <c r="BD58" s="114" t="str">
        <f>IF(COUNTIFS(mapping!$B:$B,BD$2,mapping!$D:$D,$B58)&gt;0,"X","")</f>
        <v/>
      </c>
      <c r="BE58" s="114" t="str">
        <f>IF(COUNTIFS(mapping!$B:$B,BE$2,mapping!$D:$D,$B58)&gt;0,"X","")</f>
        <v/>
      </c>
      <c r="BF58" s="114" t="str">
        <f>IF(COUNTIFS(mapping!$B:$B,BF$2,mapping!$D:$D,$B58)&gt;0,"X","")</f>
        <v/>
      </c>
      <c r="BG58" s="114" t="str">
        <f>IF(COUNTIFS(mapping!$B:$B,BG$2,mapping!$D:$D,$B58)&gt;0,"X","")</f>
        <v/>
      </c>
      <c r="BH58" s="114" t="str">
        <f>IF(COUNTIFS(mapping!$B:$B,BH$2,mapping!$D:$D,$B58)&gt;0,"X","")</f>
        <v/>
      </c>
      <c r="BI58" s="114" t="str">
        <f>IF(COUNTIFS(mapping!$B:$B,BI$2,mapping!$D:$D,$B58)&gt;0,"X","")</f>
        <v/>
      </c>
      <c r="BJ58" s="114" t="str">
        <f>IF(COUNTIFS(mapping!$B:$B,BJ$2,mapping!$D:$D,$B58)&gt;0,"X","")</f>
        <v/>
      </c>
      <c r="BK58" s="114" t="str">
        <f>IF(COUNTIFS(mapping!$B:$B,BK$2,mapping!$D:$D,$B58)&gt;0,"X","")</f>
        <v/>
      </c>
      <c r="BL58" s="114" t="str">
        <f>IF(COUNTIFS(mapping!$B:$B,BL$2,mapping!$D:$D,$B58)&gt;0,"X","")</f>
        <v/>
      </c>
      <c r="BM58" s="114" t="str">
        <f>IF(COUNTIFS(mapping!$B:$B,BM$2,mapping!$D:$D,$B58)&gt;0,"X","")</f>
        <v/>
      </c>
      <c r="BN58" s="114" t="str">
        <f>IF(COUNTIFS(mapping!$B:$B,BN$2,mapping!$D:$D,$B58)&gt;0,"X","")</f>
        <v/>
      </c>
      <c r="BO58" s="114" t="str">
        <f>IF(COUNTIFS(mapping!$B:$B,BO$2,mapping!$D:$D,$B58)&gt;0,"X","")</f>
        <v/>
      </c>
      <c r="BP58" s="114" t="str">
        <f>IF(COUNTIFS(mapping!$B:$B,BP$2,mapping!$D:$D,$B58)&gt;0,"X","")</f>
        <v/>
      </c>
      <c r="BQ58" s="114" t="str">
        <f>IF(COUNTIFS(mapping!$B:$B,BQ$2,mapping!$D:$D,$B58)&gt;0,"X","")</f>
        <v/>
      </c>
      <c r="BR58" s="114" t="str">
        <f>IF(COUNTIFS(mapping!$B:$B,BR$2,mapping!$D:$D,$B58)&gt;0,"X","")</f>
        <v/>
      </c>
      <c r="BS58" s="114" t="str">
        <f>IF(COUNTIFS(mapping!$B:$B,BS$2,mapping!$D:$D,$B58)&gt;0,"X","")</f>
        <v/>
      </c>
      <c r="BT58" s="114" t="str">
        <f>IF(COUNTIFS(mapping!$B:$B,BT$2,mapping!$D:$D,$B58)&gt;0,"X","")</f>
        <v/>
      </c>
      <c r="BU58" s="114" t="str">
        <f>IF(COUNTIFS(mapping!$B:$B,BU$2,mapping!$D:$D,$B58)&gt;0,"X","")</f>
        <v/>
      </c>
      <c r="BV58" s="114" t="str">
        <f>IF(COUNTIFS(mapping!$B:$B,BV$2,mapping!$D:$D,$B58)&gt;0,"X","")</f>
        <v/>
      </c>
      <c r="BW58" s="114" t="str">
        <f>IF(COUNTIFS(mapping!$B:$B,BW$2,mapping!$D:$D,$B58)&gt;0,"X","")</f>
        <v/>
      </c>
      <c r="BX58" s="114" t="str">
        <f>IF(COUNTIFS(mapping!$B:$B,BX$2,mapping!$D:$D,$B58)&gt;0,"X","")</f>
        <v/>
      </c>
      <c r="BY58" s="114" t="str">
        <f>IF(COUNTIFS(mapping!$B:$B,BY$2,mapping!$D:$D,$B58)&gt;0,"X","")</f>
        <v/>
      </c>
      <c r="BZ58" s="114" t="str">
        <f>IF(COUNTIFS(mapping!$B:$B,BZ$2,mapping!$D:$D,$B58)&gt;0,"X","")</f>
        <v/>
      </c>
      <c r="CA58" s="114" t="str">
        <f>IF(COUNTIFS(mapping!$B:$B,CA$2,mapping!$D:$D,$B58)&gt;0,"X","")</f>
        <v/>
      </c>
      <c r="CB58" s="114" t="str">
        <f>IF(COUNTIFS(mapping!$B:$B,CB$2,mapping!$D:$D,$B58)&gt;0,"X","")</f>
        <v/>
      </c>
      <c r="CC58" s="114" t="str">
        <f>IF(COUNTIFS(mapping!$B:$B,CC$2,mapping!$D:$D,$B58)&gt;0,"X","")</f>
        <v/>
      </c>
      <c r="CD58" s="114" t="str">
        <f>IF(COUNTIFS(mapping!$B:$B,CD$2,mapping!$D:$D,$B58)&gt;0,"X","")</f>
        <v/>
      </c>
      <c r="CE58" s="114" t="str">
        <f>IF(COUNTIFS(mapping!$B:$B,CE$2,mapping!$D:$D,$B58)&gt;0,"X","")</f>
        <v/>
      </c>
      <c r="CF58" s="114" t="str">
        <f>IF(COUNTIFS(mapping!$B:$B,CF$2,mapping!$D:$D,$B58)&gt;0,"X","")</f>
        <v/>
      </c>
      <c r="CG58" s="114" t="str">
        <f>IF(COUNTIFS(mapping!$B:$B,CG$2,mapping!$D:$D,$B58)&gt;0,"X","")</f>
        <v/>
      </c>
      <c r="CH58" s="114" t="str">
        <f>IF(COUNTIFS(mapping!$B:$B,CH$2,mapping!$D:$D,$B58)&gt;0,"X","")</f>
        <v/>
      </c>
    </row>
    <row r="59" spans="1:86" ht="16">
      <c r="A59" s="257"/>
      <c r="B59" s="122" t="s">
        <v>419</v>
      </c>
      <c r="C59" s="122" t="s">
        <v>418</v>
      </c>
      <c r="E59" s="114" t="str">
        <f>IF(COUNTIFS(mapping!$B:$B,E$2,mapping!$D:$D,$B59)&gt;0,"X","")</f>
        <v/>
      </c>
      <c r="F59" s="114" t="str">
        <f>IF(COUNTIFS(mapping!$B:$B,F$2,mapping!$D:$D,$B59)&gt;0,"X","")</f>
        <v/>
      </c>
      <c r="G59" s="114" t="str">
        <f>IF(COUNTIFS(mapping!$B:$B,G$2,mapping!$D:$D,$B59)&gt;0,"X","")</f>
        <v/>
      </c>
      <c r="H59" s="114" t="str">
        <f>IF(COUNTIFS(mapping!$B:$B,H$2,mapping!$D:$D,$B59)&gt;0,"X","")</f>
        <v/>
      </c>
      <c r="I59" s="114" t="str">
        <f>IF(COUNTIFS(mapping!$B:$B,I$2,mapping!$D:$D,$B59)&gt;0,"X","")</f>
        <v/>
      </c>
      <c r="J59" s="114" t="str">
        <f>IF(COUNTIFS(mapping!$B:$B,J$2,mapping!$D:$D,$B59)&gt;0,"X","")</f>
        <v/>
      </c>
      <c r="K59" s="114" t="str">
        <f>IF(COUNTIFS(mapping!$B:$B,K$2,mapping!$D:$D,$B59)&gt;0,"X","")</f>
        <v/>
      </c>
      <c r="L59" s="114" t="str">
        <f>IF(COUNTIFS(mapping!$B:$B,L$2,mapping!$D:$D,$B59)&gt;0,"X","")</f>
        <v/>
      </c>
      <c r="M59" s="114" t="str">
        <f>IF(COUNTIFS(mapping!$B:$B,M$2,mapping!$D:$D,$B59)&gt;0,"X","")</f>
        <v/>
      </c>
      <c r="N59" s="114" t="str">
        <f>IF(COUNTIFS(mapping!$B:$B,N$2,mapping!$D:$D,$B59)&gt;0,"X","")</f>
        <v/>
      </c>
      <c r="O59" s="114" t="str">
        <f>IF(COUNTIFS(mapping!$B:$B,O$2,mapping!$D:$D,$B59)&gt;0,"X","")</f>
        <v/>
      </c>
      <c r="P59" s="114" t="str">
        <f>IF(COUNTIFS(mapping!$B:$B,P$2,mapping!$D:$D,$B59)&gt;0,"X","")</f>
        <v/>
      </c>
      <c r="Q59" s="114" t="str">
        <f>IF(COUNTIFS(mapping!$B:$B,Q$2,mapping!$D:$D,$B59)&gt;0,"X","")</f>
        <v/>
      </c>
      <c r="R59" s="114" t="str">
        <f>IF(COUNTIFS(mapping!$B:$B,R$2,mapping!$D:$D,$B59)&gt;0,"X","")</f>
        <v/>
      </c>
      <c r="S59" s="114" t="str">
        <f>IF(COUNTIFS(mapping!$B:$B,S$2,mapping!$D:$D,$B59)&gt;0,"X","")</f>
        <v/>
      </c>
      <c r="T59" s="114" t="str">
        <f>IF(COUNTIFS(mapping!$B:$B,T$2,mapping!$D:$D,$B59)&gt;0,"X","")</f>
        <v/>
      </c>
      <c r="U59" s="114" t="str">
        <f>IF(COUNTIFS(mapping!$B:$B,U$2,mapping!$D:$D,$B59)&gt;0,"X","")</f>
        <v>X</v>
      </c>
      <c r="V59" s="114" t="str">
        <f>IF(COUNTIFS(mapping!$B:$B,V$2,mapping!$D:$D,$B59)&gt;0,"X","")</f>
        <v/>
      </c>
      <c r="W59" s="114" t="str">
        <f>IF(COUNTIFS(mapping!$B:$B,W$2,mapping!$D:$D,$B59)&gt;0,"X","")</f>
        <v/>
      </c>
      <c r="X59" s="114" t="str">
        <f>IF(COUNTIFS(mapping!$B:$B,X$2,mapping!$D:$D,$B59)&gt;0,"X","")</f>
        <v/>
      </c>
      <c r="Y59" s="114" t="str">
        <f>IF(COUNTIFS(mapping!$B:$B,Y$2,mapping!$D:$D,$B59)&gt;0,"X","")</f>
        <v/>
      </c>
      <c r="Z59" s="114" t="str">
        <f>IF(COUNTIFS(mapping!$B:$B,Z$2,mapping!$D:$D,$B59)&gt;0,"X","")</f>
        <v/>
      </c>
      <c r="AA59" s="114" t="str">
        <f>IF(COUNTIFS(mapping!$B:$B,AA$2,mapping!$D:$D,$B59)&gt;0,"X","")</f>
        <v/>
      </c>
      <c r="AB59" s="114" t="str">
        <f>IF(COUNTIFS(mapping!$B:$B,AB$2,mapping!$D:$D,$B59)&gt;0,"X","")</f>
        <v/>
      </c>
      <c r="AC59" s="114" t="str">
        <f>IF(COUNTIFS(mapping!$B:$B,AC$2,mapping!$D:$D,$B59)&gt;0,"X","")</f>
        <v/>
      </c>
      <c r="AD59" s="114" t="str">
        <f>IF(COUNTIFS(mapping!$B:$B,AD$2,mapping!$D:$D,$B59)&gt;0,"X","")</f>
        <v/>
      </c>
      <c r="AE59" s="114" t="str">
        <f>IF(COUNTIFS(mapping!$B:$B,AE$2,mapping!$D:$D,$B59)&gt;0,"X","")</f>
        <v/>
      </c>
      <c r="AF59" s="114" t="str">
        <f>IF(COUNTIFS(mapping!$B:$B,AF$2,mapping!$D:$D,$B59)&gt;0,"X","")</f>
        <v/>
      </c>
      <c r="AG59" s="114" t="str">
        <f>IF(COUNTIFS(mapping!$B:$B,AG$2,mapping!$D:$D,$B59)&gt;0,"X","")</f>
        <v/>
      </c>
      <c r="AH59" s="114" t="str">
        <f>IF(COUNTIFS(mapping!$B:$B,AH$2,mapping!$D:$D,$B59)&gt;0,"X","")</f>
        <v/>
      </c>
      <c r="AI59" s="114" t="str">
        <f>IF(COUNTIFS(mapping!$B:$B,AI$2,mapping!$D:$D,$B59)&gt;0,"X","")</f>
        <v/>
      </c>
      <c r="AJ59" s="114" t="str">
        <f>IF(COUNTIFS(mapping!$B:$B,AJ$2,mapping!$D:$D,$B59)&gt;0,"X","")</f>
        <v/>
      </c>
      <c r="AK59" s="114" t="str">
        <f>IF(COUNTIFS(mapping!$B:$B,AK$2,mapping!$D:$D,$B59)&gt;0,"X","")</f>
        <v/>
      </c>
      <c r="AL59" s="114" t="str">
        <f>IF(COUNTIFS(mapping!$B:$B,AL$2,mapping!$D:$D,$B59)&gt;0,"X","")</f>
        <v/>
      </c>
      <c r="AM59" s="114" t="str">
        <f>IF(COUNTIFS(mapping!$B:$B,AM$2,mapping!$D:$D,$B59)&gt;0,"X","")</f>
        <v/>
      </c>
      <c r="AN59" s="114" t="str">
        <f>IF(COUNTIFS(mapping!$B:$B,AN$2,mapping!$D:$D,$B59)&gt;0,"X","")</f>
        <v/>
      </c>
      <c r="AO59" s="114" t="str">
        <f>IF(COUNTIFS(mapping!$B:$B,AO$2,mapping!$D:$D,$B59)&gt;0,"X","")</f>
        <v/>
      </c>
      <c r="AP59" s="114" t="str">
        <f>IF(COUNTIFS(mapping!$B:$B,AP$2,mapping!$D:$D,$B59)&gt;0,"X","")</f>
        <v/>
      </c>
      <c r="AQ59" s="114" t="str">
        <f>IF(COUNTIFS(mapping!$B:$B,AQ$2,mapping!$D:$D,$B59)&gt;0,"X","")</f>
        <v/>
      </c>
      <c r="AR59" s="114" t="str">
        <f>IF(COUNTIFS(mapping!$B:$B,AR$2,mapping!$D:$D,$B59)&gt;0,"X","")</f>
        <v/>
      </c>
      <c r="AS59" s="114" t="str">
        <f>IF(COUNTIFS(mapping!$B:$B,AS$2,mapping!$D:$D,$B59)&gt;0,"X","")</f>
        <v/>
      </c>
      <c r="AT59" s="114" t="str">
        <f>IF(COUNTIFS(mapping!$B:$B,AT$2,mapping!$D:$D,$B59)&gt;0,"X","")</f>
        <v/>
      </c>
      <c r="AU59" s="114" t="str">
        <f>IF(COUNTIFS(mapping!$B:$B,AU$2,mapping!$D:$D,$B59)&gt;0,"X","")</f>
        <v/>
      </c>
      <c r="AV59" s="114" t="str">
        <f>IF(COUNTIFS(mapping!$B:$B,AV$2,mapping!$D:$D,$B59)&gt;0,"X","")</f>
        <v/>
      </c>
      <c r="AW59" s="114" t="str">
        <f>IF(COUNTIFS(mapping!$B:$B,AW$2,mapping!$D:$D,$B59)&gt;0,"X","")</f>
        <v/>
      </c>
      <c r="AX59" s="114" t="str">
        <f>IF(COUNTIFS(mapping!$B:$B,AX$2,mapping!$D:$D,$B59)&gt;0,"X","")</f>
        <v/>
      </c>
      <c r="AY59" s="114" t="str">
        <f>IF(COUNTIFS(mapping!$B:$B,AY$2,mapping!$D:$D,$B59)&gt;0,"X","")</f>
        <v/>
      </c>
      <c r="AZ59" s="114" t="str">
        <f>IF(COUNTIFS(mapping!$B:$B,AZ$2,mapping!$D:$D,$B59)&gt;0,"X","")</f>
        <v/>
      </c>
      <c r="BA59" s="114" t="str">
        <f>IF(COUNTIFS(mapping!$B:$B,BA$2,mapping!$D:$D,$B59)&gt;0,"X","")</f>
        <v/>
      </c>
      <c r="BB59" s="114" t="str">
        <f>IF(COUNTIFS(mapping!$B:$B,BB$2,mapping!$D:$D,$B59)&gt;0,"X","")</f>
        <v/>
      </c>
      <c r="BC59" s="114" t="str">
        <f>IF(COUNTIFS(mapping!$B:$B,BC$2,mapping!$D:$D,$B59)&gt;0,"X","")</f>
        <v/>
      </c>
      <c r="BD59" s="114" t="str">
        <f>IF(COUNTIFS(mapping!$B:$B,BD$2,mapping!$D:$D,$B59)&gt;0,"X","")</f>
        <v/>
      </c>
      <c r="BE59" s="114" t="str">
        <f>IF(COUNTIFS(mapping!$B:$B,BE$2,mapping!$D:$D,$B59)&gt;0,"X","")</f>
        <v/>
      </c>
      <c r="BF59" s="114" t="str">
        <f>IF(COUNTIFS(mapping!$B:$B,BF$2,mapping!$D:$D,$B59)&gt;0,"X","")</f>
        <v/>
      </c>
      <c r="BG59" s="114" t="str">
        <f>IF(COUNTIFS(mapping!$B:$B,BG$2,mapping!$D:$D,$B59)&gt;0,"X","")</f>
        <v/>
      </c>
      <c r="BH59" s="114" t="str">
        <f>IF(COUNTIFS(mapping!$B:$B,BH$2,mapping!$D:$D,$B59)&gt;0,"X","")</f>
        <v/>
      </c>
      <c r="BI59" s="114" t="str">
        <f>IF(COUNTIFS(mapping!$B:$B,BI$2,mapping!$D:$D,$B59)&gt;0,"X","")</f>
        <v/>
      </c>
      <c r="BJ59" s="114" t="str">
        <f>IF(COUNTIFS(mapping!$B:$B,BJ$2,mapping!$D:$D,$B59)&gt;0,"X","")</f>
        <v/>
      </c>
      <c r="BK59" s="114" t="str">
        <f>IF(COUNTIFS(mapping!$B:$B,BK$2,mapping!$D:$D,$B59)&gt;0,"X","")</f>
        <v/>
      </c>
      <c r="BL59" s="114" t="str">
        <f>IF(COUNTIFS(mapping!$B:$B,BL$2,mapping!$D:$D,$B59)&gt;0,"X","")</f>
        <v/>
      </c>
      <c r="BM59" s="114" t="str">
        <f>IF(COUNTIFS(mapping!$B:$B,BM$2,mapping!$D:$D,$B59)&gt;0,"X","")</f>
        <v/>
      </c>
      <c r="BN59" s="114" t="str">
        <f>IF(COUNTIFS(mapping!$B:$B,BN$2,mapping!$D:$D,$B59)&gt;0,"X","")</f>
        <v/>
      </c>
      <c r="BO59" s="114" t="str">
        <f>IF(COUNTIFS(mapping!$B:$B,BO$2,mapping!$D:$D,$B59)&gt;0,"X","")</f>
        <v/>
      </c>
      <c r="BP59" s="114" t="str">
        <f>IF(COUNTIFS(mapping!$B:$B,BP$2,mapping!$D:$D,$B59)&gt;0,"X","")</f>
        <v/>
      </c>
      <c r="BQ59" s="114" t="str">
        <f>IF(COUNTIFS(mapping!$B:$B,BQ$2,mapping!$D:$D,$B59)&gt;0,"X","")</f>
        <v/>
      </c>
      <c r="BR59" s="114" t="str">
        <f>IF(COUNTIFS(mapping!$B:$B,BR$2,mapping!$D:$D,$B59)&gt;0,"X","")</f>
        <v/>
      </c>
      <c r="BS59" s="114" t="str">
        <f>IF(COUNTIFS(mapping!$B:$B,BS$2,mapping!$D:$D,$B59)&gt;0,"X","")</f>
        <v/>
      </c>
      <c r="BT59" s="114" t="str">
        <f>IF(COUNTIFS(mapping!$B:$B,BT$2,mapping!$D:$D,$B59)&gt;0,"X","")</f>
        <v/>
      </c>
      <c r="BU59" s="114" t="str">
        <f>IF(COUNTIFS(mapping!$B:$B,BU$2,mapping!$D:$D,$B59)&gt;0,"X","")</f>
        <v/>
      </c>
      <c r="BV59" s="114" t="str">
        <f>IF(COUNTIFS(mapping!$B:$B,BV$2,mapping!$D:$D,$B59)&gt;0,"X","")</f>
        <v/>
      </c>
      <c r="BW59" s="114" t="str">
        <f>IF(COUNTIFS(mapping!$B:$B,BW$2,mapping!$D:$D,$B59)&gt;0,"X","")</f>
        <v/>
      </c>
      <c r="BX59" s="114" t="str">
        <f>IF(COUNTIFS(mapping!$B:$B,BX$2,mapping!$D:$D,$B59)&gt;0,"X","")</f>
        <v/>
      </c>
      <c r="BY59" s="114" t="str">
        <f>IF(COUNTIFS(mapping!$B:$B,BY$2,mapping!$D:$D,$B59)&gt;0,"X","")</f>
        <v/>
      </c>
      <c r="BZ59" s="114" t="str">
        <f>IF(COUNTIFS(mapping!$B:$B,BZ$2,mapping!$D:$D,$B59)&gt;0,"X","")</f>
        <v/>
      </c>
      <c r="CA59" s="114" t="str">
        <f>IF(COUNTIFS(mapping!$B:$B,CA$2,mapping!$D:$D,$B59)&gt;0,"X","")</f>
        <v/>
      </c>
      <c r="CB59" s="114" t="str">
        <f>IF(COUNTIFS(mapping!$B:$B,CB$2,mapping!$D:$D,$B59)&gt;0,"X","")</f>
        <v/>
      </c>
      <c r="CC59" s="114" t="str">
        <f>IF(COUNTIFS(mapping!$B:$B,CC$2,mapping!$D:$D,$B59)&gt;0,"X","")</f>
        <v/>
      </c>
      <c r="CD59" s="114" t="str">
        <f>IF(COUNTIFS(mapping!$B:$B,CD$2,mapping!$D:$D,$B59)&gt;0,"X","")</f>
        <v/>
      </c>
      <c r="CE59" s="114" t="str">
        <f>IF(COUNTIFS(mapping!$B:$B,CE$2,mapping!$D:$D,$B59)&gt;0,"X","")</f>
        <v/>
      </c>
      <c r="CF59" s="114" t="str">
        <f>IF(COUNTIFS(mapping!$B:$B,CF$2,mapping!$D:$D,$B59)&gt;0,"X","")</f>
        <v/>
      </c>
      <c r="CG59" s="114" t="str">
        <f>IF(COUNTIFS(mapping!$B:$B,CG$2,mapping!$D:$D,$B59)&gt;0,"X","")</f>
        <v/>
      </c>
      <c r="CH59" s="114" t="str">
        <f>IF(COUNTIFS(mapping!$B:$B,CH$2,mapping!$D:$D,$B59)&gt;0,"X","")</f>
        <v/>
      </c>
    </row>
    <row r="60" spans="1:86" ht="16">
      <c r="A60" s="257"/>
      <c r="B60" s="122" t="s">
        <v>417</v>
      </c>
      <c r="C60" s="122" t="s">
        <v>416</v>
      </c>
      <c r="E60" s="114" t="str">
        <f>IF(COUNTIFS(mapping!$B:$B,E$2,mapping!$D:$D,$B60)&gt;0,"X","")</f>
        <v/>
      </c>
      <c r="F60" s="114" t="str">
        <f>IF(COUNTIFS(mapping!$B:$B,F$2,mapping!$D:$D,$B60)&gt;0,"X","")</f>
        <v/>
      </c>
      <c r="G60" s="114" t="str">
        <f>IF(COUNTIFS(mapping!$B:$B,G$2,mapping!$D:$D,$B60)&gt;0,"X","")</f>
        <v/>
      </c>
      <c r="H60" s="114" t="str">
        <f>IF(COUNTIFS(mapping!$B:$B,H$2,mapping!$D:$D,$B60)&gt;0,"X","")</f>
        <v/>
      </c>
      <c r="I60" s="114" t="str">
        <f>IF(COUNTIFS(mapping!$B:$B,I$2,mapping!$D:$D,$B60)&gt;0,"X","")</f>
        <v/>
      </c>
      <c r="J60" s="114" t="str">
        <f>IF(COUNTIFS(mapping!$B:$B,J$2,mapping!$D:$D,$B60)&gt;0,"X","")</f>
        <v/>
      </c>
      <c r="K60" s="114" t="str">
        <f>IF(COUNTIFS(mapping!$B:$B,K$2,mapping!$D:$D,$B60)&gt;0,"X","")</f>
        <v/>
      </c>
      <c r="L60" s="114" t="str">
        <f>IF(COUNTIFS(mapping!$B:$B,L$2,mapping!$D:$D,$B60)&gt;0,"X","")</f>
        <v/>
      </c>
      <c r="M60" s="114" t="str">
        <f>IF(COUNTIFS(mapping!$B:$B,M$2,mapping!$D:$D,$B60)&gt;0,"X","")</f>
        <v/>
      </c>
      <c r="N60" s="114" t="str">
        <f>IF(COUNTIFS(mapping!$B:$B,N$2,mapping!$D:$D,$B60)&gt;0,"X","")</f>
        <v/>
      </c>
      <c r="O60" s="114" t="str">
        <f>IF(COUNTIFS(mapping!$B:$B,O$2,mapping!$D:$D,$B60)&gt;0,"X","")</f>
        <v/>
      </c>
      <c r="P60" s="114" t="str">
        <f>IF(COUNTIFS(mapping!$B:$B,P$2,mapping!$D:$D,$B60)&gt;0,"X","")</f>
        <v/>
      </c>
      <c r="Q60" s="114" t="str">
        <f>IF(COUNTIFS(mapping!$B:$B,Q$2,mapping!$D:$D,$B60)&gt;0,"X","")</f>
        <v/>
      </c>
      <c r="R60" s="114" t="str">
        <f>IF(COUNTIFS(mapping!$B:$B,R$2,mapping!$D:$D,$B60)&gt;0,"X","")</f>
        <v/>
      </c>
      <c r="S60" s="114" t="str">
        <f>IF(COUNTIFS(mapping!$B:$B,S$2,mapping!$D:$D,$B60)&gt;0,"X","")</f>
        <v/>
      </c>
      <c r="T60" s="114" t="str">
        <f>IF(COUNTIFS(mapping!$B:$B,T$2,mapping!$D:$D,$B60)&gt;0,"X","")</f>
        <v/>
      </c>
      <c r="U60" s="114" t="str">
        <f>IF(COUNTIFS(mapping!$B:$B,U$2,mapping!$D:$D,$B60)&gt;0,"X","")</f>
        <v/>
      </c>
      <c r="V60" s="114" t="str">
        <f>IF(COUNTIFS(mapping!$B:$B,V$2,mapping!$D:$D,$B60)&gt;0,"X","")</f>
        <v/>
      </c>
      <c r="W60" s="114" t="str">
        <f>IF(COUNTIFS(mapping!$B:$B,W$2,mapping!$D:$D,$B60)&gt;0,"X","")</f>
        <v/>
      </c>
      <c r="X60" s="114" t="str">
        <f>IF(COUNTIFS(mapping!$B:$B,X$2,mapping!$D:$D,$B60)&gt;0,"X","")</f>
        <v>X</v>
      </c>
      <c r="Y60" s="114" t="str">
        <f>IF(COUNTIFS(mapping!$B:$B,Y$2,mapping!$D:$D,$B60)&gt;0,"X","")</f>
        <v/>
      </c>
      <c r="Z60" s="114" t="str">
        <f>IF(COUNTIFS(mapping!$B:$B,Z$2,mapping!$D:$D,$B60)&gt;0,"X","")</f>
        <v/>
      </c>
      <c r="AA60" s="114" t="str">
        <f>IF(COUNTIFS(mapping!$B:$B,AA$2,mapping!$D:$D,$B60)&gt;0,"X","")</f>
        <v/>
      </c>
      <c r="AB60" s="114" t="str">
        <f>IF(COUNTIFS(mapping!$B:$B,AB$2,mapping!$D:$D,$B60)&gt;0,"X","")</f>
        <v/>
      </c>
      <c r="AC60" s="114" t="str">
        <f>IF(COUNTIFS(mapping!$B:$B,AC$2,mapping!$D:$D,$B60)&gt;0,"X","")</f>
        <v/>
      </c>
      <c r="AD60" s="114" t="str">
        <f>IF(COUNTIFS(mapping!$B:$B,AD$2,mapping!$D:$D,$B60)&gt;0,"X","")</f>
        <v/>
      </c>
      <c r="AE60" s="114" t="str">
        <f>IF(COUNTIFS(mapping!$B:$B,AE$2,mapping!$D:$D,$B60)&gt;0,"X","")</f>
        <v>X</v>
      </c>
      <c r="AF60" s="114" t="str">
        <f>IF(COUNTIFS(mapping!$B:$B,AF$2,mapping!$D:$D,$B60)&gt;0,"X","")</f>
        <v>X</v>
      </c>
      <c r="AG60" s="114" t="str">
        <f>IF(COUNTIFS(mapping!$B:$B,AG$2,mapping!$D:$D,$B60)&gt;0,"X","")</f>
        <v/>
      </c>
      <c r="AH60" s="114" t="str">
        <f>IF(COUNTIFS(mapping!$B:$B,AH$2,mapping!$D:$D,$B60)&gt;0,"X","")</f>
        <v>X</v>
      </c>
      <c r="AI60" s="114" t="str">
        <f>IF(COUNTIFS(mapping!$B:$B,AI$2,mapping!$D:$D,$B60)&gt;0,"X","")</f>
        <v/>
      </c>
      <c r="AJ60" s="114" t="str">
        <f>IF(COUNTIFS(mapping!$B:$B,AJ$2,mapping!$D:$D,$B60)&gt;0,"X","")</f>
        <v/>
      </c>
      <c r="AK60" s="114" t="str">
        <f>IF(COUNTIFS(mapping!$B:$B,AK$2,mapping!$D:$D,$B60)&gt;0,"X","")</f>
        <v/>
      </c>
      <c r="AL60" s="114" t="str">
        <f>IF(COUNTIFS(mapping!$B:$B,AL$2,mapping!$D:$D,$B60)&gt;0,"X","")</f>
        <v/>
      </c>
      <c r="AM60" s="114" t="str">
        <f>IF(COUNTIFS(mapping!$B:$B,AM$2,mapping!$D:$D,$B60)&gt;0,"X","")</f>
        <v/>
      </c>
      <c r="AN60" s="114" t="str">
        <f>IF(COUNTIFS(mapping!$B:$B,AN$2,mapping!$D:$D,$B60)&gt;0,"X","")</f>
        <v/>
      </c>
      <c r="AO60" s="114" t="str">
        <f>IF(COUNTIFS(mapping!$B:$B,AO$2,mapping!$D:$D,$B60)&gt;0,"X","")</f>
        <v/>
      </c>
      <c r="AP60" s="114" t="str">
        <f>IF(COUNTIFS(mapping!$B:$B,AP$2,mapping!$D:$D,$B60)&gt;0,"X","")</f>
        <v/>
      </c>
      <c r="AQ60" s="114" t="str">
        <f>IF(COUNTIFS(mapping!$B:$B,AQ$2,mapping!$D:$D,$B60)&gt;0,"X","")</f>
        <v/>
      </c>
      <c r="AR60" s="114" t="str">
        <f>IF(COUNTIFS(mapping!$B:$B,AR$2,mapping!$D:$D,$B60)&gt;0,"X","")</f>
        <v/>
      </c>
      <c r="AS60" s="114" t="str">
        <f>IF(COUNTIFS(mapping!$B:$B,AS$2,mapping!$D:$D,$B60)&gt;0,"X","")</f>
        <v/>
      </c>
      <c r="AT60" s="114" t="str">
        <f>IF(COUNTIFS(mapping!$B:$B,AT$2,mapping!$D:$D,$B60)&gt;0,"X","")</f>
        <v/>
      </c>
      <c r="AU60" s="114" t="str">
        <f>IF(COUNTIFS(mapping!$B:$B,AU$2,mapping!$D:$D,$B60)&gt;0,"X","")</f>
        <v/>
      </c>
      <c r="AV60" s="114" t="str">
        <f>IF(COUNTIFS(mapping!$B:$B,AV$2,mapping!$D:$D,$B60)&gt;0,"X","")</f>
        <v/>
      </c>
      <c r="AW60" s="114" t="str">
        <f>IF(COUNTIFS(mapping!$B:$B,AW$2,mapping!$D:$D,$B60)&gt;0,"X","")</f>
        <v/>
      </c>
      <c r="AX60" s="114" t="str">
        <f>IF(COUNTIFS(mapping!$B:$B,AX$2,mapping!$D:$D,$B60)&gt;0,"X","")</f>
        <v/>
      </c>
      <c r="AY60" s="114" t="str">
        <f>IF(COUNTIFS(mapping!$B:$B,AY$2,mapping!$D:$D,$B60)&gt;0,"X","")</f>
        <v/>
      </c>
      <c r="AZ60" s="114" t="str">
        <f>IF(COUNTIFS(mapping!$B:$B,AZ$2,mapping!$D:$D,$B60)&gt;0,"X","")</f>
        <v/>
      </c>
      <c r="BA60" s="114" t="str">
        <f>IF(COUNTIFS(mapping!$B:$B,BA$2,mapping!$D:$D,$B60)&gt;0,"X","")</f>
        <v/>
      </c>
      <c r="BB60" s="114" t="str">
        <f>IF(COUNTIFS(mapping!$B:$B,BB$2,mapping!$D:$D,$B60)&gt;0,"X","")</f>
        <v/>
      </c>
      <c r="BC60" s="114" t="str">
        <f>IF(COUNTIFS(mapping!$B:$B,BC$2,mapping!$D:$D,$B60)&gt;0,"X","")</f>
        <v/>
      </c>
      <c r="BD60" s="114" t="str">
        <f>IF(COUNTIFS(mapping!$B:$B,BD$2,mapping!$D:$D,$B60)&gt;0,"X","")</f>
        <v/>
      </c>
      <c r="BE60" s="114" t="str">
        <f>IF(COUNTIFS(mapping!$B:$B,BE$2,mapping!$D:$D,$B60)&gt;0,"X","")</f>
        <v/>
      </c>
      <c r="BF60" s="114" t="str">
        <f>IF(COUNTIFS(mapping!$B:$B,BF$2,mapping!$D:$D,$B60)&gt;0,"X","")</f>
        <v/>
      </c>
      <c r="BG60" s="114" t="str">
        <f>IF(COUNTIFS(mapping!$B:$B,BG$2,mapping!$D:$D,$B60)&gt;0,"X","")</f>
        <v/>
      </c>
      <c r="BH60" s="114" t="str">
        <f>IF(COUNTIFS(mapping!$B:$B,BH$2,mapping!$D:$D,$B60)&gt;0,"X","")</f>
        <v/>
      </c>
      <c r="BI60" s="114" t="str">
        <f>IF(COUNTIFS(mapping!$B:$B,BI$2,mapping!$D:$D,$B60)&gt;0,"X","")</f>
        <v/>
      </c>
      <c r="BJ60" s="114" t="str">
        <f>IF(COUNTIFS(mapping!$B:$B,BJ$2,mapping!$D:$D,$B60)&gt;0,"X","")</f>
        <v/>
      </c>
      <c r="BK60" s="114" t="str">
        <f>IF(COUNTIFS(mapping!$B:$B,BK$2,mapping!$D:$D,$B60)&gt;0,"X","")</f>
        <v/>
      </c>
      <c r="BL60" s="114" t="str">
        <f>IF(COUNTIFS(mapping!$B:$B,BL$2,mapping!$D:$D,$B60)&gt;0,"X","")</f>
        <v/>
      </c>
      <c r="BM60" s="114" t="str">
        <f>IF(COUNTIFS(mapping!$B:$B,BM$2,mapping!$D:$D,$B60)&gt;0,"X","")</f>
        <v/>
      </c>
      <c r="BN60" s="114" t="str">
        <f>IF(COUNTIFS(mapping!$B:$B,BN$2,mapping!$D:$D,$B60)&gt;0,"X","")</f>
        <v/>
      </c>
      <c r="BO60" s="114" t="str">
        <f>IF(COUNTIFS(mapping!$B:$B,BO$2,mapping!$D:$D,$B60)&gt;0,"X","")</f>
        <v/>
      </c>
      <c r="BP60" s="114" t="str">
        <f>IF(COUNTIFS(mapping!$B:$B,BP$2,mapping!$D:$D,$B60)&gt;0,"X","")</f>
        <v/>
      </c>
      <c r="BQ60" s="114" t="str">
        <f>IF(COUNTIFS(mapping!$B:$B,BQ$2,mapping!$D:$D,$B60)&gt;0,"X","")</f>
        <v/>
      </c>
      <c r="BR60" s="114" t="str">
        <f>IF(COUNTIFS(mapping!$B:$B,BR$2,mapping!$D:$D,$B60)&gt;0,"X","")</f>
        <v/>
      </c>
      <c r="BS60" s="114" t="str">
        <f>IF(COUNTIFS(mapping!$B:$B,BS$2,mapping!$D:$D,$B60)&gt;0,"X","")</f>
        <v/>
      </c>
      <c r="BT60" s="114" t="str">
        <f>IF(COUNTIFS(mapping!$B:$B,BT$2,mapping!$D:$D,$B60)&gt;0,"X","")</f>
        <v/>
      </c>
      <c r="BU60" s="114" t="str">
        <f>IF(COUNTIFS(mapping!$B:$B,BU$2,mapping!$D:$D,$B60)&gt;0,"X","")</f>
        <v/>
      </c>
      <c r="BV60" s="114" t="str">
        <f>IF(COUNTIFS(mapping!$B:$B,BV$2,mapping!$D:$D,$B60)&gt;0,"X","")</f>
        <v/>
      </c>
      <c r="BW60" s="114" t="str">
        <f>IF(COUNTIFS(mapping!$B:$B,BW$2,mapping!$D:$D,$B60)&gt;0,"X","")</f>
        <v/>
      </c>
      <c r="BX60" s="114" t="str">
        <f>IF(COUNTIFS(mapping!$B:$B,BX$2,mapping!$D:$D,$B60)&gt;0,"X","")</f>
        <v/>
      </c>
      <c r="BY60" s="114" t="str">
        <f>IF(COUNTIFS(mapping!$B:$B,BY$2,mapping!$D:$D,$B60)&gt;0,"X","")</f>
        <v/>
      </c>
      <c r="BZ60" s="114" t="str">
        <f>IF(COUNTIFS(mapping!$B:$B,BZ$2,mapping!$D:$D,$B60)&gt;0,"X","")</f>
        <v/>
      </c>
      <c r="CA60" s="114" t="str">
        <f>IF(COUNTIFS(mapping!$B:$B,CA$2,mapping!$D:$D,$B60)&gt;0,"X","")</f>
        <v/>
      </c>
      <c r="CB60" s="114" t="str">
        <f>IF(COUNTIFS(mapping!$B:$B,CB$2,mapping!$D:$D,$B60)&gt;0,"X","")</f>
        <v/>
      </c>
      <c r="CC60" s="114" t="str">
        <f>IF(COUNTIFS(mapping!$B:$B,CC$2,mapping!$D:$D,$B60)&gt;0,"X","")</f>
        <v/>
      </c>
      <c r="CD60" s="114" t="str">
        <f>IF(COUNTIFS(mapping!$B:$B,CD$2,mapping!$D:$D,$B60)&gt;0,"X","")</f>
        <v/>
      </c>
      <c r="CE60" s="114" t="str">
        <f>IF(COUNTIFS(mapping!$B:$B,CE$2,mapping!$D:$D,$B60)&gt;0,"X","")</f>
        <v/>
      </c>
      <c r="CF60" s="114" t="str">
        <f>IF(COUNTIFS(mapping!$B:$B,CF$2,mapping!$D:$D,$B60)&gt;0,"X","")</f>
        <v/>
      </c>
      <c r="CG60" s="114" t="str">
        <f>IF(COUNTIFS(mapping!$B:$B,CG$2,mapping!$D:$D,$B60)&gt;0,"X","")</f>
        <v/>
      </c>
      <c r="CH60" s="114" t="str">
        <f>IF(COUNTIFS(mapping!$B:$B,CH$2,mapping!$D:$D,$B60)&gt;0,"X","")</f>
        <v/>
      </c>
    </row>
    <row r="61" spans="1:86" ht="16">
      <c r="A61" s="257"/>
      <c r="B61" s="122" t="s">
        <v>415</v>
      </c>
      <c r="C61" s="122" t="s">
        <v>414</v>
      </c>
      <c r="E61" s="114" t="str">
        <f>IF(COUNTIFS(mapping!$B:$B,E$2,mapping!$D:$D,$B61)&gt;0,"X","")</f>
        <v/>
      </c>
      <c r="F61" s="114" t="str">
        <f>IF(COUNTIFS(mapping!$B:$B,F$2,mapping!$D:$D,$B61)&gt;0,"X","")</f>
        <v/>
      </c>
      <c r="G61" s="114" t="str">
        <f>IF(COUNTIFS(mapping!$B:$B,G$2,mapping!$D:$D,$B61)&gt;0,"X","")</f>
        <v/>
      </c>
      <c r="H61" s="114" t="str">
        <f>IF(COUNTIFS(mapping!$B:$B,H$2,mapping!$D:$D,$B61)&gt;0,"X","")</f>
        <v/>
      </c>
      <c r="I61" s="114" t="str">
        <f>IF(COUNTIFS(mapping!$B:$B,I$2,mapping!$D:$D,$B61)&gt;0,"X","")</f>
        <v/>
      </c>
      <c r="J61" s="114" t="str">
        <f>IF(COUNTIFS(mapping!$B:$B,J$2,mapping!$D:$D,$B61)&gt;0,"X","")</f>
        <v/>
      </c>
      <c r="K61" s="114" t="str">
        <f>IF(COUNTIFS(mapping!$B:$B,K$2,mapping!$D:$D,$B61)&gt;0,"X","")</f>
        <v/>
      </c>
      <c r="L61" s="114" t="str">
        <f>IF(COUNTIFS(mapping!$B:$B,L$2,mapping!$D:$D,$B61)&gt;0,"X","")</f>
        <v/>
      </c>
      <c r="M61" s="114" t="str">
        <f>IF(COUNTIFS(mapping!$B:$B,M$2,mapping!$D:$D,$B61)&gt;0,"X","")</f>
        <v/>
      </c>
      <c r="N61" s="114" t="str">
        <f>IF(COUNTIFS(mapping!$B:$B,N$2,mapping!$D:$D,$B61)&gt;0,"X","")</f>
        <v/>
      </c>
      <c r="O61" s="114" t="str">
        <f>IF(COUNTIFS(mapping!$B:$B,O$2,mapping!$D:$D,$B61)&gt;0,"X","")</f>
        <v>X</v>
      </c>
      <c r="P61" s="114" t="str">
        <f>IF(COUNTIFS(mapping!$B:$B,P$2,mapping!$D:$D,$B61)&gt;0,"X","")</f>
        <v/>
      </c>
      <c r="Q61" s="114" t="str">
        <f>IF(COUNTIFS(mapping!$B:$B,Q$2,mapping!$D:$D,$B61)&gt;0,"X","")</f>
        <v/>
      </c>
      <c r="R61" s="114" t="str">
        <f>IF(COUNTIFS(mapping!$B:$B,R$2,mapping!$D:$D,$B61)&gt;0,"X","")</f>
        <v/>
      </c>
      <c r="S61" s="114" t="str">
        <f>IF(COUNTIFS(mapping!$B:$B,S$2,mapping!$D:$D,$B61)&gt;0,"X","")</f>
        <v/>
      </c>
      <c r="T61" s="114" t="str">
        <f>IF(COUNTIFS(mapping!$B:$B,T$2,mapping!$D:$D,$B61)&gt;0,"X","")</f>
        <v/>
      </c>
      <c r="U61" s="114" t="str">
        <f>IF(COUNTIFS(mapping!$B:$B,U$2,mapping!$D:$D,$B61)&gt;0,"X","")</f>
        <v/>
      </c>
      <c r="V61" s="114" t="str">
        <f>IF(COUNTIFS(mapping!$B:$B,V$2,mapping!$D:$D,$B61)&gt;0,"X","")</f>
        <v/>
      </c>
      <c r="W61" s="114" t="str">
        <f>IF(COUNTIFS(mapping!$B:$B,W$2,mapping!$D:$D,$B61)&gt;0,"X","")</f>
        <v/>
      </c>
      <c r="X61" s="114" t="str">
        <f>IF(COUNTIFS(mapping!$B:$B,X$2,mapping!$D:$D,$B61)&gt;0,"X","")</f>
        <v/>
      </c>
      <c r="Y61" s="114" t="str">
        <f>IF(COUNTIFS(mapping!$B:$B,Y$2,mapping!$D:$D,$B61)&gt;0,"X","")</f>
        <v/>
      </c>
      <c r="Z61" s="114" t="str">
        <f>IF(COUNTIFS(mapping!$B:$B,Z$2,mapping!$D:$D,$B61)&gt;0,"X","")</f>
        <v/>
      </c>
      <c r="AA61" s="114" t="str">
        <f>IF(COUNTIFS(mapping!$B:$B,AA$2,mapping!$D:$D,$B61)&gt;0,"X","")</f>
        <v/>
      </c>
      <c r="AB61" s="114" t="str">
        <f>IF(COUNTIFS(mapping!$B:$B,AB$2,mapping!$D:$D,$B61)&gt;0,"X","")</f>
        <v/>
      </c>
      <c r="AC61" s="114" t="str">
        <f>IF(COUNTIFS(mapping!$B:$B,AC$2,mapping!$D:$D,$B61)&gt;0,"X","")</f>
        <v/>
      </c>
      <c r="AD61" s="114" t="str">
        <f>IF(COUNTIFS(mapping!$B:$B,AD$2,mapping!$D:$D,$B61)&gt;0,"X","")</f>
        <v/>
      </c>
      <c r="AE61" s="114" t="str">
        <f>IF(COUNTIFS(mapping!$B:$B,AE$2,mapping!$D:$D,$B61)&gt;0,"X","")</f>
        <v/>
      </c>
      <c r="AF61" s="114" t="str">
        <f>IF(COUNTIFS(mapping!$B:$B,AF$2,mapping!$D:$D,$B61)&gt;0,"X","")</f>
        <v/>
      </c>
      <c r="AG61" s="114" t="str">
        <f>IF(COUNTIFS(mapping!$B:$B,AG$2,mapping!$D:$D,$B61)&gt;0,"X","")</f>
        <v/>
      </c>
      <c r="AH61" s="114" t="str">
        <f>IF(COUNTIFS(mapping!$B:$B,AH$2,mapping!$D:$D,$B61)&gt;0,"X","")</f>
        <v/>
      </c>
      <c r="AI61" s="114" t="str">
        <f>IF(COUNTIFS(mapping!$B:$B,AI$2,mapping!$D:$D,$B61)&gt;0,"X","")</f>
        <v/>
      </c>
      <c r="AJ61" s="114" t="str">
        <f>IF(COUNTIFS(mapping!$B:$B,AJ$2,mapping!$D:$D,$B61)&gt;0,"X","")</f>
        <v/>
      </c>
      <c r="AK61" s="114" t="str">
        <f>IF(COUNTIFS(mapping!$B:$B,AK$2,mapping!$D:$D,$B61)&gt;0,"X","")</f>
        <v/>
      </c>
      <c r="AL61" s="114" t="str">
        <f>IF(COUNTIFS(mapping!$B:$B,AL$2,mapping!$D:$D,$B61)&gt;0,"X","")</f>
        <v/>
      </c>
      <c r="AM61" s="114" t="str">
        <f>IF(COUNTIFS(mapping!$B:$B,AM$2,mapping!$D:$D,$B61)&gt;0,"X","")</f>
        <v/>
      </c>
      <c r="AN61" s="114" t="str">
        <f>IF(COUNTIFS(mapping!$B:$B,AN$2,mapping!$D:$D,$B61)&gt;0,"X","")</f>
        <v/>
      </c>
      <c r="AO61" s="114" t="str">
        <f>IF(COUNTIFS(mapping!$B:$B,AO$2,mapping!$D:$D,$B61)&gt;0,"X","")</f>
        <v/>
      </c>
      <c r="AP61" s="114" t="str">
        <f>IF(COUNTIFS(mapping!$B:$B,AP$2,mapping!$D:$D,$B61)&gt;0,"X","")</f>
        <v/>
      </c>
      <c r="AQ61" s="114" t="str">
        <f>IF(COUNTIFS(mapping!$B:$B,AQ$2,mapping!$D:$D,$B61)&gt;0,"X","")</f>
        <v/>
      </c>
      <c r="AR61" s="114" t="str">
        <f>IF(COUNTIFS(mapping!$B:$B,AR$2,mapping!$D:$D,$B61)&gt;0,"X","")</f>
        <v/>
      </c>
      <c r="AS61" s="114" t="str">
        <f>IF(COUNTIFS(mapping!$B:$B,AS$2,mapping!$D:$D,$B61)&gt;0,"X","")</f>
        <v/>
      </c>
      <c r="AT61" s="114" t="str">
        <f>IF(COUNTIFS(mapping!$B:$B,AT$2,mapping!$D:$D,$B61)&gt;0,"X","")</f>
        <v/>
      </c>
      <c r="AU61" s="114" t="str">
        <f>IF(COUNTIFS(mapping!$B:$B,AU$2,mapping!$D:$D,$B61)&gt;0,"X","")</f>
        <v/>
      </c>
      <c r="AV61" s="114" t="str">
        <f>IF(COUNTIFS(mapping!$B:$B,AV$2,mapping!$D:$D,$B61)&gt;0,"X","")</f>
        <v/>
      </c>
      <c r="AW61" s="114" t="str">
        <f>IF(COUNTIFS(mapping!$B:$B,AW$2,mapping!$D:$D,$B61)&gt;0,"X","")</f>
        <v/>
      </c>
      <c r="AX61" s="114" t="str">
        <f>IF(COUNTIFS(mapping!$B:$B,AX$2,mapping!$D:$D,$B61)&gt;0,"X","")</f>
        <v/>
      </c>
      <c r="AY61" s="114" t="str">
        <f>IF(COUNTIFS(mapping!$B:$B,AY$2,mapping!$D:$D,$B61)&gt;0,"X","")</f>
        <v/>
      </c>
      <c r="AZ61" s="114" t="str">
        <f>IF(COUNTIFS(mapping!$B:$B,AZ$2,mapping!$D:$D,$B61)&gt;0,"X","")</f>
        <v/>
      </c>
      <c r="BA61" s="114" t="str">
        <f>IF(COUNTIFS(mapping!$B:$B,BA$2,mapping!$D:$D,$B61)&gt;0,"X","")</f>
        <v/>
      </c>
      <c r="BB61" s="114" t="str">
        <f>IF(COUNTIFS(mapping!$B:$B,BB$2,mapping!$D:$D,$B61)&gt;0,"X","")</f>
        <v/>
      </c>
      <c r="BC61" s="114" t="str">
        <f>IF(COUNTIFS(mapping!$B:$B,BC$2,mapping!$D:$D,$B61)&gt;0,"X","")</f>
        <v/>
      </c>
      <c r="BD61" s="114" t="str">
        <f>IF(COUNTIFS(mapping!$B:$B,BD$2,mapping!$D:$D,$B61)&gt;0,"X","")</f>
        <v/>
      </c>
      <c r="BE61" s="114" t="str">
        <f>IF(COUNTIFS(mapping!$B:$B,BE$2,mapping!$D:$D,$B61)&gt;0,"X","")</f>
        <v/>
      </c>
      <c r="BF61" s="114" t="str">
        <f>IF(COUNTIFS(mapping!$B:$B,BF$2,mapping!$D:$D,$B61)&gt;0,"X","")</f>
        <v/>
      </c>
      <c r="BG61" s="114" t="str">
        <f>IF(COUNTIFS(mapping!$B:$B,BG$2,mapping!$D:$D,$B61)&gt;0,"X","")</f>
        <v/>
      </c>
      <c r="BH61" s="114" t="str">
        <f>IF(COUNTIFS(mapping!$B:$B,BH$2,mapping!$D:$D,$B61)&gt;0,"X","")</f>
        <v/>
      </c>
      <c r="BI61" s="114" t="str">
        <f>IF(COUNTIFS(mapping!$B:$B,BI$2,mapping!$D:$D,$B61)&gt;0,"X","")</f>
        <v/>
      </c>
      <c r="BJ61" s="114" t="str">
        <f>IF(COUNTIFS(mapping!$B:$B,BJ$2,mapping!$D:$D,$B61)&gt;0,"X","")</f>
        <v/>
      </c>
      <c r="BK61" s="114" t="str">
        <f>IF(COUNTIFS(mapping!$B:$B,BK$2,mapping!$D:$D,$B61)&gt;0,"X","")</f>
        <v/>
      </c>
      <c r="BL61" s="114" t="str">
        <f>IF(COUNTIFS(mapping!$B:$B,BL$2,mapping!$D:$D,$B61)&gt;0,"X","")</f>
        <v/>
      </c>
      <c r="BM61" s="114" t="str">
        <f>IF(COUNTIFS(mapping!$B:$B,BM$2,mapping!$D:$D,$B61)&gt;0,"X","")</f>
        <v/>
      </c>
      <c r="BN61" s="114" t="str">
        <f>IF(COUNTIFS(mapping!$B:$B,BN$2,mapping!$D:$D,$B61)&gt;0,"X","")</f>
        <v/>
      </c>
      <c r="BO61" s="114" t="str">
        <f>IF(COUNTIFS(mapping!$B:$B,BO$2,mapping!$D:$D,$B61)&gt;0,"X","")</f>
        <v/>
      </c>
      <c r="BP61" s="114" t="str">
        <f>IF(COUNTIFS(mapping!$B:$B,BP$2,mapping!$D:$D,$B61)&gt;0,"X","")</f>
        <v/>
      </c>
      <c r="BQ61" s="114" t="str">
        <f>IF(COUNTIFS(mapping!$B:$B,BQ$2,mapping!$D:$D,$B61)&gt;0,"X","")</f>
        <v/>
      </c>
      <c r="BR61" s="114" t="str">
        <f>IF(COUNTIFS(mapping!$B:$B,BR$2,mapping!$D:$D,$B61)&gt;0,"X","")</f>
        <v/>
      </c>
      <c r="BS61" s="114" t="str">
        <f>IF(COUNTIFS(mapping!$B:$B,BS$2,mapping!$D:$D,$B61)&gt;0,"X","")</f>
        <v/>
      </c>
      <c r="BT61" s="114" t="str">
        <f>IF(COUNTIFS(mapping!$B:$B,BT$2,mapping!$D:$D,$B61)&gt;0,"X","")</f>
        <v/>
      </c>
      <c r="BU61" s="114" t="str">
        <f>IF(COUNTIFS(mapping!$B:$B,BU$2,mapping!$D:$D,$B61)&gt;0,"X","")</f>
        <v/>
      </c>
      <c r="BV61" s="114" t="str">
        <f>IF(COUNTIFS(mapping!$B:$B,BV$2,mapping!$D:$D,$B61)&gt;0,"X","")</f>
        <v/>
      </c>
      <c r="BW61" s="114" t="str">
        <f>IF(COUNTIFS(mapping!$B:$B,BW$2,mapping!$D:$D,$B61)&gt;0,"X","")</f>
        <v/>
      </c>
      <c r="BX61" s="114" t="str">
        <f>IF(COUNTIFS(mapping!$B:$B,BX$2,mapping!$D:$D,$B61)&gt;0,"X","")</f>
        <v/>
      </c>
      <c r="BY61" s="114" t="str">
        <f>IF(COUNTIFS(mapping!$B:$B,BY$2,mapping!$D:$D,$B61)&gt;0,"X","")</f>
        <v/>
      </c>
      <c r="BZ61" s="114" t="str">
        <f>IF(COUNTIFS(mapping!$B:$B,BZ$2,mapping!$D:$D,$B61)&gt;0,"X","")</f>
        <v/>
      </c>
      <c r="CA61" s="114" t="str">
        <f>IF(COUNTIFS(mapping!$B:$B,CA$2,mapping!$D:$D,$B61)&gt;0,"X","")</f>
        <v/>
      </c>
      <c r="CB61" s="114" t="str">
        <f>IF(COUNTIFS(mapping!$B:$B,CB$2,mapping!$D:$D,$B61)&gt;0,"X","")</f>
        <v/>
      </c>
      <c r="CC61" s="114" t="str">
        <f>IF(COUNTIFS(mapping!$B:$B,CC$2,mapping!$D:$D,$B61)&gt;0,"X","")</f>
        <v/>
      </c>
      <c r="CD61" s="114" t="str">
        <f>IF(COUNTIFS(mapping!$B:$B,CD$2,mapping!$D:$D,$B61)&gt;0,"X","")</f>
        <v/>
      </c>
      <c r="CE61" s="114" t="str">
        <f>IF(COUNTIFS(mapping!$B:$B,CE$2,mapping!$D:$D,$B61)&gt;0,"X","")</f>
        <v/>
      </c>
      <c r="CF61" s="114" t="str">
        <f>IF(COUNTIFS(mapping!$B:$B,CF$2,mapping!$D:$D,$B61)&gt;0,"X","")</f>
        <v/>
      </c>
      <c r="CG61" s="114" t="str">
        <f>IF(COUNTIFS(mapping!$B:$B,CG$2,mapping!$D:$D,$B61)&gt;0,"X","")</f>
        <v/>
      </c>
      <c r="CH61" s="114" t="str">
        <f>IF(COUNTIFS(mapping!$B:$B,CH$2,mapping!$D:$D,$B61)&gt;0,"X","")</f>
        <v/>
      </c>
    </row>
    <row r="62" spans="1:86" ht="16">
      <c r="A62" s="257"/>
      <c r="B62" s="122" t="s">
        <v>413</v>
      </c>
      <c r="C62" s="122" t="s">
        <v>412</v>
      </c>
      <c r="E62" s="114" t="str">
        <f>IF(COUNTIFS(mapping!$B:$B,E$2,mapping!$D:$D,$B62)&gt;0,"X","")</f>
        <v/>
      </c>
      <c r="F62" s="114" t="str">
        <f>IF(COUNTIFS(mapping!$B:$B,F$2,mapping!$D:$D,$B62)&gt;0,"X","")</f>
        <v/>
      </c>
      <c r="G62" s="114" t="str">
        <f>IF(COUNTIFS(mapping!$B:$B,G$2,mapping!$D:$D,$B62)&gt;0,"X","")</f>
        <v/>
      </c>
      <c r="H62" s="114" t="str">
        <f>IF(COUNTIFS(mapping!$B:$B,H$2,mapping!$D:$D,$B62)&gt;0,"X","")</f>
        <v/>
      </c>
      <c r="I62" s="114" t="str">
        <f>IF(COUNTIFS(mapping!$B:$B,I$2,mapping!$D:$D,$B62)&gt;0,"X","")</f>
        <v/>
      </c>
      <c r="J62" s="114" t="str">
        <f>IF(COUNTIFS(mapping!$B:$B,J$2,mapping!$D:$D,$B62)&gt;0,"X","")</f>
        <v/>
      </c>
      <c r="K62" s="114" t="str">
        <f>IF(COUNTIFS(mapping!$B:$B,K$2,mapping!$D:$D,$B62)&gt;0,"X","")</f>
        <v/>
      </c>
      <c r="L62" s="114" t="str">
        <f>IF(COUNTIFS(mapping!$B:$B,L$2,mapping!$D:$D,$B62)&gt;0,"X","")</f>
        <v/>
      </c>
      <c r="M62" s="114" t="str">
        <f>IF(COUNTIFS(mapping!$B:$B,M$2,mapping!$D:$D,$B62)&gt;0,"X","")</f>
        <v/>
      </c>
      <c r="N62" s="114" t="str">
        <f>IF(COUNTIFS(mapping!$B:$B,N$2,mapping!$D:$D,$B62)&gt;0,"X","")</f>
        <v/>
      </c>
      <c r="O62" s="114" t="str">
        <f>IF(COUNTIFS(mapping!$B:$B,O$2,mapping!$D:$D,$B62)&gt;0,"X","")</f>
        <v/>
      </c>
      <c r="P62" s="114" t="str">
        <f>IF(COUNTIFS(mapping!$B:$B,P$2,mapping!$D:$D,$B62)&gt;0,"X","")</f>
        <v/>
      </c>
      <c r="Q62" s="114" t="str">
        <f>IF(COUNTIFS(mapping!$B:$B,Q$2,mapping!$D:$D,$B62)&gt;0,"X","")</f>
        <v/>
      </c>
      <c r="R62" s="114" t="str">
        <f>IF(COUNTIFS(mapping!$B:$B,R$2,mapping!$D:$D,$B62)&gt;0,"X","")</f>
        <v/>
      </c>
      <c r="S62" s="114" t="str">
        <f>IF(COUNTIFS(mapping!$B:$B,S$2,mapping!$D:$D,$B62)&gt;0,"X","")</f>
        <v/>
      </c>
      <c r="T62" s="114" t="str">
        <f>IF(COUNTIFS(mapping!$B:$B,T$2,mapping!$D:$D,$B62)&gt;0,"X","")</f>
        <v/>
      </c>
      <c r="U62" s="114" t="str">
        <f>IF(COUNTIFS(mapping!$B:$B,U$2,mapping!$D:$D,$B62)&gt;0,"X","")</f>
        <v/>
      </c>
      <c r="V62" s="114" t="str">
        <f>IF(COUNTIFS(mapping!$B:$B,V$2,mapping!$D:$D,$B62)&gt;0,"X","")</f>
        <v/>
      </c>
      <c r="W62" s="114" t="str">
        <f>IF(COUNTIFS(mapping!$B:$B,W$2,mapping!$D:$D,$B62)&gt;0,"X","")</f>
        <v/>
      </c>
      <c r="X62" s="114" t="str">
        <f>IF(COUNTIFS(mapping!$B:$B,X$2,mapping!$D:$D,$B62)&gt;0,"X","")</f>
        <v/>
      </c>
      <c r="Y62" s="114" t="str">
        <f>IF(COUNTIFS(mapping!$B:$B,Y$2,mapping!$D:$D,$B62)&gt;0,"X","")</f>
        <v/>
      </c>
      <c r="Z62" s="114" t="str">
        <f>IF(COUNTIFS(mapping!$B:$B,Z$2,mapping!$D:$D,$B62)&gt;0,"X","")</f>
        <v/>
      </c>
      <c r="AA62" s="114" t="str">
        <f>IF(COUNTIFS(mapping!$B:$B,AA$2,mapping!$D:$D,$B62)&gt;0,"X","")</f>
        <v/>
      </c>
      <c r="AB62" s="114" t="str">
        <f>IF(COUNTIFS(mapping!$B:$B,AB$2,mapping!$D:$D,$B62)&gt;0,"X","")</f>
        <v/>
      </c>
      <c r="AC62" s="114" t="str">
        <f>IF(COUNTIFS(mapping!$B:$B,AC$2,mapping!$D:$D,$B62)&gt;0,"X","")</f>
        <v/>
      </c>
      <c r="AD62" s="114" t="str">
        <f>IF(COUNTIFS(mapping!$B:$B,AD$2,mapping!$D:$D,$B62)&gt;0,"X","")</f>
        <v/>
      </c>
      <c r="AE62" s="114" t="str">
        <f>IF(COUNTIFS(mapping!$B:$B,AE$2,mapping!$D:$D,$B62)&gt;0,"X","")</f>
        <v/>
      </c>
      <c r="AF62" s="114" t="str">
        <f>IF(COUNTIFS(mapping!$B:$B,AF$2,mapping!$D:$D,$B62)&gt;0,"X","")</f>
        <v/>
      </c>
      <c r="AG62" s="114" t="str">
        <f>IF(COUNTIFS(mapping!$B:$B,AG$2,mapping!$D:$D,$B62)&gt;0,"X","")</f>
        <v/>
      </c>
      <c r="AH62" s="114" t="str">
        <f>IF(COUNTIFS(mapping!$B:$B,AH$2,mapping!$D:$D,$B62)&gt;0,"X","")</f>
        <v>X</v>
      </c>
      <c r="AI62" s="114" t="str">
        <f>IF(COUNTIFS(mapping!$B:$B,AI$2,mapping!$D:$D,$B62)&gt;0,"X","")</f>
        <v/>
      </c>
      <c r="AJ62" s="114" t="str">
        <f>IF(COUNTIFS(mapping!$B:$B,AJ$2,mapping!$D:$D,$B62)&gt;0,"X","")</f>
        <v/>
      </c>
      <c r="AK62" s="114" t="str">
        <f>IF(COUNTIFS(mapping!$B:$B,AK$2,mapping!$D:$D,$B62)&gt;0,"X","")</f>
        <v/>
      </c>
      <c r="AL62" s="114" t="str">
        <f>IF(COUNTIFS(mapping!$B:$B,AL$2,mapping!$D:$D,$B62)&gt;0,"X","")</f>
        <v/>
      </c>
      <c r="AM62" s="114" t="str">
        <f>IF(COUNTIFS(mapping!$B:$B,AM$2,mapping!$D:$D,$B62)&gt;0,"X","")</f>
        <v/>
      </c>
      <c r="AN62" s="114" t="str">
        <f>IF(COUNTIFS(mapping!$B:$B,AN$2,mapping!$D:$D,$B62)&gt;0,"X","")</f>
        <v/>
      </c>
      <c r="AO62" s="114" t="str">
        <f>IF(COUNTIFS(mapping!$B:$B,AO$2,mapping!$D:$D,$B62)&gt;0,"X","")</f>
        <v/>
      </c>
      <c r="AP62" s="114" t="str">
        <f>IF(COUNTIFS(mapping!$B:$B,AP$2,mapping!$D:$D,$B62)&gt;0,"X","")</f>
        <v/>
      </c>
      <c r="AQ62" s="114" t="str">
        <f>IF(COUNTIFS(mapping!$B:$B,AQ$2,mapping!$D:$D,$B62)&gt;0,"X","")</f>
        <v/>
      </c>
      <c r="AR62" s="114" t="str">
        <f>IF(COUNTIFS(mapping!$B:$B,AR$2,mapping!$D:$D,$B62)&gt;0,"X","")</f>
        <v/>
      </c>
      <c r="AS62" s="114" t="str">
        <f>IF(COUNTIFS(mapping!$B:$B,AS$2,mapping!$D:$D,$B62)&gt;0,"X","")</f>
        <v/>
      </c>
      <c r="AT62" s="114" t="str">
        <f>IF(COUNTIFS(mapping!$B:$B,AT$2,mapping!$D:$D,$B62)&gt;0,"X","")</f>
        <v/>
      </c>
      <c r="AU62" s="114" t="str">
        <f>IF(COUNTIFS(mapping!$B:$B,AU$2,mapping!$D:$D,$B62)&gt;0,"X","")</f>
        <v/>
      </c>
      <c r="AV62" s="114" t="str">
        <f>IF(COUNTIFS(mapping!$B:$B,AV$2,mapping!$D:$D,$B62)&gt;0,"X","")</f>
        <v/>
      </c>
      <c r="AW62" s="114" t="str">
        <f>IF(COUNTIFS(mapping!$B:$B,AW$2,mapping!$D:$D,$B62)&gt;0,"X","")</f>
        <v/>
      </c>
      <c r="AX62" s="114" t="str">
        <f>IF(COUNTIFS(mapping!$B:$B,AX$2,mapping!$D:$D,$B62)&gt;0,"X","")</f>
        <v/>
      </c>
      <c r="AY62" s="114" t="str">
        <f>IF(COUNTIFS(mapping!$B:$B,AY$2,mapping!$D:$D,$B62)&gt;0,"X","")</f>
        <v/>
      </c>
      <c r="AZ62" s="114" t="str">
        <f>IF(COUNTIFS(mapping!$B:$B,AZ$2,mapping!$D:$D,$B62)&gt;0,"X","")</f>
        <v/>
      </c>
      <c r="BA62" s="114" t="str">
        <f>IF(COUNTIFS(mapping!$B:$B,BA$2,mapping!$D:$D,$B62)&gt;0,"X","")</f>
        <v/>
      </c>
      <c r="BB62" s="114" t="str">
        <f>IF(COUNTIFS(mapping!$B:$B,BB$2,mapping!$D:$D,$B62)&gt;0,"X","")</f>
        <v/>
      </c>
      <c r="BC62" s="114" t="str">
        <f>IF(COUNTIFS(mapping!$B:$B,BC$2,mapping!$D:$D,$B62)&gt;0,"X","")</f>
        <v/>
      </c>
      <c r="BD62" s="114" t="str">
        <f>IF(COUNTIFS(mapping!$B:$B,BD$2,mapping!$D:$D,$B62)&gt;0,"X","")</f>
        <v/>
      </c>
      <c r="BE62" s="114" t="str">
        <f>IF(COUNTIFS(mapping!$B:$B,BE$2,mapping!$D:$D,$B62)&gt;0,"X","")</f>
        <v/>
      </c>
      <c r="BF62" s="114" t="str">
        <f>IF(COUNTIFS(mapping!$B:$B,BF$2,mapping!$D:$D,$B62)&gt;0,"X","")</f>
        <v/>
      </c>
      <c r="BG62" s="114" t="str">
        <f>IF(COUNTIFS(mapping!$B:$B,BG$2,mapping!$D:$D,$B62)&gt;0,"X","")</f>
        <v/>
      </c>
      <c r="BH62" s="114" t="str">
        <f>IF(COUNTIFS(mapping!$B:$B,BH$2,mapping!$D:$D,$B62)&gt;0,"X","")</f>
        <v/>
      </c>
      <c r="BI62" s="114" t="str">
        <f>IF(COUNTIFS(mapping!$B:$B,BI$2,mapping!$D:$D,$B62)&gt;0,"X","")</f>
        <v/>
      </c>
      <c r="BJ62" s="114" t="str">
        <f>IF(COUNTIFS(mapping!$B:$B,BJ$2,mapping!$D:$D,$B62)&gt;0,"X","")</f>
        <v/>
      </c>
      <c r="BK62" s="114" t="str">
        <f>IF(COUNTIFS(mapping!$B:$B,BK$2,mapping!$D:$D,$B62)&gt;0,"X","")</f>
        <v/>
      </c>
      <c r="BL62" s="114" t="str">
        <f>IF(COUNTIFS(mapping!$B:$B,BL$2,mapping!$D:$D,$B62)&gt;0,"X","")</f>
        <v/>
      </c>
      <c r="BM62" s="114" t="str">
        <f>IF(COUNTIFS(mapping!$B:$B,BM$2,mapping!$D:$D,$B62)&gt;0,"X","")</f>
        <v/>
      </c>
      <c r="BN62" s="114" t="str">
        <f>IF(COUNTIFS(mapping!$B:$B,BN$2,mapping!$D:$D,$B62)&gt;0,"X","")</f>
        <v/>
      </c>
      <c r="BO62" s="114" t="str">
        <f>IF(COUNTIFS(mapping!$B:$B,BO$2,mapping!$D:$D,$B62)&gt;0,"X","")</f>
        <v/>
      </c>
      <c r="BP62" s="114" t="str">
        <f>IF(COUNTIFS(mapping!$B:$B,BP$2,mapping!$D:$D,$B62)&gt;0,"X","")</f>
        <v/>
      </c>
      <c r="BQ62" s="114" t="str">
        <f>IF(COUNTIFS(mapping!$B:$B,BQ$2,mapping!$D:$D,$B62)&gt;0,"X","")</f>
        <v/>
      </c>
      <c r="BR62" s="114" t="str">
        <f>IF(COUNTIFS(mapping!$B:$B,BR$2,mapping!$D:$D,$B62)&gt;0,"X","")</f>
        <v/>
      </c>
      <c r="BS62" s="114" t="str">
        <f>IF(COUNTIFS(mapping!$B:$B,BS$2,mapping!$D:$D,$B62)&gt;0,"X","")</f>
        <v/>
      </c>
      <c r="BT62" s="114" t="str">
        <f>IF(COUNTIFS(mapping!$B:$B,BT$2,mapping!$D:$D,$B62)&gt;0,"X","")</f>
        <v/>
      </c>
      <c r="BU62" s="114" t="str">
        <f>IF(COUNTIFS(mapping!$B:$B,BU$2,mapping!$D:$D,$B62)&gt;0,"X","")</f>
        <v/>
      </c>
      <c r="BV62" s="114" t="str">
        <f>IF(COUNTIFS(mapping!$B:$B,BV$2,mapping!$D:$D,$B62)&gt;0,"X","")</f>
        <v/>
      </c>
      <c r="BW62" s="114" t="str">
        <f>IF(COUNTIFS(mapping!$B:$B,BW$2,mapping!$D:$D,$B62)&gt;0,"X","")</f>
        <v/>
      </c>
      <c r="BX62" s="114" t="str">
        <f>IF(COUNTIFS(mapping!$B:$B,BX$2,mapping!$D:$D,$B62)&gt;0,"X","")</f>
        <v/>
      </c>
      <c r="BY62" s="114" t="str">
        <f>IF(COUNTIFS(mapping!$B:$B,BY$2,mapping!$D:$D,$B62)&gt;0,"X","")</f>
        <v/>
      </c>
      <c r="BZ62" s="114" t="str">
        <f>IF(COUNTIFS(mapping!$B:$B,BZ$2,mapping!$D:$D,$B62)&gt;0,"X","")</f>
        <v/>
      </c>
      <c r="CA62" s="114" t="str">
        <f>IF(COUNTIFS(mapping!$B:$B,CA$2,mapping!$D:$D,$B62)&gt;0,"X","")</f>
        <v/>
      </c>
      <c r="CB62" s="114" t="str">
        <f>IF(COUNTIFS(mapping!$B:$B,CB$2,mapping!$D:$D,$B62)&gt;0,"X","")</f>
        <v/>
      </c>
      <c r="CC62" s="114" t="str">
        <f>IF(COUNTIFS(mapping!$B:$B,CC$2,mapping!$D:$D,$B62)&gt;0,"X","")</f>
        <v/>
      </c>
      <c r="CD62" s="114" t="str">
        <f>IF(COUNTIFS(mapping!$B:$B,CD$2,mapping!$D:$D,$B62)&gt;0,"X","")</f>
        <v/>
      </c>
      <c r="CE62" s="114" t="str">
        <f>IF(COUNTIFS(mapping!$B:$B,CE$2,mapping!$D:$D,$B62)&gt;0,"X","")</f>
        <v/>
      </c>
      <c r="CF62" s="114" t="str">
        <f>IF(COUNTIFS(mapping!$B:$B,CF$2,mapping!$D:$D,$B62)&gt;0,"X","")</f>
        <v/>
      </c>
      <c r="CG62" s="114" t="str">
        <f>IF(COUNTIFS(mapping!$B:$B,CG$2,mapping!$D:$D,$B62)&gt;0,"X","")</f>
        <v/>
      </c>
      <c r="CH62" s="114" t="str">
        <f>IF(COUNTIFS(mapping!$B:$B,CH$2,mapping!$D:$D,$B62)&gt;0,"X","")</f>
        <v/>
      </c>
    </row>
    <row r="63" spans="1:86" ht="16">
      <c r="A63" s="257"/>
      <c r="B63" s="125" t="s">
        <v>411</v>
      </c>
      <c r="C63" s="125" t="s">
        <v>410</v>
      </c>
      <c r="E63" s="114" t="str">
        <f>IF(COUNTIFS(mapping!$B:$B,E$2,mapping!$D:$D,$B63)&gt;0,"X","")</f>
        <v/>
      </c>
      <c r="F63" s="114" t="str">
        <f>IF(COUNTIFS(mapping!$B:$B,F$2,mapping!$D:$D,$B63)&gt;0,"X","")</f>
        <v/>
      </c>
      <c r="G63" s="114" t="str">
        <f>IF(COUNTIFS(mapping!$B:$B,G$2,mapping!$D:$D,$B63)&gt;0,"X","")</f>
        <v/>
      </c>
      <c r="H63" s="114" t="str">
        <f>IF(COUNTIFS(mapping!$B:$B,H$2,mapping!$D:$D,$B63)&gt;0,"X","")</f>
        <v/>
      </c>
      <c r="I63" s="114" t="str">
        <f>IF(COUNTIFS(mapping!$B:$B,I$2,mapping!$D:$D,$B63)&gt;0,"X","")</f>
        <v/>
      </c>
      <c r="J63" s="114" t="str">
        <f>IF(COUNTIFS(mapping!$B:$B,J$2,mapping!$D:$D,$B63)&gt;0,"X","")</f>
        <v/>
      </c>
      <c r="K63" s="114" t="str">
        <f>IF(COUNTIFS(mapping!$B:$B,K$2,mapping!$D:$D,$B63)&gt;0,"X","")</f>
        <v/>
      </c>
      <c r="L63" s="114" t="str">
        <f>IF(COUNTIFS(mapping!$B:$B,L$2,mapping!$D:$D,$B63)&gt;0,"X","")</f>
        <v/>
      </c>
      <c r="M63" s="114" t="str">
        <f>IF(COUNTIFS(mapping!$B:$B,M$2,mapping!$D:$D,$B63)&gt;0,"X","")</f>
        <v/>
      </c>
      <c r="N63" s="114" t="str">
        <f>IF(COUNTIFS(mapping!$B:$B,N$2,mapping!$D:$D,$B63)&gt;0,"X","")</f>
        <v/>
      </c>
      <c r="O63" s="114" t="str">
        <f>IF(COUNTIFS(mapping!$B:$B,O$2,mapping!$D:$D,$B63)&gt;0,"X","")</f>
        <v>X</v>
      </c>
      <c r="P63" s="114" t="str">
        <f>IF(COUNTIFS(mapping!$B:$B,P$2,mapping!$D:$D,$B63)&gt;0,"X","")</f>
        <v>X</v>
      </c>
      <c r="Q63" s="114" t="str">
        <f>IF(COUNTIFS(mapping!$B:$B,Q$2,mapping!$D:$D,$B63)&gt;0,"X","")</f>
        <v>X</v>
      </c>
      <c r="R63" s="114" t="str">
        <f>IF(COUNTIFS(mapping!$B:$B,R$2,mapping!$D:$D,$B63)&gt;0,"X","")</f>
        <v>X</v>
      </c>
      <c r="S63" s="114" t="str">
        <f>IF(COUNTIFS(mapping!$B:$B,S$2,mapping!$D:$D,$B63)&gt;0,"X","")</f>
        <v/>
      </c>
      <c r="T63" s="114" t="str">
        <f>IF(COUNTIFS(mapping!$B:$B,T$2,mapping!$D:$D,$B63)&gt;0,"X","")</f>
        <v>X</v>
      </c>
      <c r="U63" s="114" t="str">
        <f>IF(COUNTIFS(mapping!$B:$B,U$2,mapping!$D:$D,$B63)&gt;0,"X","")</f>
        <v/>
      </c>
      <c r="V63" s="114" t="str">
        <f>IF(COUNTIFS(mapping!$B:$B,V$2,mapping!$D:$D,$B63)&gt;0,"X","")</f>
        <v/>
      </c>
      <c r="W63" s="114" t="str">
        <f>IF(COUNTIFS(mapping!$B:$B,W$2,mapping!$D:$D,$B63)&gt;0,"X","")</f>
        <v/>
      </c>
      <c r="X63" s="114" t="str">
        <f>IF(COUNTIFS(mapping!$B:$B,X$2,mapping!$D:$D,$B63)&gt;0,"X","")</f>
        <v/>
      </c>
      <c r="Y63" s="114" t="str">
        <f>IF(COUNTIFS(mapping!$B:$B,Y$2,mapping!$D:$D,$B63)&gt;0,"X","")</f>
        <v/>
      </c>
      <c r="Z63" s="114" t="str">
        <f>IF(COUNTIFS(mapping!$B:$B,Z$2,mapping!$D:$D,$B63)&gt;0,"X","")</f>
        <v/>
      </c>
      <c r="AA63" s="114" t="str">
        <f>IF(COUNTIFS(mapping!$B:$B,AA$2,mapping!$D:$D,$B63)&gt;0,"X","")</f>
        <v/>
      </c>
      <c r="AB63" s="114" t="str">
        <f>IF(COUNTIFS(mapping!$B:$B,AB$2,mapping!$D:$D,$B63)&gt;0,"X","")</f>
        <v/>
      </c>
      <c r="AC63" s="114" t="str">
        <f>IF(COUNTIFS(mapping!$B:$B,AC$2,mapping!$D:$D,$B63)&gt;0,"X","")</f>
        <v/>
      </c>
      <c r="AD63" s="114" t="str">
        <f>IF(COUNTIFS(mapping!$B:$B,AD$2,mapping!$D:$D,$B63)&gt;0,"X","")</f>
        <v/>
      </c>
      <c r="AE63" s="114" t="str">
        <f>IF(COUNTIFS(mapping!$B:$B,AE$2,mapping!$D:$D,$B63)&gt;0,"X","")</f>
        <v/>
      </c>
      <c r="AF63" s="114" t="str">
        <f>IF(COUNTIFS(mapping!$B:$B,AF$2,mapping!$D:$D,$B63)&gt;0,"X","")</f>
        <v/>
      </c>
      <c r="AG63" s="114" t="str">
        <f>IF(COUNTIFS(mapping!$B:$B,AG$2,mapping!$D:$D,$B63)&gt;0,"X","")</f>
        <v/>
      </c>
      <c r="AH63" s="114" t="str">
        <f>IF(COUNTIFS(mapping!$B:$B,AH$2,mapping!$D:$D,$B63)&gt;0,"X","")</f>
        <v/>
      </c>
      <c r="AI63" s="114" t="str">
        <f>IF(COUNTIFS(mapping!$B:$B,AI$2,mapping!$D:$D,$B63)&gt;0,"X","")</f>
        <v/>
      </c>
      <c r="AJ63" s="114" t="str">
        <f>IF(COUNTIFS(mapping!$B:$B,AJ$2,mapping!$D:$D,$B63)&gt;0,"X","")</f>
        <v/>
      </c>
      <c r="AK63" s="114" t="str">
        <f>IF(COUNTIFS(mapping!$B:$B,AK$2,mapping!$D:$D,$B63)&gt;0,"X","")</f>
        <v/>
      </c>
      <c r="AL63" s="114" t="str">
        <f>IF(COUNTIFS(mapping!$B:$B,AL$2,mapping!$D:$D,$B63)&gt;0,"X","")</f>
        <v/>
      </c>
      <c r="AM63" s="114" t="str">
        <f>IF(COUNTIFS(mapping!$B:$B,AM$2,mapping!$D:$D,$B63)&gt;0,"X","")</f>
        <v/>
      </c>
      <c r="AN63" s="114" t="str">
        <f>IF(COUNTIFS(mapping!$B:$B,AN$2,mapping!$D:$D,$B63)&gt;0,"X","")</f>
        <v/>
      </c>
      <c r="AO63" s="114" t="str">
        <f>IF(COUNTIFS(mapping!$B:$B,AO$2,mapping!$D:$D,$B63)&gt;0,"X","")</f>
        <v/>
      </c>
      <c r="AP63" s="114" t="str">
        <f>IF(COUNTIFS(mapping!$B:$B,AP$2,mapping!$D:$D,$B63)&gt;0,"X","")</f>
        <v/>
      </c>
      <c r="AQ63" s="114" t="str">
        <f>IF(COUNTIFS(mapping!$B:$B,AQ$2,mapping!$D:$D,$B63)&gt;0,"X","")</f>
        <v/>
      </c>
      <c r="AR63" s="114" t="str">
        <f>IF(COUNTIFS(mapping!$B:$B,AR$2,mapping!$D:$D,$B63)&gt;0,"X","")</f>
        <v/>
      </c>
      <c r="AS63" s="114" t="str">
        <f>IF(COUNTIFS(mapping!$B:$B,AS$2,mapping!$D:$D,$B63)&gt;0,"X","")</f>
        <v/>
      </c>
      <c r="AT63" s="114" t="str">
        <f>IF(COUNTIFS(mapping!$B:$B,AT$2,mapping!$D:$D,$B63)&gt;0,"X","")</f>
        <v/>
      </c>
      <c r="AU63" s="114" t="str">
        <f>IF(COUNTIFS(mapping!$B:$B,AU$2,mapping!$D:$D,$B63)&gt;0,"X","")</f>
        <v/>
      </c>
      <c r="AV63" s="114" t="str">
        <f>IF(COUNTIFS(mapping!$B:$B,AV$2,mapping!$D:$D,$B63)&gt;0,"X","")</f>
        <v/>
      </c>
      <c r="AW63" s="114" t="str">
        <f>IF(COUNTIFS(mapping!$B:$B,AW$2,mapping!$D:$D,$B63)&gt;0,"X","")</f>
        <v/>
      </c>
      <c r="AX63" s="114" t="str">
        <f>IF(COUNTIFS(mapping!$B:$B,AX$2,mapping!$D:$D,$B63)&gt;0,"X","")</f>
        <v/>
      </c>
      <c r="AY63" s="114" t="str">
        <f>IF(COUNTIFS(mapping!$B:$B,AY$2,mapping!$D:$D,$B63)&gt;0,"X","")</f>
        <v/>
      </c>
      <c r="AZ63" s="114" t="str">
        <f>IF(COUNTIFS(mapping!$B:$B,AZ$2,mapping!$D:$D,$B63)&gt;0,"X","")</f>
        <v/>
      </c>
      <c r="BA63" s="114" t="str">
        <f>IF(COUNTIFS(mapping!$B:$B,BA$2,mapping!$D:$D,$B63)&gt;0,"X","")</f>
        <v/>
      </c>
      <c r="BB63" s="114" t="str">
        <f>IF(COUNTIFS(mapping!$B:$B,BB$2,mapping!$D:$D,$B63)&gt;0,"X","")</f>
        <v/>
      </c>
      <c r="BC63" s="114" t="str">
        <f>IF(COUNTIFS(mapping!$B:$B,BC$2,mapping!$D:$D,$B63)&gt;0,"X","")</f>
        <v/>
      </c>
      <c r="BD63" s="114" t="str">
        <f>IF(COUNTIFS(mapping!$B:$B,BD$2,mapping!$D:$D,$B63)&gt;0,"X","")</f>
        <v/>
      </c>
      <c r="BE63" s="114" t="str">
        <f>IF(COUNTIFS(mapping!$B:$B,BE$2,mapping!$D:$D,$B63)&gt;0,"X","")</f>
        <v/>
      </c>
      <c r="BF63" s="114" t="str">
        <f>IF(COUNTIFS(mapping!$B:$B,BF$2,mapping!$D:$D,$B63)&gt;0,"X","")</f>
        <v/>
      </c>
      <c r="BG63" s="114" t="str">
        <f>IF(COUNTIFS(mapping!$B:$B,BG$2,mapping!$D:$D,$B63)&gt;0,"X","")</f>
        <v/>
      </c>
      <c r="BH63" s="114" t="str">
        <f>IF(COUNTIFS(mapping!$B:$B,BH$2,mapping!$D:$D,$B63)&gt;0,"X","")</f>
        <v/>
      </c>
      <c r="BI63" s="114" t="str">
        <f>IF(COUNTIFS(mapping!$B:$B,BI$2,mapping!$D:$D,$B63)&gt;0,"X","")</f>
        <v/>
      </c>
      <c r="BJ63" s="114" t="str">
        <f>IF(COUNTIFS(mapping!$B:$B,BJ$2,mapping!$D:$D,$B63)&gt;0,"X","")</f>
        <v/>
      </c>
      <c r="BK63" s="114" t="str">
        <f>IF(COUNTIFS(mapping!$B:$B,BK$2,mapping!$D:$D,$B63)&gt;0,"X","")</f>
        <v/>
      </c>
      <c r="BL63" s="114" t="str">
        <f>IF(COUNTIFS(mapping!$B:$B,BL$2,mapping!$D:$D,$B63)&gt;0,"X","")</f>
        <v/>
      </c>
      <c r="BM63" s="114" t="str">
        <f>IF(COUNTIFS(mapping!$B:$B,BM$2,mapping!$D:$D,$B63)&gt;0,"X","")</f>
        <v/>
      </c>
      <c r="BN63" s="114" t="str">
        <f>IF(COUNTIFS(mapping!$B:$B,BN$2,mapping!$D:$D,$B63)&gt;0,"X","")</f>
        <v/>
      </c>
      <c r="BO63" s="114" t="str">
        <f>IF(COUNTIFS(mapping!$B:$B,BO$2,mapping!$D:$D,$B63)&gt;0,"X","")</f>
        <v/>
      </c>
      <c r="BP63" s="114" t="str">
        <f>IF(COUNTIFS(mapping!$B:$B,BP$2,mapping!$D:$D,$B63)&gt;0,"X","")</f>
        <v/>
      </c>
      <c r="BQ63" s="114" t="str">
        <f>IF(COUNTIFS(mapping!$B:$B,BQ$2,mapping!$D:$D,$B63)&gt;0,"X","")</f>
        <v/>
      </c>
      <c r="BR63" s="114" t="str">
        <f>IF(COUNTIFS(mapping!$B:$B,BR$2,mapping!$D:$D,$B63)&gt;0,"X","")</f>
        <v/>
      </c>
      <c r="BS63" s="114" t="str">
        <f>IF(COUNTIFS(mapping!$B:$B,BS$2,mapping!$D:$D,$B63)&gt;0,"X","")</f>
        <v/>
      </c>
      <c r="BT63" s="114" t="str">
        <f>IF(COUNTIFS(mapping!$B:$B,BT$2,mapping!$D:$D,$B63)&gt;0,"X","")</f>
        <v/>
      </c>
      <c r="BU63" s="114" t="str">
        <f>IF(COUNTIFS(mapping!$B:$B,BU$2,mapping!$D:$D,$B63)&gt;0,"X","")</f>
        <v/>
      </c>
      <c r="BV63" s="114" t="str">
        <f>IF(COUNTIFS(mapping!$B:$B,BV$2,mapping!$D:$D,$B63)&gt;0,"X","")</f>
        <v/>
      </c>
      <c r="BW63" s="114" t="str">
        <f>IF(COUNTIFS(mapping!$B:$B,BW$2,mapping!$D:$D,$B63)&gt;0,"X","")</f>
        <v/>
      </c>
      <c r="BX63" s="114" t="str">
        <f>IF(COUNTIFS(mapping!$B:$B,BX$2,mapping!$D:$D,$B63)&gt;0,"X","")</f>
        <v/>
      </c>
      <c r="BY63" s="114" t="str">
        <f>IF(COUNTIFS(mapping!$B:$B,BY$2,mapping!$D:$D,$B63)&gt;0,"X","")</f>
        <v/>
      </c>
      <c r="BZ63" s="114" t="str">
        <f>IF(COUNTIFS(mapping!$B:$B,BZ$2,mapping!$D:$D,$B63)&gt;0,"X","")</f>
        <v/>
      </c>
      <c r="CA63" s="114" t="str">
        <f>IF(COUNTIFS(mapping!$B:$B,CA$2,mapping!$D:$D,$B63)&gt;0,"X","")</f>
        <v/>
      </c>
      <c r="CB63" s="114" t="str">
        <f>IF(COUNTIFS(mapping!$B:$B,CB$2,mapping!$D:$D,$B63)&gt;0,"X","")</f>
        <v/>
      </c>
      <c r="CC63" s="114" t="str">
        <f>IF(COUNTIFS(mapping!$B:$B,CC$2,mapping!$D:$D,$B63)&gt;0,"X","")</f>
        <v/>
      </c>
      <c r="CD63" s="114" t="str">
        <f>IF(COUNTIFS(mapping!$B:$B,CD$2,mapping!$D:$D,$B63)&gt;0,"X","")</f>
        <v/>
      </c>
      <c r="CE63" s="114" t="str">
        <f>IF(COUNTIFS(mapping!$B:$B,CE$2,mapping!$D:$D,$B63)&gt;0,"X","")</f>
        <v/>
      </c>
      <c r="CF63" s="114" t="str">
        <f>IF(COUNTIFS(mapping!$B:$B,CF$2,mapping!$D:$D,$B63)&gt;0,"X","")</f>
        <v/>
      </c>
      <c r="CG63" s="114" t="str">
        <f>IF(COUNTIFS(mapping!$B:$B,CG$2,mapping!$D:$D,$B63)&gt;0,"X","")</f>
        <v/>
      </c>
      <c r="CH63" s="114" t="str">
        <f>IF(COUNTIFS(mapping!$B:$B,CH$2,mapping!$D:$D,$B63)&gt;0,"X","")</f>
        <v/>
      </c>
    </row>
    <row r="64" spans="1:86" ht="16">
      <c r="A64" s="258" t="s">
        <v>409</v>
      </c>
      <c r="B64" s="122" t="s">
        <v>408</v>
      </c>
      <c r="C64" s="122" t="s">
        <v>407</v>
      </c>
      <c r="E64" s="114" t="str">
        <f>IF(COUNTIFS(mapping!$B:$B,E$2,mapping!$D:$D,$B64)&gt;0,"X","")</f>
        <v/>
      </c>
      <c r="F64" s="114" t="str">
        <f>IF(COUNTIFS(mapping!$B:$B,F$2,mapping!$D:$D,$B64)&gt;0,"X","")</f>
        <v/>
      </c>
      <c r="G64" s="114" t="str">
        <f>IF(COUNTIFS(mapping!$B:$B,G$2,mapping!$D:$D,$B64)&gt;0,"X","")</f>
        <v/>
      </c>
      <c r="H64" s="114" t="str">
        <f>IF(COUNTIFS(mapping!$B:$B,H$2,mapping!$D:$D,$B64)&gt;0,"X","")</f>
        <v/>
      </c>
      <c r="I64" s="114" t="str">
        <f>IF(COUNTIFS(mapping!$B:$B,I$2,mapping!$D:$D,$B64)&gt;0,"X","")</f>
        <v/>
      </c>
      <c r="J64" s="114" t="str">
        <f>IF(COUNTIFS(mapping!$B:$B,J$2,mapping!$D:$D,$B64)&gt;0,"X","")</f>
        <v/>
      </c>
      <c r="K64" s="114" t="str">
        <f>IF(COUNTIFS(mapping!$B:$B,K$2,mapping!$D:$D,$B64)&gt;0,"X","")</f>
        <v/>
      </c>
      <c r="L64" s="114" t="str">
        <f>IF(COUNTIFS(mapping!$B:$B,L$2,mapping!$D:$D,$B64)&gt;0,"X","")</f>
        <v/>
      </c>
      <c r="M64" s="114" t="str">
        <f>IF(COUNTIFS(mapping!$B:$B,M$2,mapping!$D:$D,$B64)&gt;0,"X","")</f>
        <v/>
      </c>
      <c r="N64" s="114" t="str">
        <f>IF(COUNTIFS(mapping!$B:$B,N$2,mapping!$D:$D,$B64)&gt;0,"X","")</f>
        <v/>
      </c>
      <c r="O64" s="114" t="str">
        <f>IF(COUNTIFS(mapping!$B:$B,O$2,mapping!$D:$D,$B64)&gt;0,"X","")</f>
        <v/>
      </c>
      <c r="P64" s="114" t="str">
        <f>IF(COUNTIFS(mapping!$B:$B,P$2,mapping!$D:$D,$B64)&gt;0,"X","")</f>
        <v/>
      </c>
      <c r="Q64" s="114" t="str">
        <f>IF(COUNTIFS(mapping!$B:$B,Q$2,mapping!$D:$D,$B64)&gt;0,"X","")</f>
        <v/>
      </c>
      <c r="R64" s="114" t="str">
        <f>IF(COUNTIFS(mapping!$B:$B,R$2,mapping!$D:$D,$B64)&gt;0,"X","")</f>
        <v/>
      </c>
      <c r="S64" s="114" t="str">
        <f>IF(COUNTIFS(mapping!$B:$B,S$2,mapping!$D:$D,$B64)&gt;0,"X","")</f>
        <v/>
      </c>
      <c r="T64" s="114" t="str">
        <f>IF(COUNTIFS(mapping!$B:$B,T$2,mapping!$D:$D,$B64)&gt;0,"X","")</f>
        <v/>
      </c>
      <c r="U64" s="114" t="str">
        <f>IF(COUNTIFS(mapping!$B:$B,U$2,mapping!$D:$D,$B64)&gt;0,"X","")</f>
        <v/>
      </c>
      <c r="V64" s="114" t="str">
        <f>IF(COUNTIFS(mapping!$B:$B,V$2,mapping!$D:$D,$B64)&gt;0,"X","")</f>
        <v/>
      </c>
      <c r="W64" s="114" t="str">
        <f>IF(COUNTIFS(mapping!$B:$B,W$2,mapping!$D:$D,$B64)&gt;0,"X","")</f>
        <v/>
      </c>
      <c r="X64" s="114" t="str">
        <f>IF(COUNTIFS(mapping!$B:$B,X$2,mapping!$D:$D,$B64)&gt;0,"X","")</f>
        <v/>
      </c>
      <c r="Y64" s="114" t="str">
        <f>IF(COUNTIFS(mapping!$B:$B,Y$2,mapping!$D:$D,$B64)&gt;0,"X","")</f>
        <v/>
      </c>
      <c r="Z64" s="114" t="str">
        <f>IF(COUNTIFS(mapping!$B:$B,Z$2,mapping!$D:$D,$B64)&gt;0,"X","")</f>
        <v/>
      </c>
      <c r="AA64" s="114" t="str">
        <f>IF(COUNTIFS(mapping!$B:$B,AA$2,mapping!$D:$D,$B64)&gt;0,"X","")</f>
        <v/>
      </c>
      <c r="AB64" s="114" t="str">
        <f>IF(COUNTIFS(mapping!$B:$B,AB$2,mapping!$D:$D,$B64)&gt;0,"X","")</f>
        <v/>
      </c>
      <c r="AC64" s="114" t="str">
        <f>IF(COUNTIFS(mapping!$B:$B,AC$2,mapping!$D:$D,$B64)&gt;0,"X","")</f>
        <v/>
      </c>
      <c r="AD64" s="114" t="str">
        <f>IF(COUNTIFS(mapping!$B:$B,AD$2,mapping!$D:$D,$B64)&gt;0,"X","")</f>
        <v/>
      </c>
      <c r="AE64" s="114" t="str">
        <f>IF(COUNTIFS(mapping!$B:$B,AE$2,mapping!$D:$D,$B64)&gt;0,"X","")</f>
        <v/>
      </c>
      <c r="AF64" s="114" t="str">
        <f>IF(COUNTIFS(mapping!$B:$B,AF$2,mapping!$D:$D,$B64)&gt;0,"X","")</f>
        <v/>
      </c>
      <c r="AG64" s="114" t="str">
        <f>IF(COUNTIFS(mapping!$B:$B,AG$2,mapping!$D:$D,$B64)&gt;0,"X","")</f>
        <v/>
      </c>
      <c r="AH64" s="114" t="str">
        <f>IF(COUNTIFS(mapping!$B:$B,AH$2,mapping!$D:$D,$B64)&gt;0,"X","")</f>
        <v/>
      </c>
      <c r="AI64" s="114" t="str">
        <f>IF(COUNTIFS(mapping!$B:$B,AI$2,mapping!$D:$D,$B64)&gt;0,"X","")</f>
        <v/>
      </c>
      <c r="AJ64" s="114" t="str">
        <f>IF(COUNTIFS(mapping!$B:$B,AJ$2,mapping!$D:$D,$B64)&gt;0,"X","")</f>
        <v/>
      </c>
      <c r="AK64" s="114" t="str">
        <f>IF(COUNTIFS(mapping!$B:$B,AK$2,mapping!$D:$D,$B64)&gt;0,"X","")</f>
        <v/>
      </c>
      <c r="AL64" s="114" t="str">
        <f>IF(COUNTIFS(mapping!$B:$B,AL$2,mapping!$D:$D,$B64)&gt;0,"X","")</f>
        <v/>
      </c>
      <c r="AM64" s="114" t="str">
        <f>IF(COUNTIFS(mapping!$B:$B,AM$2,mapping!$D:$D,$B64)&gt;0,"X","")</f>
        <v/>
      </c>
      <c r="AN64" s="114" t="str">
        <f>IF(COUNTIFS(mapping!$B:$B,AN$2,mapping!$D:$D,$B64)&gt;0,"X","")</f>
        <v/>
      </c>
      <c r="AO64" s="114" t="str">
        <f>IF(COUNTIFS(mapping!$B:$B,AO$2,mapping!$D:$D,$B64)&gt;0,"X","")</f>
        <v/>
      </c>
      <c r="AP64" s="114" t="str">
        <f>IF(COUNTIFS(mapping!$B:$B,AP$2,mapping!$D:$D,$B64)&gt;0,"X","")</f>
        <v/>
      </c>
      <c r="AQ64" s="114" t="str">
        <f>IF(COUNTIFS(mapping!$B:$B,AQ$2,mapping!$D:$D,$B64)&gt;0,"X","")</f>
        <v/>
      </c>
      <c r="AR64" s="114" t="str">
        <f>IF(COUNTIFS(mapping!$B:$B,AR$2,mapping!$D:$D,$B64)&gt;0,"X","")</f>
        <v/>
      </c>
      <c r="AS64" s="114" t="str">
        <f>IF(COUNTIFS(mapping!$B:$B,AS$2,mapping!$D:$D,$B64)&gt;0,"X","")</f>
        <v/>
      </c>
      <c r="AT64" s="114" t="str">
        <f>IF(COUNTIFS(mapping!$B:$B,AT$2,mapping!$D:$D,$B64)&gt;0,"X","")</f>
        <v/>
      </c>
      <c r="AU64" s="114" t="str">
        <f>IF(COUNTIFS(mapping!$B:$B,AU$2,mapping!$D:$D,$B64)&gt;0,"X","")</f>
        <v/>
      </c>
      <c r="AV64" s="114" t="str">
        <f>IF(COUNTIFS(mapping!$B:$B,AV$2,mapping!$D:$D,$B64)&gt;0,"X","")</f>
        <v/>
      </c>
      <c r="AW64" s="114" t="str">
        <f>IF(COUNTIFS(mapping!$B:$B,AW$2,mapping!$D:$D,$B64)&gt;0,"X","")</f>
        <v/>
      </c>
      <c r="AX64" s="114" t="str">
        <f>IF(COUNTIFS(mapping!$B:$B,AX$2,mapping!$D:$D,$B64)&gt;0,"X","")</f>
        <v/>
      </c>
      <c r="AY64" s="114" t="str">
        <f>IF(COUNTIFS(mapping!$B:$B,AY$2,mapping!$D:$D,$B64)&gt;0,"X","")</f>
        <v/>
      </c>
      <c r="AZ64" s="114" t="str">
        <f>IF(COUNTIFS(mapping!$B:$B,AZ$2,mapping!$D:$D,$B64)&gt;0,"X","")</f>
        <v/>
      </c>
      <c r="BA64" s="114" t="str">
        <f>IF(COUNTIFS(mapping!$B:$B,BA$2,mapping!$D:$D,$B64)&gt;0,"X","")</f>
        <v/>
      </c>
      <c r="BB64" s="114" t="str">
        <f>IF(COUNTIFS(mapping!$B:$B,BB$2,mapping!$D:$D,$B64)&gt;0,"X","")</f>
        <v/>
      </c>
      <c r="BC64" s="114" t="str">
        <f>IF(COUNTIFS(mapping!$B:$B,BC$2,mapping!$D:$D,$B64)&gt;0,"X","")</f>
        <v/>
      </c>
      <c r="BD64" s="114" t="str">
        <f>IF(COUNTIFS(mapping!$B:$B,BD$2,mapping!$D:$D,$B64)&gt;0,"X","")</f>
        <v/>
      </c>
      <c r="BE64" s="114" t="str">
        <f>IF(COUNTIFS(mapping!$B:$B,BE$2,mapping!$D:$D,$B64)&gt;0,"X","")</f>
        <v/>
      </c>
      <c r="BF64" s="114" t="str">
        <f>IF(COUNTIFS(mapping!$B:$B,BF$2,mapping!$D:$D,$B64)&gt;0,"X","")</f>
        <v/>
      </c>
      <c r="BG64" s="114" t="str">
        <f>IF(COUNTIFS(mapping!$B:$B,BG$2,mapping!$D:$D,$B64)&gt;0,"X","")</f>
        <v/>
      </c>
      <c r="BH64" s="114" t="str">
        <f>IF(COUNTIFS(mapping!$B:$B,BH$2,mapping!$D:$D,$B64)&gt;0,"X","")</f>
        <v/>
      </c>
      <c r="BI64" s="114" t="str">
        <f>IF(COUNTIFS(mapping!$B:$B,BI$2,mapping!$D:$D,$B64)&gt;0,"X","")</f>
        <v>X</v>
      </c>
      <c r="BJ64" s="114" t="str">
        <f>IF(COUNTIFS(mapping!$B:$B,BJ$2,mapping!$D:$D,$B64)&gt;0,"X","")</f>
        <v/>
      </c>
      <c r="BK64" s="114" t="str">
        <f>IF(COUNTIFS(mapping!$B:$B,BK$2,mapping!$D:$D,$B64)&gt;0,"X","")</f>
        <v/>
      </c>
      <c r="BL64" s="114" t="str">
        <f>IF(COUNTIFS(mapping!$B:$B,BL$2,mapping!$D:$D,$B64)&gt;0,"X","")</f>
        <v/>
      </c>
      <c r="BM64" s="114" t="str">
        <f>IF(COUNTIFS(mapping!$B:$B,BM$2,mapping!$D:$D,$B64)&gt;0,"X","")</f>
        <v/>
      </c>
      <c r="BN64" s="114" t="str">
        <f>IF(COUNTIFS(mapping!$B:$B,BN$2,mapping!$D:$D,$B64)&gt;0,"X","")</f>
        <v/>
      </c>
      <c r="BO64" s="114" t="str">
        <f>IF(COUNTIFS(mapping!$B:$B,BO$2,mapping!$D:$D,$B64)&gt;0,"X","")</f>
        <v/>
      </c>
      <c r="BP64" s="114" t="str">
        <f>IF(COUNTIFS(mapping!$B:$B,BP$2,mapping!$D:$D,$B64)&gt;0,"X","")</f>
        <v/>
      </c>
      <c r="BQ64" s="114" t="str">
        <f>IF(COUNTIFS(mapping!$B:$B,BQ$2,mapping!$D:$D,$B64)&gt;0,"X","")</f>
        <v/>
      </c>
      <c r="BR64" s="114" t="str">
        <f>IF(COUNTIFS(mapping!$B:$B,BR$2,mapping!$D:$D,$B64)&gt;0,"X","")</f>
        <v/>
      </c>
      <c r="BS64" s="114" t="str">
        <f>IF(COUNTIFS(mapping!$B:$B,BS$2,mapping!$D:$D,$B64)&gt;0,"X","")</f>
        <v/>
      </c>
      <c r="BT64" s="114" t="str">
        <f>IF(COUNTIFS(mapping!$B:$B,BT$2,mapping!$D:$D,$B64)&gt;0,"X","")</f>
        <v/>
      </c>
      <c r="BU64" s="114" t="str">
        <f>IF(COUNTIFS(mapping!$B:$B,BU$2,mapping!$D:$D,$B64)&gt;0,"X","")</f>
        <v>X</v>
      </c>
      <c r="BV64" s="114" t="str">
        <f>IF(COUNTIFS(mapping!$B:$B,BV$2,mapping!$D:$D,$B64)&gt;0,"X","")</f>
        <v/>
      </c>
      <c r="BW64" s="114" t="str">
        <f>IF(COUNTIFS(mapping!$B:$B,BW$2,mapping!$D:$D,$B64)&gt;0,"X","")</f>
        <v/>
      </c>
      <c r="BX64" s="114" t="str">
        <f>IF(COUNTIFS(mapping!$B:$B,BX$2,mapping!$D:$D,$B64)&gt;0,"X","")</f>
        <v/>
      </c>
      <c r="BY64" s="114" t="str">
        <f>IF(COUNTIFS(mapping!$B:$B,BY$2,mapping!$D:$D,$B64)&gt;0,"X","")</f>
        <v/>
      </c>
      <c r="BZ64" s="114" t="str">
        <f>IF(COUNTIFS(mapping!$B:$B,BZ$2,mapping!$D:$D,$B64)&gt;0,"X","")</f>
        <v/>
      </c>
      <c r="CA64" s="114" t="str">
        <f>IF(COUNTIFS(mapping!$B:$B,CA$2,mapping!$D:$D,$B64)&gt;0,"X","")</f>
        <v/>
      </c>
      <c r="CB64" s="114" t="str">
        <f>IF(COUNTIFS(mapping!$B:$B,CB$2,mapping!$D:$D,$B64)&gt;0,"X","")</f>
        <v/>
      </c>
      <c r="CC64" s="114" t="str">
        <f>IF(COUNTIFS(mapping!$B:$B,CC$2,mapping!$D:$D,$B64)&gt;0,"X","")</f>
        <v/>
      </c>
      <c r="CD64" s="114" t="str">
        <f>IF(COUNTIFS(mapping!$B:$B,CD$2,mapping!$D:$D,$B64)&gt;0,"X","")</f>
        <v/>
      </c>
      <c r="CE64" s="114" t="str">
        <f>IF(COUNTIFS(mapping!$B:$B,CE$2,mapping!$D:$D,$B64)&gt;0,"X","")</f>
        <v/>
      </c>
      <c r="CF64" s="114" t="str">
        <f>IF(COUNTIFS(mapping!$B:$B,CF$2,mapping!$D:$D,$B64)&gt;0,"X","")</f>
        <v/>
      </c>
      <c r="CG64" s="114" t="str">
        <f>IF(COUNTIFS(mapping!$B:$B,CG$2,mapping!$D:$D,$B64)&gt;0,"X","")</f>
        <v/>
      </c>
      <c r="CH64" s="114" t="str">
        <f>IF(COUNTIFS(mapping!$B:$B,CH$2,mapping!$D:$D,$B64)&gt;0,"X","")</f>
        <v/>
      </c>
    </row>
    <row r="65" spans="1:86" ht="16">
      <c r="A65" s="258"/>
      <c r="B65" s="122" t="s">
        <v>406</v>
      </c>
      <c r="C65" s="122" t="s">
        <v>405</v>
      </c>
      <c r="E65" s="114" t="str">
        <f>IF(COUNTIFS(mapping!$B:$B,E$2,mapping!$D:$D,$B65)&gt;0,"X","")</f>
        <v/>
      </c>
      <c r="F65" s="114" t="str">
        <f>IF(COUNTIFS(mapping!$B:$B,F$2,mapping!$D:$D,$B65)&gt;0,"X","")</f>
        <v/>
      </c>
      <c r="G65" s="114" t="str">
        <f>IF(COUNTIFS(mapping!$B:$B,G$2,mapping!$D:$D,$B65)&gt;0,"X","")</f>
        <v/>
      </c>
      <c r="H65" s="114" t="str">
        <f>IF(COUNTIFS(mapping!$B:$B,H$2,mapping!$D:$D,$B65)&gt;0,"X","")</f>
        <v>X</v>
      </c>
      <c r="I65" s="114" t="str">
        <f>IF(COUNTIFS(mapping!$B:$B,I$2,mapping!$D:$D,$B65)&gt;0,"X","")</f>
        <v/>
      </c>
      <c r="J65" s="114" t="str">
        <f>IF(COUNTIFS(mapping!$B:$B,J$2,mapping!$D:$D,$B65)&gt;0,"X","")</f>
        <v/>
      </c>
      <c r="K65" s="114" t="str">
        <f>IF(COUNTIFS(mapping!$B:$B,K$2,mapping!$D:$D,$B65)&gt;0,"X","")</f>
        <v/>
      </c>
      <c r="L65" s="114" t="str">
        <f>IF(COUNTIFS(mapping!$B:$B,L$2,mapping!$D:$D,$B65)&gt;0,"X","")</f>
        <v/>
      </c>
      <c r="M65" s="114" t="str">
        <f>IF(COUNTIFS(mapping!$B:$B,M$2,mapping!$D:$D,$B65)&gt;0,"X","")</f>
        <v/>
      </c>
      <c r="N65" s="114" t="str">
        <f>IF(COUNTIFS(mapping!$B:$B,N$2,mapping!$D:$D,$B65)&gt;0,"X","")</f>
        <v/>
      </c>
      <c r="O65" s="114" t="str">
        <f>IF(COUNTIFS(mapping!$B:$B,O$2,mapping!$D:$D,$B65)&gt;0,"X","")</f>
        <v/>
      </c>
      <c r="P65" s="114" t="str">
        <f>IF(COUNTIFS(mapping!$B:$B,P$2,mapping!$D:$D,$B65)&gt;0,"X","")</f>
        <v/>
      </c>
      <c r="Q65" s="114" t="str">
        <f>IF(COUNTIFS(mapping!$B:$B,Q$2,mapping!$D:$D,$B65)&gt;0,"X","")</f>
        <v/>
      </c>
      <c r="R65" s="114" t="str">
        <f>IF(COUNTIFS(mapping!$B:$B,R$2,mapping!$D:$D,$B65)&gt;0,"X","")</f>
        <v/>
      </c>
      <c r="S65" s="114" t="str">
        <f>IF(COUNTIFS(mapping!$B:$B,S$2,mapping!$D:$D,$B65)&gt;0,"X","")</f>
        <v/>
      </c>
      <c r="T65" s="114" t="str">
        <f>IF(COUNTIFS(mapping!$B:$B,T$2,mapping!$D:$D,$B65)&gt;0,"X","")</f>
        <v/>
      </c>
      <c r="U65" s="114" t="str">
        <f>IF(COUNTIFS(mapping!$B:$B,U$2,mapping!$D:$D,$B65)&gt;0,"X","")</f>
        <v/>
      </c>
      <c r="V65" s="114" t="str">
        <f>IF(COUNTIFS(mapping!$B:$B,V$2,mapping!$D:$D,$B65)&gt;0,"X","")</f>
        <v/>
      </c>
      <c r="W65" s="114" t="str">
        <f>IF(COUNTIFS(mapping!$B:$B,W$2,mapping!$D:$D,$B65)&gt;0,"X","")</f>
        <v/>
      </c>
      <c r="X65" s="114" t="str">
        <f>IF(COUNTIFS(mapping!$B:$B,X$2,mapping!$D:$D,$B65)&gt;0,"X","")</f>
        <v/>
      </c>
      <c r="Y65" s="114" t="str">
        <f>IF(COUNTIFS(mapping!$B:$B,Y$2,mapping!$D:$D,$B65)&gt;0,"X","")</f>
        <v/>
      </c>
      <c r="Z65" s="114" t="str">
        <f>IF(COUNTIFS(mapping!$B:$B,Z$2,mapping!$D:$D,$B65)&gt;0,"X","")</f>
        <v/>
      </c>
      <c r="AA65" s="114" t="str">
        <f>IF(COUNTIFS(mapping!$B:$B,AA$2,mapping!$D:$D,$B65)&gt;0,"X","")</f>
        <v/>
      </c>
      <c r="AB65" s="114" t="str">
        <f>IF(COUNTIFS(mapping!$B:$B,AB$2,mapping!$D:$D,$B65)&gt;0,"X","")</f>
        <v/>
      </c>
      <c r="AC65" s="114" t="str">
        <f>IF(COUNTIFS(mapping!$B:$B,AC$2,mapping!$D:$D,$B65)&gt;0,"X","")</f>
        <v/>
      </c>
      <c r="AD65" s="114" t="str">
        <f>IF(COUNTIFS(mapping!$B:$B,AD$2,mapping!$D:$D,$B65)&gt;0,"X","")</f>
        <v>X</v>
      </c>
      <c r="AE65" s="114" t="str">
        <f>IF(COUNTIFS(mapping!$B:$B,AE$2,mapping!$D:$D,$B65)&gt;0,"X","")</f>
        <v/>
      </c>
      <c r="AF65" s="114" t="str">
        <f>IF(COUNTIFS(mapping!$B:$B,AF$2,mapping!$D:$D,$B65)&gt;0,"X","")</f>
        <v/>
      </c>
      <c r="AG65" s="114" t="str">
        <f>IF(COUNTIFS(mapping!$B:$B,AG$2,mapping!$D:$D,$B65)&gt;0,"X","")</f>
        <v/>
      </c>
      <c r="AH65" s="114" t="str">
        <f>IF(COUNTIFS(mapping!$B:$B,AH$2,mapping!$D:$D,$B65)&gt;0,"X","")</f>
        <v/>
      </c>
      <c r="AI65" s="114" t="str">
        <f>IF(COUNTIFS(mapping!$B:$B,AI$2,mapping!$D:$D,$B65)&gt;0,"X","")</f>
        <v/>
      </c>
      <c r="AJ65" s="114" t="str">
        <f>IF(COUNTIFS(mapping!$B:$B,AJ$2,mapping!$D:$D,$B65)&gt;0,"X","")</f>
        <v>X</v>
      </c>
      <c r="AK65" s="114" t="str">
        <f>IF(COUNTIFS(mapping!$B:$B,AK$2,mapping!$D:$D,$B65)&gt;0,"X","")</f>
        <v/>
      </c>
      <c r="AL65" s="114" t="str">
        <f>IF(COUNTIFS(mapping!$B:$B,AL$2,mapping!$D:$D,$B65)&gt;0,"X","")</f>
        <v>X</v>
      </c>
      <c r="AM65" s="114" t="str">
        <f>IF(COUNTIFS(mapping!$B:$B,AM$2,mapping!$D:$D,$B65)&gt;0,"X","")</f>
        <v/>
      </c>
      <c r="AN65" s="114" t="str">
        <f>IF(COUNTIFS(mapping!$B:$B,AN$2,mapping!$D:$D,$B65)&gt;0,"X","")</f>
        <v/>
      </c>
      <c r="AO65" s="114" t="str">
        <f>IF(COUNTIFS(mapping!$B:$B,AO$2,mapping!$D:$D,$B65)&gt;0,"X","")</f>
        <v/>
      </c>
      <c r="AP65" s="114" t="str">
        <f>IF(COUNTIFS(mapping!$B:$B,AP$2,mapping!$D:$D,$B65)&gt;0,"X","")</f>
        <v/>
      </c>
      <c r="AQ65" s="114" t="str">
        <f>IF(COUNTIFS(mapping!$B:$B,AQ$2,mapping!$D:$D,$B65)&gt;0,"X","")</f>
        <v/>
      </c>
      <c r="AR65" s="114" t="str">
        <f>IF(COUNTIFS(mapping!$B:$B,AR$2,mapping!$D:$D,$B65)&gt;0,"X","")</f>
        <v>X</v>
      </c>
      <c r="AS65" s="114" t="str">
        <f>IF(COUNTIFS(mapping!$B:$B,AS$2,mapping!$D:$D,$B65)&gt;0,"X","")</f>
        <v/>
      </c>
      <c r="AT65" s="114" t="str">
        <f>IF(COUNTIFS(mapping!$B:$B,AT$2,mapping!$D:$D,$B65)&gt;0,"X","")</f>
        <v/>
      </c>
      <c r="AU65" s="114" t="str">
        <f>IF(COUNTIFS(mapping!$B:$B,AU$2,mapping!$D:$D,$B65)&gt;0,"X","")</f>
        <v/>
      </c>
      <c r="AV65" s="114" t="str">
        <f>IF(COUNTIFS(mapping!$B:$B,AV$2,mapping!$D:$D,$B65)&gt;0,"X","")</f>
        <v/>
      </c>
      <c r="AW65" s="114" t="str">
        <f>IF(COUNTIFS(mapping!$B:$B,AW$2,mapping!$D:$D,$B65)&gt;0,"X","")</f>
        <v/>
      </c>
      <c r="AX65" s="114" t="str">
        <f>IF(COUNTIFS(mapping!$B:$B,AX$2,mapping!$D:$D,$B65)&gt;0,"X","")</f>
        <v/>
      </c>
      <c r="AY65" s="114" t="str">
        <f>IF(COUNTIFS(mapping!$B:$B,AY$2,mapping!$D:$D,$B65)&gt;0,"X","")</f>
        <v/>
      </c>
      <c r="AZ65" s="114" t="str">
        <f>IF(COUNTIFS(mapping!$B:$B,AZ$2,mapping!$D:$D,$B65)&gt;0,"X","")</f>
        <v/>
      </c>
      <c r="BA65" s="114" t="str">
        <f>IF(COUNTIFS(mapping!$B:$B,BA$2,mapping!$D:$D,$B65)&gt;0,"X","")</f>
        <v/>
      </c>
      <c r="BB65" s="114" t="str">
        <f>IF(COUNTIFS(mapping!$B:$B,BB$2,mapping!$D:$D,$B65)&gt;0,"X","")</f>
        <v/>
      </c>
      <c r="BC65" s="114" t="str">
        <f>IF(COUNTIFS(mapping!$B:$B,BC$2,mapping!$D:$D,$B65)&gt;0,"X","")</f>
        <v/>
      </c>
      <c r="BD65" s="114" t="str">
        <f>IF(COUNTIFS(mapping!$B:$B,BD$2,mapping!$D:$D,$B65)&gt;0,"X","")</f>
        <v/>
      </c>
      <c r="BE65" s="114" t="str">
        <f>IF(COUNTIFS(mapping!$B:$B,BE$2,mapping!$D:$D,$B65)&gt;0,"X","")</f>
        <v/>
      </c>
      <c r="BF65" s="114" t="str">
        <f>IF(COUNTIFS(mapping!$B:$B,BF$2,mapping!$D:$D,$B65)&gt;0,"X","")</f>
        <v/>
      </c>
      <c r="BG65" s="114" t="str">
        <f>IF(COUNTIFS(mapping!$B:$B,BG$2,mapping!$D:$D,$B65)&gt;0,"X","")</f>
        <v/>
      </c>
      <c r="BH65" s="114" t="str">
        <f>IF(COUNTIFS(mapping!$B:$B,BH$2,mapping!$D:$D,$B65)&gt;0,"X","")</f>
        <v/>
      </c>
      <c r="BI65" s="114" t="str">
        <f>IF(COUNTIFS(mapping!$B:$B,BI$2,mapping!$D:$D,$B65)&gt;0,"X","")</f>
        <v/>
      </c>
      <c r="BJ65" s="114" t="str">
        <f>IF(COUNTIFS(mapping!$B:$B,BJ$2,mapping!$D:$D,$B65)&gt;0,"X","")</f>
        <v/>
      </c>
      <c r="BK65" s="114" t="str">
        <f>IF(COUNTIFS(mapping!$B:$B,BK$2,mapping!$D:$D,$B65)&gt;0,"X","")</f>
        <v/>
      </c>
      <c r="BL65" s="114" t="str">
        <f>IF(COUNTIFS(mapping!$B:$B,BL$2,mapping!$D:$D,$B65)&gt;0,"X","")</f>
        <v/>
      </c>
      <c r="BM65" s="114" t="str">
        <f>IF(COUNTIFS(mapping!$B:$B,BM$2,mapping!$D:$D,$B65)&gt;0,"X","")</f>
        <v/>
      </c>
      <c r="BN65" s="114" t="str">
        <f>IF(COUNTIFS(mapping!$B:$B,BN$2,mapping!$D:$D,$B65)&gt;0,"X","")</f>
        <v/>
      </c>
      <c r="BO65" s="114" t="str">
        <f>IF(COUNTIFS(mapping!$B:$B,BO$2,mapping!$D:$D,$B65)&gt;0,"X","")</f>
        <v/>
      </c>
      <c r="BP65" s="114" t="str">
        <f>IF(COUNTIFS(mapping!$B:$B,BP$2,mapping!$D:$D,$B65)&gt;0,"X","")</f>
        <v>X</v>
      </c>
      <c r="BQ65" s="114" t="str">
        <f>IF(COUNTIFS(mapping!$B:$B,BQ$2,mapping!$D:$D,$B65)&gt;0,"X","")</f>
        <v/>
      </c>
      <c r="BR65" s="114" t="str">
        <f>IF(COUNTIFS(mapping!$B:$B,BR$2,mapping!$D:$D,$B65)&gt;0,"X","")</f>
        <v/>
      </c>
      <c r="BS65" s="114" t="str">
        <f>IF(COUNTIFS(mapping!$B:$B,BS$2,mapping!$D:$D,$B65)&gt;0,"X","")</f>
        <v/>
      </c>
      <c r="BT65" s="114" t="str">
        <f>IF(COUNTIFS(mapping!$B:$B,BT$2,mapping!$D:$D,$B65)&gt;0,"X","")</f>
        <v/>
      </c>
      <c r="BU65" s="114" t="str">
        <f>IF(COUNTIFS(mapping!$B:$B,BU$2,mapping!$D:$D,$B65)&gt;0,"X","")</f>
        <v/>
      </c>
      <c r="BV65" s="114" t="str">
        <f>IF(COUNTIFS(mapping!$B:$B,BV$2,mapping!$D:$D,$B65)&gt;0,"X","")</f>
        <v>X</v>
      </c>
      <c r="BW65" s="114" t="str">
        <f>IF(COUNTIFS(mapping!$B:$B,BW$2,mapping!$D:$D,$B65)&gt;0,"X","")</f>
        <v/>
      </c>
      <c r="BX65" s="114" t="str">
        <f>IF(COUNTIFS(mapping!$B:$B,BX$2,mapping!$D:$D,$B65)&gt;0,"X","")</f>
        <v/>
      </c>
      <c r="BY65" s="114" t="str">
        <f>IF(COUNTIFS(mapping!$B:$B,BY$2,mapping!$D:$D,$B65)&gt;0,"X","")</f>
        <v/>
      </c>
      <c r="BZ65" s="114" t="str">
        <f>IF(COUNTIFS(mapping!$B:$B,BZ$2,mapping!$D:$D,$B65)&gt;0,"X","")</f>
        <v/>
      </c>
      <c r="CA65" s="114" t="str">
        <f>IF(COUNTIFS(mapping!$B:$B,CA$2,mapping!$D:$D,$B65)&gt;0,"X","")</f>
        <v/>
      </c>
      <c r="CB65" s="114" t="str">
        <f>IF(COUNTIFS(mapping!$B:$B,CB$2,mapping!$D:$D,$B65)&gt;0,"X","")</f>
        <v/>
      </c>
      <c r="CC65" s="114" t="str">
        <f>IF(COUNTIFS(mapping!$B:$B,CC$2,mapping!$D:$D,$B65)&gt;0,"X","")</f>
        <v/>
      </c>
      <c r="CD65" s="114" t="str">
        <f>IF(COUNTIFS(mapping!$B:$B,CD$2,mapping!$D:$D,$B65)&gt;0,"X","")</f>
        <v/>
      </c>
      <c r="CE65" s="114" t="str">
        <f>IF(COUNTIFS(mapping!$B:$B,CE$2,mapping!$D:$D,$B65)&gt;0,"X","")</f>
        <v/>
      </c>
      <c r="CF65" s="114" t="str">
        <f>IF(COUNTIFS(mapping!$B:$B,CF$2,mapping!$D:$D,$B65)&gt;0,"X","")</f>
        <v/>
      </c>
      <c r="CG65" s="114" t="str">
        <f>IF(COUNTIFS(mapping!$B:$B,CG$2,mapping!$D:$D,$B65)&gt;0,"X","")</f>
        <v>X</v>
      </c>
      <c r="CH65" s="114" t="str">
        <f>IF(COUNTIFS(mapping!$B:$B,CH$2,mapping!$D:$D,$B65)&gt;0,"X","")</f>
        <v/>
      </c>
    </row>
    <row r="66" spans="1:86" ht="16">
      <c r="A66" s="258"/>
      <c r="B66" s="122" t="s">
        <v>404</v>
      </c>
      <c r="C66" s="122" t="s">
        <v>403</v>
      </c>
      <c r="E66" s="114" t="str">
        <f>IF(COUNTIFS(mapping!$B:$B,E$2,mapping!$D:$D,$B66)&gt;0,"X","")</f>
        <v/>
      </c>
      <c r="F66" s="114" t="str">
        <f>IF(COUNTIFS(mapping!$B:$B,F$2,mapping!$D:$D,$B66)&gt;0,"X","")</f>
        <v/>
      </c>
      <c r="G66" s="114" t="str">
        <f>IF(COUNTIFS(mapping!$B:$B,G$2,mapping!$D:$D,$B66)&gt;0,"X","")</f>
        <v/>
      </c>
      <c r="H66" s="114" t="str">
        <f>IF(COUNTIFS(mapping!$B:$B,H$2,mapping!$D:$D,$B66)&gt;0,"X","")</f>
        <v>X</v>
      </c>
      <c r="I66" s="114" t="str">
        <f>IF(COUNTIFS(mapping!$B:$B,I$2,mapping!$D:$D,$B66)&gt;0,"X","")</f>
        <v/>
      </c>
      <c r="J66" s="114" t="str">
        <f>IF(COUNTIFS(mapping!$B:$B,J$2,mapping!$D:$D,$B66)&gt;0,"X","")</f>
        <v/>
      </c>
      <c r="K66" s="114" t="str">
        <f>IF(COUNTIFS(mapping!$B:$B,K$2,mapping!$D:$D,$B66)&gt;0,"X","")</f>
        <v/>
      </c>
      <c r="L66" s="114" t="str">
        <f>IF(COUNTIFS(mapping!$B:$B,L$2,mapping!$D:$D,$B66)&gt;0,"X","")</f>
        <v/>
      </c>
      <c r="M66" s="114" t="str">
        <f>IF(COUNTIFS(mapping!$B:$B,M$2,mapping!$D:$D,$B66)&gt;0,"X","")</f>
        <v/>
      </c>
      <c r="N66" s="114" t="str">
        <f>IF(COUNTIFS(mapping!$B:$B,N$2,mapping!$D:$D,$B66)&gt;0,"X","")</f>
        <v/>
      </c>
      <c r="O66" s="114" t="str">
        <f>IF(COUNTIFS(mapping!$B:$B,O$2,mapping!$D:$D,$B66)&gt;0,"X","")</f>
        <v/>
      </c>
      <c r="P66" s="114" t="str">
        <f>IF(COUNTIFS(mapping!$B:$B,P$2,mapping!$D:$D,$B66)&gt;0,"X","")</f>
        <v/>
      </c>
      <c r="Q66" s="114" t="str">
        <f>IF(COUNTIFS(mapping!$B:$B,Q$2,mapping!$D:$D,$B66)&gt;0,"X","")</f>
        <v/>
      </c>
      <c r="R66" s="114" t="str">
        <f>IF(COUNTIFS(mapping!$B:$B,R$2,mapping!$D:$D,$B66)&gt;0,"X","")</f>
        <v/>
      </c>
      <c r="S66" s="114" t="str">
        <f>IF(COUNTIFS(mapping!$B:$B,S$2,mapping!$D:$D,$B66)&gt;0,"X","")</f>
        <v/>
      </c>
      <c r="T66" s="114" t="str">
        <f>IF(COUNTIFS(mapping!$B:$B,T$2,mapping!$D:$D,$B66)&gt;0,"X","")</f>
        <v/>
      </c>
      <c r="U66" s="114" t="str">
        <f>IF(COUNTIFS(mapping!$B:$B,U$2,mapping!$D:$D,$B66)&gt;0,"X","")</f>
        <v/>
      </c>
      <c r="V66" s="114" t="str">
        <f>IF(COUNTIFS(mapping!$B:$B,V$2,mapping!$D:$D,$B66)&gt;0,"X","")</f>
        <v/>
      </c>
      <c r="W66" s="114" t="str">
        <f>IF(COUNTIFS(mapping!$B:$B,W$2,mapping!$D:$D,$B66)&gt;0,"X","")</f>
        <v/>
      </c>
      <c r="X66" s="114" t="str">
        <f>IF(COUNTIFS(mapping!$B:$B,X$2,mapping!$D:$D,$B66)&gt;0,"X","")</f>
        <v/>
      </c>
      <c r="Y66" s="114" t="str">
        <f>IF(COUNTIFS(mapping!$B:$B,Y$2,mapping!$D:$D,$B66)&gt;0,"X","")</f>
        <v/>
      </c>
      <c r="Z66" s="114" t="str">
        <f>IF(COUNTIFS(mapping!$B:$B,Z$2,mapping!$D:$D,$B66)&gt;0,"X","")</f>
        <v/>
      </c>
      <c r="AA66" s="114" t="str">
        <f>IF(COUNTIFS(mapping!$B:$B,AA$2,mapping!$D:$D,$B66)&gt;0,"X","")</f>
        <v/>
      </c>
      <c r="AB66" s="114" t="str">
        <f>IF(COUNTIFS(mapping!$B:$B,AB$2,mapping!$D:$D,$B66)&gt;0,"X","")</f>
        <v/>
      </c>
      <c r="AC66" s="114" t="str">
        <f>IF(COUNTIFS(mapping!$B:$B,AC$2,mapping!$D:$D,$B66)&gt;0,"X","")</f>
        <v/>
      </c>
      <c r="AD66" s="114" t="str">
        <f>IF(COUNTIFS(mapping!$B:$B,AD$2,mapping!$D:$D,$B66)&gt;0,"X","")</f>
        <v>X</v>
      </c>
      <c r="AE66" s="114" t="str">
        <f>IF(COUNTIFS(mapping!$B:$B,AE$2,mapping!$D:$D,$B66)&gt;0,"X","")</f>
        <v/>
      </c>
      <c r="AF66" s="114" t="str">
        <f>IF(COUNTIFS(mapping!$B:$B,AF$2,mapping!$D:$D,$B66)&gt;0,"X","")</f>
        <v/>
      </c>
      <c r="AG66" s="114" t="str">
        <f>IF(COUNTIFS(mapping!$B:$B,AG$2,mapping!$D:$D,$B66)&gt;0,"X","")</f>
        <v/>
      </c>
      <c r="AH66" s="114" t="str">
        <f>IF(COUNTIFS(mapping!$B:$B,AH$2,mapping!$D:$D,$B66)&gt;0,"X","")</f>
        <v/>
      </c>
      <c r="AI66" s="114" t="str">
        <f>IF(COUNTIFS(mapping!$B:$B,AI$2,mapping!$D:$D,$B66)&gt;0,"X","")</f>
        <v/>
      </c>
      <c r="AJ66" s="114" t="str">
        <f>IF(COUNTIFS(mapping!$B:$B,AJ$2,mapping!$D:$D,$B66)&gt;0,"X","")</f>
        <v>X</v>
      </c>
      <c r="AK66" s="114" t="str">
        <f>IF(COUNTIFS(mapping!$B:$B,AK$2,mapping!$D:$D,$B66)&gt;0,"X","")</f>
        <v/>
      </c>
      <c r="AL66" s="114" t="str">
        <f>IF(COUNTIFS(mapping!$B:$B,AL$2,mapping!$D:$D,$B66)&gt;0,"X","")</f>
        <v>X</v>
      </c>
      <c r="AM66" s="114" t="str">
        <f>IF(COUNTIFS(mapping!$B:$B,AM$2,mapping!$D:$D,$B66)&gt;0,"X","")</f>
        <v/>
      </c>
      <c r="AN66" s="114" t="str">
        <f>IF(COUNTIFS(mapping!$B:$B,AN$2,mapping!$D:$D,$B66)&gt;0,"X","")</f>
        <v/>
      </c>
      <c r="AO66" s="114" t="str">
        <f>IF(COUNTIFS(mapping!$B:$B,AO$2,mapping!$D:$D,$B66)&gt;0,"X","")</f>
        <v/>
      </c>
      <c r="AP66" s="114" t="str">
        <f>IF(COUNTIFS(mapping!$B:$B,AP$2,mapping!$D:$D,$B66)&gt;0,"X","")</f>
        <v/>
      </c>
      <c r="AQ66" s="114" t="str">
        <f>IF(COUNTIFS(mapping!$B:$B,AQ$2,mapping!$D:$D,$B66)&gt;0,"X","")</f>
        <v/>
      </c>
      <c r="AR66" s="114" t="str">
        <f>IF(COUNTIFS(mapping!$B:$B,AR$2,mapping!$D:$D,$B66)&gt;0,"X","")</f>
        <v/>
      </c>
      <c r="AS66" s="114" t="str">
        <f>IF(COUNTIFS(mapping!$B:$B,AS$2,mapping!$D:$D,$B66)&gt;0,"X","")</f>
        <v/>
      </c>
      <c r="AT66" s="114" t="str">
        <f>IF(COUNTIFS(mapping!$B:$B,AT$2,mapping!$D:$D,$B66)&gt;0,"X","")</f>
        <v>X</v>
      </c>
      <c r="AU66" s="114" t="str">
        <f>IF(COUNTIFS(mapping!$B:$B,AU$2,mapping!$D:$D,$B66)&gt;0,"X","")</f>
        <v/>
      </c>
      <c r="AV66" s="114" t="str">
        <f>IF(COUNTIFS(mapping!$B:$B,AV$2,mapping!$D:$D,$B66)&gt;0,"X","")</f>
        <v/>
      </c>
      <c r="AW66" s="114" t="str">
        <f>IF(COUNTIFS(mapping!$B:$B,AW$2,mapping!$D:$D,$B66)&gt;0,"X","")</f>
        <v/>
      </c>
      <c r="AX66" s="114" t="str">
        <f>IF(COUNTIFS(mapping!$B:$B,AX$2,mapping!$D:$D,$B66)&gt;0,"X","")</f>
        <v/>
      </c>
      <c r="AY66" s="114" t="str">
        <f>IF(COUNTIFS(mapping!$B:$B,AY$2,mapping!$D:$D,$B66)&gt;0,"X","")</f>
        <v/>
      </c>
      <c r="AZ66" s="114" t="str">
        <f>IF(COUNTIFS(mapping!$B:$B,AZ$2,mapping!$D:$D,$B66)&gt;0,"X","")</f>
        <v/>
      </c>
      <c r="BA66" s="114" t="str">
        <f>IF(COUNTIFS(mapping!$B:$B,BA$2,mapping!$D:$D,$B66)&gt;0,"X","")</f>
        <v/>
      </c>
      <c r="BB66" s="114" t="str">
        <f>IF(COUNTIFS(mapping!$B:$B,BB$2,mapping!$D:$D,$B66)&gt;0,"X","")</f>
        <v/>
      </c>
      <c r="BC66" s="114" t="str">
        <f>IF(COUNTIFS(mapping!$B:$B,BC$2,mapping!$D:$D,$B66)&gt;0,"X","")</f>
        <v/>
      </c>
      <c r="BD66" s="114" t="str">
        <f>IF(COUNTIFS(mapping!$B:$B,BD$2,mapping!$D:$D,$B66)&gt;0,"X","")</f>
        <v/>
      </c>
      <c r="BE66" s="114" t="str">
        <f>IF(COUNTIFS(mapping!$B:$B,BE$2,mapping!$D:$D,$B66)&gt;0,"X","")</f>
        <v/>
      </c>
      <c r="BF66" s="114" t="str">
        <f>IF(COUNTIFS(mapping!$B:$B,BF$2,mapping!$D:$D,$B66)&gt;0,"X","")</f>
        <v/>
      </c>
      <c r="BG66" s="114" t="str">
        <f>IF(COUNTIFS(mapping!$B:$B,BG$2,mapping!$D:$D,$B66)&gt;0,"X","")</f>
        <v/>
      </c>
      <c r="BH66" s="114" t="str">
        <f>IF(COUNTIFS(mapping!$B:$B,BH$2,mapping!$D:$D,$B66)&gt;0,"X","")</f>
        <v/>
      </c>
      <c r="BI66" s="114" t="str">
        <f>IF(COUNTIFS(mapping!$B:$B,BI$2,mapping!$D:$D,$B66)&gt;0,"X","")</f>
        <v/>
      </c>
      <c r="BJ66" s="114" t="str">
        <f>IF(COUNTIFS(mapping!$B:$B,BJ$2,mapping!$D:$D,$B66)&gt;0,"X","")</f>
        <v/>
      </c>
      <c r="BK66" s="114" t="str">
        <f>IF(COUNTIFS(mapping!$B:$B,BK$2,mapping!$D:$D,$B66)&gt;0,"X","")</f>
        <v/>
      </c>
      <c r="BL66" s="114" t="str">
        <f>IF(COUNTIFS(mapping!$B:$B,BL$2,mapping!$D:$D,$B66)&gt;0,"X","")</f>
        <v/>
      </c>
      <c r="BM66" s="114" t="str">
        <f>IF(COUNTIFS(mapping!$B:$B,BM$2,mapping!$D:$D,$B66)&gt;0,"X","")</f>
        <v/>
      </c>
      <c r="BN66" s="114" t="str">
        <f>IF(COUNTIFS(mapping!$B:$B,BN$2,mapping!$D:$D,$B66)&gt;0,"X","")</f>
        <v/>
      </c>
      <c r="BO66" s="114" t="str">
        <f>IF(COUNTIFS(mapping!$B:$B,BO$2,mapping!$D:$D,$B66)&gt;0,"X","")</f>
        <v/>
      </c>
      <c r="BP66" s="114" t="str">
        <f>IF(COUNTIFS(mapping!$B:$B,BP$2,mapping!$D:$D,$B66)&gt;0,"X","")</f>
        <v>X</v>
      </c>
      <c r="BQ66" s="114" t="str">
        <f>IF(COUNTIFS(mapping!$B:$B,BQ$2,mapping!$D:$D,$B66)&gt;0,"X","")</f>
        <v/>
      </c>
      <c r="BR66" s="114" t="str">
        <f>IF(COUNTIFS(mapping!$B:$B,BR$2,mapping!$D:$D,$B66)&gt;0,"X","")</f>
        <v/>
      </c>
      <c r="BS66" s="114" t="str">
        <f>IF(COUNTIFS(mapping!$B:$B,BS$2,mapping!$D:$D,$B66)&gt;0,"X","")</f>
        <v/>
      </c>
      <c r="BT66" s="114" t="str">
        <f>IF(COUNTIFS(mapping!$B:$B,BT$2,mapping!$D:$D,$B66)&gt;0,"X","")</f>
        <v/>
      </c>
      <c r="BU66" s="114" t="str">
        <f>IF(COUNTIFS(mapping!$B:$B,BU$2,mapping!$D:$D,$B66)&gt;0,"X","")</f>
        <v/>
      </c>
      <c r="BV66" s="114" t="str">
        <f>IF(COUNTIFS(mapping!$B:$B,BV$2,mapping!$D:$D,$B66)&gt;0,"X","")</f>
        <v>X</v>
      </c>
      <c r="BW66" s="114" t="str">
        <f>IF(COUNTIFS(mapping!$B:$B,BW$2,mapping!$D:$D,$B66)&gt;0,"X","")</f>
        <v/>
      </c>
      <c r="BX66" s="114" t="str">
        <f>IF(COUNTIFS(mapping!$B:$B,BX$2,mapping!$D:$D,$B66)&gt;0,"X","")</f>
        <v/>
      </c>
      <c r="BY66" s="114" t="str">
        <f>IF(COUNTIFS(mapping!$B:$B,BY$2,mapping!$D:$D,$B66)&gt;0,"X","")</f>
        <v/>
      </c>
      <c r="BZ66" s="114" t="str">
        <f>IF(COUNTIFS(mapping!$B:$B,BZ$2,mapping!$D:$D,$B66)&gt;0,"X","")</f>
        <v/>
      </c>
      <c r="CA66" s="114" t="str">
        <f>IF(COUNTIFS(mapping!$B:$B,CA$2,mapping!$D:$D,$B66)&gt;0,"X","")</f>
        <v/>
      </c>
      <c r="CB66" s="114" t="str">
        <f>IF(COUNTIFS(mapping!$B:$B,CB$2,mapping!$D:$D,$B66)&gt;0,"X","")</f>
        <v/>
      </c>
      <c r="CC66" s="114" t="str">
        <f>IF(COUNTIFS(mapping!$B:$B,CC$2,mapping!$D:$D,$B66)&gt;0,"X","")</f>
        <v/>
      </c>
      <c r="CD66" s="114" t="str">
        <f>IF(COUNTIFS(mapping!$B:$B,CD$2,mapping!$D:$D,$B66)&gt;0,"X","")</f>
        <v/>
      </c>
      <c r="CE66" s="114" t="str">
        <f>IF(COUNTIFS(mapping!$B:$B,CE$2,mapping!$D:$D,$B66)&gt;0,"X","")</f>
        <v/>
      </c>
      <c r="CF66" s="114" t="str">
        <f>IF(COUNTIFS(mapping!$B:$B,CF$2,mapping!$D:$D,$B66)&gt;0,"X","")</f>
        <v/>
      </c>
      <c r="CG66" s="114" t="str">
        <f>IF(COUNTIFS(mapping!$B:$B,CG$2,mapping!$D:$D,$B66)&gt;0,"X","")</f>
        <v>X</v>
      </c>
      <c r="CH66" s="114" t="str">
        <f>IF(COUNTIFS(mapping!$B:$B,CH$2,mapping!$D:$D,$B66)&gt;0,"X","")</f>
        <v/>
      </c>
    </row>
    <row r="67" spans="1:86" ht="16">
      <c r="A67" s="258"/>
      <c r="B67" s="122" t="s">
        <v>402</v>
      </c>
      <c r="C67" s="122" t="s">
        <v>401</v>
      </c>
      <c r="E67" s="114" t="str">
        <f>IF(COUNTIFS(mapping!$B:$B,E$2,mapping!$D:$D,$B67)&gt;0,"X","")</f>
        <v/>
      </c>
      <c r="F67" s="114" t="str">
        <f>IF(COUNTIFS(mapping!$B:$B,F$2,mapping!$D:$D,$B67)&gt;0,"X","")</f>
        <v/>
      </c>
      <c r="G67" s="114" t="str">
        <f>IF(COUNTIFS(mapping!$B:$B,G$2,mapping!$D:$D,$B67)&gt;0,"X","")</f>
        <v/>
      </c>
      <c r="H67" s="114" t="str">
        <f>IF(COUNTIFS(mapping!$B:$B,H$2,mapping!$D:$D,$B67)&gt;0,"X","")</f>
        <v/>
      </c>
      <c r="I67" s="114" t="str">
        <f>IF(COUNTIFS(mapping!$B:$B,I$2,mapping!$D:$D,$B67)&gt;0,"X","")</f>
        <v/>
      </c>
      <c r="J67" s="114" t="str">
        <f>IF(COUNTIFS(mapping!$B:$B,J$2,mapping!$D:$D,$B67)&gt;0,"X","")</f>
        <v/>
      </c>
      <c r="K67" s="114" t="str">
        <f>IF(COUNTIFS(mapping!$B:$B,K$2,mapping!$D:$D,$B67)&gt;0,"X","")</f>
        <v/>
      </c>
      <c r="L67" s="114" t="str">
        <f>IF(COUNTIFS(mapping!$B:$B,L$2,mapping!$D:$D,$B67)&gt;0,"X","")</f>
        <v/>
      </c>
      <c r="M67" s="114" t="str">
        <f>IF(COUNTIFS(mapping!$B:$B,M$2,mapping!$D:$D,$B67)&gt;0,"X","")</f>
        <v/>
      </c>
      <c r="N67" s="114" t="str">
        <f>IF(COUNTIFS(mapping!$B:$B,N$2,mapping!$D:$D,$B67)&gt;0,"X","")</f>
        <v/>
      </c>
      <c r="O67" s="114" t="str">
        <f>IF(COUNTIFS(mapping!$B:$B,O$2,mapping!$D:$D,$B67)&gt;0,"X","")</f>
        <v/>
      </c>
      <c r="P67" s="114" t="str">
        <f>IF(COUNTIFS(mapping!$B:$B,P$2,mapping!$D:$D,$B67)&gt;0,"X","")</f>
        <v/>
      </c>
      <c r="Q67" s="114" t="str">
        <f>IF(COUNTIFS(mapping!$B:$B,Q$2,mapping!$D:$D,$B67)&gt;0,"X","")</f>
        <v/>
      </c>
      <c r="R67" s="114" t="str">
        <f>IF(COUNTIFS(mapping!$B:$B,R$2,mapping!$D:$D,$B67)&gt;0,"X","")</f>
        <v/>
      </c>
      <c r="S67" s="114" t="str">
        <f>IF(COUNTIFS(mapping!$B:$B,S$2,mapping!$D:$D,$B67)&gt;0,"X","")</f>
        <v/>
      </c>
      <c r="T67" s="114" t="str">
        <f>IF(COUNTIFS(mapping!$B:$B,T$2,mapping!$D:$D,$B67)&gt;0,"X","")</f>
        <v/>
      </c>
      <c r="U67" s="114" t="str">
        <f>IF(COUNTIFS(mapping!$B:$B,U$2,mapping!$D:$D,$B67)&gt;0,"X","")</f>
        <v/>
      </c>
      <c r="V67" s="114" t="str">
        <f>IF(COUNTIFS(mapping!$B:$B,V$2,mapping!$D:$D,$B67)&gt;0,"X","")</f>
        <v/>
      </c>
      <c r="W67" s="114" t="str">
        <f>IF(COUNTIFS(mapping!$B:$B,W$2,mapping!$D:$D,$B67)&gt;0,"X","")</f>
        <v/>
      </c>
      <c r="X67" s="114" t="str">
        <f>IF(COUNTIFS(mapping!$B:$B,X$2,mapping!$D:$D,$B67)&gt;0,"X","")</f>
        <v/>
      </c>
      <c r="Y67" s="114" t="str">
        <f>IF(COUNTIFS(mapping!$B:$B,Y$2,mapping!$D:$D,$B67)&gt;0,"X","")</f>
        <v/>
      </c>
      <c r="Z67" s="114" t="str">
        <f>IF(COUNTIFS(mapping!$B:$B,Z$2,mapping!$D:$D,$B67)&gt;0,"X","")</f>
        <v/>
      </c>
      <c r="AA67" s="114" t="str">
        <f>IF(COUNTIFS(mapping!$B:$B,AA$2,mapping!$D:$D,$B67)&gt;0,"X","")</f>
        <v/>
      </c>
      <c r="AB67" s="114" t="str">
        <f>IF(COUNTIFS(mapping!$B:$B,AB$2,mapping!$D:$D,$B67)&gt;0,"X","")</f>
        <v/>
      </c>
      <c r="AC67" s="114" t="str">
        <f>IF(COUNTIFS(mapping!$B:$B,AC$2,mapping!$D:$D,$B67)&gt;0,"X","")</f>
        <v/>
      </c>
      <c r="AD67" s="114" t="str">
        <f>IF(COUNTIFS(mapping!$B:$B,AD$2,mapping!$D:$D,$B67)&gt;0,"X","")</f>
        <v/>
      </c>
      <c r="AE67" s="114" t="str">
        <f>IF(COUNTIFS(mapping!$B:$B,AE$2,mapping!$D:$D,$B67)&gt;0,"X","")</f>
        <v/>
      </c>
      <c r="AF67" s="114" t="str">
        <f>IF(COUNTIFS(mapping!$B:$B,AF$2,mapping!$D:$D,$B67)&gt;0,"X","")</f>
        <v/>
      </c>
      <c r="AG67" s="114" t="str">
        <f>IF(COUNTIFS(mapping!$B:$B,AG$2,mapping!$D:$D,$B67)&gt;0,"X","")</f>
        <v/>
      </c>
      <c r="AH67" s="114" t="str">
        <f>IF(COUNTIFS(mapping!$B:$B,AH$2,mapping!$D:$D,$B67)&gt;0,"X","")</f>
        <v/>
      </c>
      <c r="AI67" s="114" t="str">
        <f>IF(COUNTIFS(mapping!$B:$B,AI$2,mapping!$D:$D,$B67)&gt;0,"X","")</f>
        <v/>
      </c>
      <c r="AJ67" s="114" t="str">
        <f>IF(COUNTIFS(mapping!$B:$B,AJ$2,mapping!$D:$D,$B67)&gt;0,"X","")</f>
        <v/>
      </c>
      <c r="AK67" s="114" t="str">
        <f>IF(COUNTIFS(mapping!$B:$B,AK$2,mapping!$D:$D,$B67)&gt;0,"X","")</f>
        <v/>
      </c>
      <c r="AL67" s="114" t="str">
        <f>IF(COUNTIFS(mapping!$B:$B,AL$2,mapping!$D:$D,$B67)&gt;0,"X","")</f>
        <v/>
      </c>
      <c r="AM67" s="114" t="str">
        <f>IF(COUNTIFS(mapping!$B:$B,AM$2,mapping!$D:$D,$B67)&gt;0,"X","")</f>
        <v/>
      </c>
      <c r="AN67" s="114" t="str">
        <f>IF(COUNTIFS(mapping!$B:$B,AN$2,mapping!$D:$D,$B67)&gt;0,"X","")</f>
        <v/>
      </c>
      <c r="AO67" s="114" t="str">
        <f>IF(COUNTIFS(mapping!$B:$B,AO$2,mapping!$D:$D,$B67)&gt;0,"X","")</f>
        <v/>
      </c>
      <c r="AP67" s="114" t="str">
        <f>IF(COUNTIFS(mapping!$B:$B,AP$2,mapping!$D:$D,$B67)&gt;0,"X","")</f>
        <v/>
      </c>
      <c r="AQ67" s="114" t="str">
        <f>IF(COUNTIFS(mapping!$B:$B,AQ$2,mapping!$D:$D,$B67)&gt;0,"X","")</f>
        <v/>
      </c>
      <c r="AR67" s="114" t="str">
        <f>IF(COUNTIFS(mapping!$B:$B,AR$2,mapping!$D:$D,$B67)&gt;0,"X","")</f>
        <v/>
      </c>
      <c r="AS67" s="114" t="str">
        <f>IF(COUNTIFS(mapping!$B:$B,AS$2,mapping!$D:$D,$B67)&gt;0,"X","")</f>
        <v/>
      </c>
      <c r="AT67" s="114" t="str">
        <f>IF(COUNTIFS(mapping!$B:$B,AT$2,mapping!$D:$D,$B67)&gt;0,"X","")</f>
        <v/>
      </c>
      <c r="AU67" s="114" t="str">
        <f>IF(COUNTIFS(mapping!$B:$B,AU$2,mapping!$D:$D,$B67)&gt;0,"X","")</f>
        <v/>
      </c>
      <c r="AV67" s="114" t="str">
        <f>IF(COUNTIFS(mapping!$B:$B,AV$2,mapping!$D:$D,$B67)&gt;0,"X","")</f>
        <v/>
      </c>
      <c r="AW67" s="114" t="str">
        <f>IF(COUNTIFS(mapping!$B:$B,AW$2,mapping!$D:$D,$B67)&gt;0,"X","")</f>
        <v/>
      </c>
      <c r="AX67" s="114" t="str">
        <f>IF(COUNTIFS(mapping!$B:$B,AX$2,mapping!$D:$D,$B67)&gt;0,"X","")</f>
        <v/>
      </c>
      <c r="AY67" s="114" t="str">
        <f>IF(COUNTIFS(mapping!$B:$B,AY$2,mapping!$D:$D,$B67)&gt;0,"X","")</f>
        <v/>
      </c>
      <c r="AZ67" s="114" t="str">
        <f>IF(COUNTIFS(mapping!$B:$B,AZ$2,mapping!$D:$D,$B67)&gt;0,"X","")</f>
        <v/>
      </c>
      <c r="BA67" s="114" t="str">
        <f>IF(COUNTIFS(mapping!$B:$B,BA$2,mapping!$D:$D,$B67)&gt;0,"X","")</f>
        <v/>
      </c>
      <c r="BB67" s="114" t="str">
        <f>IF(COUNTIFS(mapping!$B:$B,BB$2,mapping!$D:$D,$B67)&gt;0,"X","")</f>
        <v/>
      </c>
      <c r="BC67" s="114" t="str">
        <f>IF(COUNTIFS(mapping!$B:$B,BC$2,mapping!$D:$D,$B67)&gt;0,"X","")</f>
        <v/>
      </c>
      <c r="BD67" s="114" t="str">
        <f>IF(COUNTIFS(mapping!$B:$B,BD$2,mapping!$D:$D,$B67)&gt;0,"X","")</f>
        <v/>
      </c>
      <c r="BE67" s="114" t="str">
        <f>IF(COUNTIFS(mapping!$B:$B,BE$2,mapping!$D:$D,$B67)&gt;0,"X","")</f>
        <v/>
      </c>
      <c r="BF67" s="114" t="str">
        <f>IF(COUNTIFS(mapping!$B:$B,BF$2,mapping!$D:$D,$B67)&gt;0,"X","")</f>
        <v/>
      </c>
      <c r="BG67" s="114" t="str">
        <f>IF(COUNTIFS(mapping!$B:$B,BG$2,mapping!$D:$D,$B67)&gt;0,"X","")</f>
        <v/>
      </c>
      <c r="BH67" s="114" t="str">
        <f>IF(COUNTIFS(mapping!$B:$B,BH$2,mapping!$D:$D,$B67)&gt;0,"X","")</f>
        <v/>
      </c>
      <c r="BI67" s="114" t="str">
        <f>IF(COUNTIFS(mapping!$B:$B,BI$2,mapping!$D:$D,$B67)&gt;0,"X","")</f>
        <v/>
      </c>
      <c r="BJ67" s="114" t="str">
        <f>IF(COUNTIFS(mapping!$B:$B,BJ$2,mapping!$D:$D,$B67)&gt;0,"X","")</f>
        <v/>
      </c>
      <c r="BK67" s="114" t="str">
        <f>IF(COUNTIFS(mapping!$B:$B,BK$2,mapping!$D:$D,$B67)&gt;0,"X","")</f>
        <v/>
      </c>
      <c r="BL67" s="114" t="str">
        <f>IF(COUNTIFS(mapping!$B:$B,BL$2,mapping!$D:$D,$B67)&gt;0,"X","")</f>
        <v/>
      </c>
      <c r="BM67" s="114" t="str">
        <f>IF(COUNTIFS(mapping!$B:$B,BM$2,mapping!$D:$D,$B67)&gt;0,"X","")</f>
        <v/>
      </c>
      <c r="BN67" s="114" t="str">
        <f>IF(COUNTIFS(mapping!$B:$B,BN$2,mapping!$D:$D,$B67)&gt;0,"X","")</f>
        <v/>
      </c>
      <c r="BO67" s="114" t="str">
        <f>IF(COUNTIFS(mapping!$B:$B,BO$2,mapping!$D:$D,$B67)&gt;0,"X","")</f>
        <v/>
      </c>
      <c r="BP67" s="114" t="str">
        <f>IF(COUNTIFS(mapping!$B:$B,BP$2,mapping!$D:$D,$B67)&gt;0,"X","")</f>
        <v/>
      </c>
      <c r="BQ67" s="114" t="str">
        <f>IF(COUNTIFS(mapping!$B:$B,BQ$2,mapping!$D:$D,$B67)&gt;0,"X","")</f>
        <v/>
      </c>
      <c r="BR67" s="114" t="str">
        <f>IF(COUNTIFS(mapping!$B:$B,BR$2,mapping!$D:$D,$B67)&gt;0,"X","")</f>
        <v/>
      </c>
      <c r="BS67" s="114" t="str">
        <f>IF(COUNTIFS(mapping!$B:$B,BS$2,mapping!$D:$D,$B67)&gt;0,"X","")</f>
        <v/>
      </c>
      <c r="BT67" s="114" t="str">
        <f>IF(COUNTIFS(mapping!$B:$B,BT$2,mapping!$D:$D,$B67)&gt;0,"X","")</f>
        <v>X</v>
      </c>
      <c r="BU67" s="114" t="str">
        <f>IF(COUNTIFS(mapping!$B:$B,BU$2,mapping!$D:$D,$B67)&gt;0,"X","")</f>
        <v/>
      </c>
      <c r="BV67" s="114" t="str">
        <f>IF(COUNTIFS(mapping!$B:$B,BV$2,mapping!$D:$D,$B67)&gt;0,"X","")</f>
        <v/>
      </c>
      <c r="BW67" s="114" t="str">
        <f>IF(COUNTIFS(mapping!$B:$B,BW$2,mapping!$D:$D,$B67)&gt;0,"X","")</f>
        <v/>
      </c>
      <c r="BX67" s="114" t="str">
        <f>IF(COUNTIFS(mapping!$B:$B,BX$2,mapping!$D:$D,$B67)&gt;0,"X","")</f>
        <v/>
      </c>
      <c r="BY67" s="114" t="str">
        <f>IF(COUNTIFS(mapping!$B:$B,BY$2,mapping!$D:$D,$B67)&gt;0,"X","")</f>
        <v/>
      </c>
      <c r="BZ67" s="114" t="str">
        <f>IF(COUNTIFS(mapping!$B:$B,BZ$2,mapping!$D:$D,$B67)&gt;0,"X","")</f>
        <v/>
      </c>
      <c r="CA67" s="114" t="str">
        <f>IF(COUNTIFS(mapping!$B:$B,CA$2,mapping!$D:$D,$B67)&gt;0,"X","")</f>
        <v/>
      </c>
      <c r="CB67" s="114" t="str">
        <f>IF(COUNTIFS(mapping!$B:$B,CB$2,mapping!$D:$D,$B67)&gt;0,"X","")</f>
        <v/>
      </c>
      <c r="CC67" s="114" t="str">
        <f>IF(COUNTIFS(mapping!$B:$B,CC$2,mapping!$D:$D,$B67)&gt;0,"X","")</f>
        <v/>
      </c>
      <c r="CD67" s="114" t="str">
        <f>IF(COUNTIFS(mapping!$B:$B,CD$2,mapping!$D:$D,$B67)&gt;0,"X","")</f>
        <v/>
      </c>
      <c r="CE67" s="114" t="str">
        <f>IF(COUNTIFS(mapping!$B:$B,CE$2,mapping!$D:$D,$B67)&gt;0,"X","")</f>
        <v/>
      </c>
      <c r="CF67" s="114" t="str">
        <f>IF(COUNTIFS(mapping!$B:$B,CF$2,mapping!$D:$D,$B67)&gt;0,"X","")</f>
        <v/>
      </c>
      <c r="CG67" s="114" t="str">
        <f>IF(COUNTIFS(mapping!$B:$B,CG$2,mapping!$D:$D,$B67)&gt;0,"X","")</f>
        <v/>
      </c>
      <c r="CH67" s="114" t="str">
        <f>IF(COUNTIFS(mapping!$B:$B,CH$2,mapping!$D:$D,$B67)&gt;0,"X","")</f>
        <v/>
      </c>
    </row>
    <row r="68" spans="1:86" ht="16">
      <c r="A68" s="258"/>
      <c r="B68" s="122" t="s">
        <v>400</v>
      </c>
      <c r="C68" s="122" t="s">
        <v>633</v>
      </c>
      <c r="E68" s="114" t="str">
        <f>IF(COUNTIFS(mapping!$B:$B,E$2,mapping!$D:$D,$B68)&gt;0,"X","")</f>
        <v/>
      </c>
      <c r="F68" s="114" t="str">
        <f>IF(COUNTIFS(mapping!$B:$B,F$2,mapping!$D:$D,$B68)&gt;0,"X","")</f>
        <v/>
      </c>
      <c r="G68" s="114" t="str">
        <f>IF(COUNTIFS(mapping!$B:$B,G$2,mapping!$D:$D,$B68)&gt;0,"X","")</f>
        <v/>
      </c>
      <c r="H68" s="114" t="str">
        <f>IF(COUNTIFS(mapping!$B:$B,H$2,mapping!$D:$D,$B68)&gt;0,"X","")</f>
        <v/>
      </c>
      <c r="I68" s="114" t="str">
        <f>IF(COUNTIFS(mapping!$B:$B,I$2,mapping!$D:$D,$B68)&gt;0,"X","")</f>
        <v/>
      </c>
      <c r="J68" s="114" t="str">
        <f>IF(COUNTIFS(mapping!$B:$B,J$2,mapping!$D:$D,$B68)&gt;0,"X","")</f>
        <v/>
      </c>
      <c r="K68" s="114" t="str">
        <f>IF(COUNTIFS(mapping!$B:$B,K$2,mapping!$D:$D,$B68)&gt;0,"X","")</f>
        <v/>
      </c>
      <c r="L68" s="114" t="str">
        <f>IF(COUNTIFS(mapping!$B:$B,L$2,mapping!$D:$D,$B68)&gt;0,"X","")</f>
        <v/>
      </c>
      <c r="M68" s="114" t="str">
        <f>IF(COUNTIFS(mapping!$B:$B,M$2,mapping!$D:$D,$B68)&gt;0,"X","")</f>
        <v/>
      </c>
      <c r="N68" s="114" t="str">
        <f>IF(COUNTIFS(mapping!$B:$B,N$2,mapping!$D:$D,$B68)&gt;0,"X","")</f>
        <v/>
      </c>
      <c r="O68" s="114" t="str">
        <f>IF(COUNTIFS(mapping!$B:$B,O$2,mapping!$D:$D,$B68)&gt;0,"X","")</f>
        <v/>
      </c>
      <c r="P68" s="114" t="str">
        <f>IF(COUNTIFS(mapping!$B:$B,P$2,mapping!$D:$D,$B68)&gt;0,"X","")</f>
        <v/>
      </c>
      <c r="Q68" s="114" t="str">
        <f>IF(COUNTIFS(mapping!$B:$B,Q$2,mapping!$D:$D,$B68)&gt;0,"X","")</f>
        <v/>
      </c>
      <c r="R68" s="114" t="str">
        <f>IF(COUNTIFS(mapping!$B:$B,R$2,mapping!$D:$D,$B68)&gt;0,"X","")</f>
        <v/>
      </c>
      <c r="S68" s="114" t="str">
        <f>IF(COUNTIFS(mapping!$B:$B,S$2,mapping!$D:$D,$B68)&gt;0,"X","")</f>
        <v/>
      </c>
      <c r="T68" s="114" t="str">
        <f>IF(COUNTIFS(mapping!$B:$B,T$2,mapping!$D:$D,$B68)&gt;0,"X","")</f>
        <v/>
      </c>
      <c r="U68" s="114" t="str">
        <f>IF(COUNTIFS(mapping!$B:$B,U$2,mapping!$D:$D,$B68)&gt;0,"X","")</f>
        <v/>
      </c>
      <c r="V68" s="114" t="str">
        <f>IF(COUNTIFS(mapping!$B:$B,V$2,mapping!$D:$D,$B68)&gt;0,"X","")</f>
        <v>X</v>
      </c>
      <c r="W68" s="114" t="str">
        <f>IF(COUNTIFS(mapping!$B:$B,W$2,mapping!$D:$D,$B68)&gt;0,"X","")</f>
        <v/>
      </c>
      <c r="X68" s="114" t="str">
        <f>IF(COUNTIFS(mapping!$B:$B,X$2,mapping!$D:$D,$B68)&gt;0,"X","")</f>
        <v/>
      </c>
      <c r="Y68" s="114" t="str">
        <f>IF(COUNTIFS(mapping!$B:$B,Y$2,mapping!$D:$D,$B68)&gt;0,"X","")</f>
        <v/>
      </c>
      <c r="Z68" s="114" t="str">
        <f>IF(COUNTIFS(mapping!$B:$B,Z$2,mapping!$D:$D,$B68)&gt;0,"X","")</f>
        <v/>
      </c>
      <c r="AA68" s="114" t="str">
        <f>IF(COUNTIFS(mapping!$B:$B,AA$2,mapping!$D:$D,$B68)&gt;0,"X","")</f>
        <v>X</v>
      </c>
      <c r="AB68" s="114" t="str">
        <f>IF(COUNTIFS(mapping!$B:$B,AB$2,mapping!$D:$D,$B68)&gt;0,"X","")</f>
        <v>X</v>
      </c>
      <c r="AC68" s="114" t="str">
        <f>IF(COUNTIFS(mapping!$B:$B,AC$2,mapping!$D:$D,$B68)&gt;0,"X","")</f>
        <v/>
      </c>
      <c r="AD68" s="114" t="str">
        <f>IF(COUNTIFS(mapping!$B:$B,AD$2,mapping!$D:$D,$B68)&gt;0,"X","")</f>
        <v/>
      </c>
      <c r="AE68" s="114" t="str">
        <f>IF(COUNTIFS(mapping!$B:$B,AE$2,mapping!$D:$D,$B68)&gt;0,"X","")</f>
        <v/>
      </c>
      <c r="AF68" s="114" t="str">
        <f>IF(COUNTIFS(mapping!$B:$B,AF$2,mapping!$D:$D,$B68)&gt;0,"X","")</f>
        <v/>
      </c>
      <c r="AG68" s="114" t="str">
        <f>IF(COUNTIFS(mapping!$B:$B,AG$2,mapping!$D:$D,$B68)&gt;0,"X","")</f>
        <v/>
      </c>
      <c r="AH68" s="114" t="str">
        <f>IF(COUNTIFS(mapping!$B:$B,AH$2,mapping!$D:$D,$B68)&gt;0,"X","")</f>
        <v/>
      </c>
      <c r="AI68" s="114" t="str">
        <f>IF(COUNTIFS(mapping!$B:$B,AI$2,mapping!$D:$D,$B68)&gt;0,"X","")</f>
        <v/>
      </c>
      <c r="AJ68" s="114" t="str">
        <f>IF(COUNTIFS(mapping!$B:$B,AJ$2,mapping!$D:$D,$B68)&gt;0,"X","")</f>
        <v/>
      </c>
      <c r="AK68" s="114" t="str">
        <f>IF(COUNTIFS(mapping!$B:$B,AK$2,mapping!$D:$D,$B68)&gt;0,"X","")</f>
        <v/>
      </c>
      <c r="AL68" s="114" t="str">
        <f>IF(COUNTIFS(mapping!$B:$B,AL$2,mapping!$D:$D,$B68)&gt;0,"X","")</f>
        <v/>
      </c>
      <c r="AM68" s="114" t="str">
        <f>IF(COUNTIFS(mapping!$B:$B,AM$2,mapping!$D:$D,$B68)&gt;0,"X","")</f>
        <v/>
      </c>
      <c r="AN68" s="114" t="str">
        <f>IF(COUNTIFS(mapping!$B:$B,AN$2,mapping!$D:$D,$B68)&gt;0,"X","")</f>
        <v/>
      </c>
      <c r="AO68" s="114" t="str">
        <f>IF(COUNTIFS(mapping!$B:$B,AO$2,mapping!$D:$D,$B68)&gt;0,"X","")</f>
        <v/>
      </c>
      <c r="AP68" s="114" t="str">
        <f>IF(COUNTIFS(mapping!$B:$B,AP$2,mapping!$D:$D,$B68)&gt;0,"X","")</f>
        <v/>
      </c>
      <c r="AQ68" s="114" t="str">
        <f>IF(COUNTIFS(mapping!$B:$B,AQ$2,mapping!$D:$D,$B68)&gt;0,"X","")</f>
        <v/>
      </c>
      <c r="AR68" s="114" t="str">
        <f>IF(COUNTIFS(mapping!$B:$B,AR$2,mapping!$D:$D,$B68)&gt;0,"X","")</f>
        <v/>
      </c>
      <c r="AS68" s="114" t="str">
        <f>IF(COUNTIFS(mapping!$B:$B,AS$2,mapping!$D:$D,$B68)&gt;0,"X","")</f>
        <v/>
      </c>
      <c r="AT68" s="114" t="str">
        <f>IF(COUNTIFS(mapping!$B:$B,AT$2,mapping!$D:$D,$B68)&gt;0,"X","")</f>
        <v/>
      </c>
      <c r="AU68" s="114" t="str">
        <f>IF(COUNTIFS(mapping!$B:$B,AU$2,mapping!$D:$D,$B68)&gt;0,"X","")</f>
        <v/>
      </c>
      <c r="AV68" s="114" t="str">
        <f>IF(COUNTIFS(mapping!$B:$B,AV$2,mapping!$D:$D,$B68)&gt;0,"X","")</f>
        <v/>
      </c>
      <c r="AW68" s="114" t="str">
        <f>IF(COUNTIFS(mapping!$B:$B,AW$2,mapping!$D:$D,$B68)&gt;0,"X","")</f>
        <v/>
      </c>
      <c r="AX68" s="114" t="str">
        <f>IF(COUNTIFS(mapping!$B:$B,AX$2,mapping!$D:$D,$B68)&gt;0,"X","")</f>
        <v/>
      </c>
      <c r="AY68" s="114" t="str">
        <f>IF(COUNTIFS(mapping!$B:$B,AY$2,mapping!$D:$D,$B68)&gt;0,"X","")</f>
        <v/>
      </c>
      <c r="AZ68" s="114" t="str">
        <f>IF(COUNTIFS(mapping!$B:$B,AZ$2,mapping!$D:$D,$B68)&gt;0,"X","")</f>
        <v/>
      </c>
      <c r="BA68" s="114" t="str">
        <f>IF(COUNTIFS(mapping!$B:$B,BA$2,mapping!$D:$D,$B68)&gt;0,"X","")</f>
        <v/>
      </c>
      <c r="BB68" s="114" t="str">
        <f>IF(COUNTIFS(mapping!$B:$B,BB$2,mapping!$D:$D,$B68)&gt;0,"X","")</f>
        <v/>
      </c>
      <c r="BC68" s="114" t="str">
        <f>IF(COUNTIFS(mapping!$B:$B,BC$2,mapping!$D:$D,$B68)&gt;0,"X","")</f>
        <v/>
      </c>
      <c r="BD68" s="114" t="str">
        <f>IF(COUNTIFS(mapping!$B:$B,BD$2,mapping!$D:$D,$B68)&gt;0,"X","")</f>
        <v/>
      </c>
      <c r="BE68" s="114" t="str">
        <f>IF(COUNTIFS(mapping!$B:$B,BE$2,mapping!$D:$D,$B68)&gt;0,"X","")</f>
        <v/>
      </c>
      <c r="BF68" s="114" t="str">
        <f>IF(COUNTIFS(mapping!$B:$B,BF$2,mapping!$D:$D,$B68)&gt;0,"X","")</f>
        <v/>
      </c>
      <c r="BG68" s="114" t="str">
        <f>IF(COUNTIFS(mapping!$B:$B,BG$2,mapping!$D:$D,$B68)&gt;0,"X","")</f>
        <v/>
      </c>
      <c r="BH68" s="114" t="str">
        <f>IF(COUNTIFS(mapping!$B:$B,BH$2,mapping!$D:$D,$B68)&gt;0,"X","")</f>
        <v>X</v>
      </c>
      <c r="BI68" s="114" t="str">
        <f>IF(COUNTIFS(mapping!$B:$B,BI$2,mapping!$D:$D,$B68)&gt;0,"X","")</f>
        <v/>
      </c>
      <c r="BJ68" s="114" t="str">
        <f>IF(COUNTIFS(mapping!$B:$B,BJ$2,mapping!$D:$D,$B68)&gt;0,"X","")</f>
        <v/>
      </c>
      <c r="BK68" s="114" t="str">
        <f>IF(COUNTIFS(mapping!$B:$B,BK$2,mapping!$D:$D,$B68)&gt;0,"X","")</f>
        <v/>
      </c>
      <c r="BL68" s="114" t="str">
        <f>IF(COUNTIFS(mapping!$B:$B,BL$2,mapping!$D:$D,$B68)&gt;0,"X","")</f>
        <v/>
      </c>
      <c r="BM68" s="114" t="str">
        <f>IF(COUNTIFS(mapping!$B:$B,BM$2,mapping!$D:$D,$B68)&gt;0,"X","")</f>
        <v/>
      </c>
      <c r="BN68" s="114" t="str">
        <f>IF(COUNTIFS(mapping!$B:$B,BN$2,mapping!$D:$D,$B68)&gt;0,"X","")</f>
        <v>X</v>
      </c>
      <c r="BO68" s="114" t="str">
        <f>IF(COUNTIFS(mapping!$B:$B,BO$2,mapping!$D:$D,$B68)&gt;0,"X","")</f>
        <v/>
      </c>
      <c r="BP68" s="114" t="str">
        <f>IF(COUNTIFS(mapping!$B:$B,BP$2,mapping!$D:$D,$B68)&gt;0,"X","")</f>
        <v/>
      </c>
      <c r="BQ68" s="114" t="str">
        <f>IF(COUNTIFS(mapping!$B:$B,BQ$2,mapping!$D:$D,$B68)&gt;0,"X","")</f>
        <v/>
      </c>
      <c r="BR68" s="114" t="str">
        <f>IF(COUNTIFS(mapping!$B:$B,BR$2,mapping!$D:$D,$B68)&gt;0,"X","")</f>
        <v>X</v>
      </c>
      <c r="BS68" s="114" t="str">
        <f>IF(COUNTIFS(mapping!$B:$B,BS$2,mapping!$D:$D,$B68)&gt;0,"X","")</f>
        <v>X</v>
      </c>
      <c r="BT68" s="114" t="str">
        <f>IF(COUNTIFS(mapping!$B:$B,BT$2,mapping!$D:$D,$B68)&gt;0,"X","")</f>
        <v>X</v>
      </c>
      <c r="BU68" s="114" t="str">
        <f>IF(COUNTIFS(mapping!$B:$B,BU$2,mapping!$D:$D,$B68)&gt;0,"X","")</f>
        <v/>
      </c>
      <c r="BV68" s="114" t="str">
        <f>IF(COUNTIFS(mapping!$B:$B,BV$2,mapping!$D:$D,$B68)&gt;0,"X","")</f>
        <v/>
      </c>
      <c r="BW68" s="114" t="str">
        <f>IF(COUNTIFS(mapping!$B:$B,BW$2,mapping!$D:$D,$B68)&gt;0,"X","")</f>
        <v/>
      </c>
      <c r="BX68" s="114" t="str">
        <f>IF(COUNTIFS(mapping!$B:$B,BX$2,mapping!$D:$D,$B68)&gt;0,"X","")</f>
        <v/>
      </c>
      <c r="BY68" s="114" t="str">
        <f>IF(COUNTIFS(mapping!$B:$B,BY$2,mapping!$D:$D,$B68)&gt;0,"X","")</f>
        <v/>
      </c>
      <c r="BZ68" s="114" t="str">
        <f>IF(COUNTIFS(mapping!$B:$B,BZ$2,mapping!$D:$D,$B68)&gt;0,"X","")</f>
        <v/>
      </c>
      <c r="CA68" s="114" t="str">
        <f>IF(COUNTIFS(mapping!$B:$B,CA$2,mapping!$D:$D,$B68)&gt;0,"X","")</f>
        <v/>
      </c>
      <c r="CB68" s="114" t="str">
        <f>IF(COUNTIFS(mapping!$B:$B,CB$2,mapping!$D:$D,$B68)&gt;0,"X","")</f>
        <v/>
      </c>
      <c r="CC68" s="114" t="str">
        <f>IF(COUNTIFS(mapping!$B:$B,CC$2,mapping!$D:$D,$B68)&gt;0,"X","")</f>
        <v/>
      </c>
      <c r="CD68" s="114" t="str">
        <f>IF(COUNTIFS(mapping!$B:$B,CD$2,mapping!$D:$D,$B68)&gt;0,"X","")</f>
        <v/>
      </c>
      <c r="CE68" s="114" t="str">
        <f>IF(COUNTIFS(mapping!$B:$B,CE$2,mapping!$D:$D,$B68)&gt;0,"X","")</f>
        <v/>
      </c>
      <c r="CF68" s="114" t="str">
        <f>IF(COUNTIFS(mapping!$B:$B,CF$2,mapping!$D:$D,$B68)&gt;0,"X","")</f>
        <v/>
      </c>
      <c r="CG68" s="114" t="str">
        <f>IF(COUNTIFS(mapping!$B:$B,CG$2,mapping!$D:$D,$B68)&gt;0,"X","")</f>
        <v/>
      </c>
      <c r="CH68" s="114" t="str">
        <f>IF(COUNTIFS(mapping!$B:$B,CH$2,mapping!$D:$D,$B68)&gt;0,"X","")</f>
        <v/>
      </c>
    </row>
    <row r="69" spans="1:86" ht="16">
      <c r="A69" s="258"/>
      <c r="B69" s="122" t="s">
        <v>398</v>
      </c>
      <c r="C69" s="122" t="s">
        <v>817</v>
      </c>
      <c r="E69" s="114" t="str">
        <f>IF(COUNTIFS(mapping!$B:$B,E$2,mapping!$D:$D,$B69)&gt;0,"X","")</f>
        <v/>
      </c>
      <c r="F69" s="114" t="str">
        <f>IF(COUNTIFS(mapping!$B:$B,F$2,mapping!$D:$D,$B69)&gt;0,"X","")</f>
        <v/>
      </c>
      <c r="G69" s="114" t="str">
        <f>IF(COUNTIFS(mapping!$B:$B,G$2,mapping!$D:$D,$B69)&gt;0,"X","")</f>
        <v/>
      </c>
      <c r="H69" s="114" t="str">
        <f>IF(COUNTIFS(mapping!$B:$B,H$2,mapping!$D:$D,$B69)&gt;0,"X","")</f>
        <v/>
      </c>
      <c r="I69" s="114" t="str">
        <f>IF(COUNTIFS(mapping!$B:$B,I$2,mapping!$D:$D,$B69)&gt;0,"X","")</f>
        <v/>
      </c>
      <c r="J69" s="114" t="str">
        <f>IF(COUNTIFS(mapping!$B:$B,J$2,mapping!$D:$D,$B69)&gt;0,"X","")</f>
        <v/>
      </c>
      <c r="K69" s="114" t="str">
        <f>IF(COUNTIFS(mapping!$B:$B,K$2,mapping!$D:$D,$B69)&gt;0,"X","")</f>
        <v/>
      </c>
      <c r="L69" s="114" t="str">
        <f>IF(COUNTIFS(mapping!$B:$B,L$2,mapping!$D:$D,$B69)&gt;0,"X","")</f>
        <v/>
      </c>
      <c r="M69" s="114" t="str">
        <f>IF(COUNTIFS(mapping!$B:$B,M$2,mapping!$D:$D,$B69)&gt;0,"X","")</f>
        <v/>
      </c>
      <c r="N69" s="114" t="str">
        <f>IF(COUNTIFS(mapping!$B:$B,N$2,mapping!$D:$D,$B69)&gt;0,"X","")</f>
        <v/>
      </c>
      <c r="O69" s="114" t="str">
        <f>IF(COUNTIFS(mapping!$B:$B,O$2,mapping!$D:$D,$B69)&gt;0,"X","")</f>
        <v/>
      </c>
      <c r="P69" s="114" t="str">
        <f>IF(COUNTIFS(mapping!$B:$B,P$2,mapping!$D:$D,$B69)&gt;0,"X","")</f>
        <v/>
      </c>
      <c r="Q69" s="114" t="str">
        <f>IF(COUNTIFS(mapping!$B:$B,Q$2,mapping!$D:$D,$B69)&gt;0,"X","")</f>
        <v/>
      </c>
      <c r="R69" s="114" t="str">
        <f>IF(COUNTIFS(mapping!$B:$B,R$2,mapping!$D:$D,$B69)&gt;0,"X","")</f>
        <v/>
      </c>
      <c r="S69" s="114" t="str">
        <f>IF(COUNTIFS(mapping!$B:$B,S$2,mapping!$D:$D,$B69)&gt;0,"X","")</f>
        <v/>
      </c>
      <c r="T69" s="114" t="str">
        <f>IF(COUNTIFS(mapping!$B:$B,T$2,mapping!$D:$D,$B69)&gt;0,"X","")</f>
        <v/>
      </c>
      <c r="U69" s="114" t="str">
        <f>IF(COUNTIFS(mapping!$B:$B,U$2,mapping!$D:$D,$B69)&gt;0,"X","")</f>
        <v/>
      </c>
      <c r="V69" s="114" t="str">
        <f>IF(COUNTIFS(mapping!$B:$B,V$2,mapping!$D:$D,$B69)&gt;0,"X","")</f>
        <v/>
      </c>
      <c r="W69" s="114" t="str">
        <f>IF(COUNTIFS(mapping!$B:$B,W$2,mapping!$D:$D,$B69)&gt;0,"X","")</f>
        <v/>
      </c>
      <c r="X69" s="114" t="str">
        <f>IF(COUNTIFS(mapping!$B:$B,X$2,mapping!$D:$D,$B69)&gt;0,"X","")</f>
        <v/>
      </c>
      <c r="Y69" s="114" t="str">
        <f>IF(COUNTIFS(mapping!$B:$B,Y$2,mapping!$D:$D,$B69)&gt;0,"X","")</f>
        <v/>
      </c>
      <c r="Z69" s="114" t="str">
        <f>IF(COUNTIFS(mapping!$B:$B,Z$2,mapping!$D:$D,$B69)&gt;0,"X","")</f>
        <v/>
      </c>
      <c r="AA69" s="114" t="str">
        <f>IF(COUNTIFS(mapping!$B:$B,AA$2,mapping!$D:$D,$B69)&gt;0,"X","")</f>
        <v/>
      </c>
      <c r="AB69" s="114" t="str">
        <f>IF(COUNTIFS(mapping!$B:$B,AB$2,mapping!$D:$D,$B69)&gt;0,"X","")</f>
        <v/>
      </c>
      <c r="AC69" s="114" t="str">
        <f>IF(COUNTIFS(mapping!$B:$B,AC$2,mapping!$D:$D,$B69)&gt;0,"X","")</f>
        <v/>
      </c>
      <c r="AD69" s="114" t="str">
        <f>IF(COUNTIFS(mapping!$B:$B,AD$2,mapping!$D:$D,$B69)&gt;0,"X","")</f>
        <v/>
      </c>
      <c r="AE69" s="114" t="str">
        <f>IF(COUNTIFS(mapping!$B:$B,AE$2,mapping!$D:$D,$B69)&gt;0,"X","")</f>
        <v/>
      </c>
      <c r="AF69" s="114" t="str">
        <f>IF(COUNTIFS(mapping!$B:$B,AF$2,mapping!$D:$D,$B69)&gt;0,"X","")</f>
        <v/>
      </c>
      <c r="AG69" s="114" t="str">
        <f>IF(COUNTIFS(mapping!$B:$B,AG$2,mapping!$D:$D,$B69)&gt;0,"X","")</f>
        <v/>
      </c>
      <c r="AH69" s="114" t="str">
        <f>IF(COUNTIFS(mapping!$B:$B,AH$2,mapping!$D:$D,$B69)&gt;0,"X","")</f>
        <v/>
      </c>
      <c r="AI69" s="114" t="str">
        <f>IF(COUNTIFS(mapping!$B:$B,AI$2,mapping!$D:$D,$B69)&gt;0,"X","")</f>
        <v/>
      </c>
      <c r="AJ69" s="114" t="str">
        <f>IF(COUNTIFS(mapping!$B:$B,AJ$2,mapping!$D:$D,$B69)&gt;0,"X","")</f>
        <v/>
      </c>
      <c r="AK69" s="114" t="str">
        <f>IF(COUNTIFS(mapping!$B:$B,AK$2,mapping!$D:$D,$B69)&gt;0,"X","")</f>
        <v/>
      </c>
      <c r="AL69" s="114" t="str">
        <f>IF(COUNTIFS(mapping!$B:$B,AL$2,mapping!$D:$D,$B69)&gt;0,"X","")</f>
        <v/>
      </c>
      <c r="AM69" s="114" t="str">
        <f>IF(COUNTIFS(mapping!$B:$B,AM$2,mapping!$D:$D,$B69)&gt;0,"X","")</f>
        <v/>
      </c>
      <c r="AN69" s="114" t="str">
        <f>IF(COUNTIFS(mapping!$B:$B,AN$2,mapping!$D:$D,$B69)&gt;0,"X","")</f>
        <v/>
      </c>
      <c r="AO69" s="114" t="str">
        <f>IF(COUNTIFS(mapping!$B:$B,AO$2,mapping!$D:$D,$B69)&gt;0,"X","")</f>
        <v/>
      </c>
      <c r="AP69" s="114" t="str">
        <f>IF(COUNTIFS(mapping!$B:$B,AP$2,mapping!$D:$D,$B69)&gt;0,"X","")</f>
        <v/>
      </c>
      <c r="AQ69" s="114" t="str">
        <f>IF(COUNTIFS(mapping!$B:$B,AQ$2,mapping!$D:$D,$B69)&gt;0,"X","")</f>
        <v/>
      </c>
      <c r="AR69" s="114" t="str">
        <f>IF(COUNTIFS(mapping!$B:$B,AR$2,mapping!$D:$D,$B69)&gt;0,"X","")</f>
        <v/>
      </c>
      <c r="AS69" s="114" t="str">
        <f>IF(COUNTIFS(mapping!$B:$B,AS$2,mapping!$D:$D,$B69)&gt;0,"X","")</f>
        <v/>
      </c>
      <c r="AT69" s="114" t="str">
        <f>IF(COUNTIFS(mapping!$B:$B,AT$2,mapping!$D:$D,$B69)&gt;0,"X","")</f>
        <v/>
      </c>
      <c r="AU69" s="114" t="str">
        <f>IF(COUNTIFS(mapping!$B:$B,AU$2,mapping!$D:$D,$B69)&gt;0,"X","")</f>
        <v/>
      </c>
      <c r="AV69" s="114" t="str">
        <f>IF(COUNTIFS(mapping!$B:$B,AV$2,mapping!$D:$D,$B69)&gt;0,"X","")</f>
        <v/>
      </c>
      <c r="AW69" s="114" t="str">
        <f>IF(COUNTIFS(mapping!$B:$B,AW$2,mapping!$D:$D,$B69)&gt;0,"X","")</f>
        <v/>
      </c>
      <c r="AX69" s="114" t="str">
        <f>IF(COUNTIFS(mapping!$B:$B,AX$2,mapping!$D:$D,$B69)&gt;0,"X","")</f>
        <v/>
      </c>
      <c r="AY69" s="114" t="str">
        <f>IF(COUNTIFS(mapping!$B:$B,AY$2,mapping!$D:$D,$B69)&gt;0,"X","")</f>
        <v/>
      </c>
      <c r="AZ69" s="114" t="str">
        <f>IF(COUNTIFS(mapping!$B:$B,AZ$2,mapping!$D:$D,$B69)&gt;0,"X","")</f>
        <v/>
      </c>
      <c r="BA69" s="114" t="str">
        <f>IF(COUNTIFS(mapping!$B:$B,BA$2,mapping!$D:$D,$B69)&gt;0,"X","")</f>
        <v/>
      </c>
      <c r="BB69" s="114" t="str">
        <f>IF(COUNTIFS(mapping!$B:$B,BB$2,mapping!$D:$D,$B69)&gt;0,"X","")</f>
        <v/>
      </c>
      <c r="BC69" s="114" t="str">
        <f>IF(COUNTIFS(mapping!$B:$B,BC$2,mapping!$D:$D,$B69)&gt;0,"X","")</f>
        <v/>
      </c>
      <c r="BD69" s="114" t="str">
        <f>IF(COUNTIFS(mapping!$B:$B,BD$2,mapping!$D:$D,$B69)&gt;0,"X","")</f>
        <v/>
      </c>
      <c r="BE69" s="114" t="str">
        <f>IF(COUNTIFS(mapping!$B:$B,BE$2,mapping!$D:$D,$B69)&gt;0,"X","")</f>
        <v/>
      </c>
      <c r="BF69" s="114" t="str">
        <f>IF(COUNTIFS(mapping!$B:$B,BF$2,mapping!$D:$D,$B69)&gt;0,"X","")</f>
        <v/>
      </c>
      <c r="BG69" s="114" t="str">
        <f>IF(COUNTIFS(mapping!$B:$B,BG$2,mapping!$D:$D,$B69)&gt;0,"X","")</f>
        <v/>
      </c>
      <c r="BH69" s="114" t="str">
        <f>IF(COUNTIFS(mapping!$B:$B,BH$2,mapping!$D:$D,$B69)&gt;0,"X","")</f>
        <v/>
      </c>
      <c r="BI69" s="114" t="str">
        <f>IF(COUNTIFS(mapping!$B:$B,BI$2,mapping!$D:$D,$B69)&gt;0,"X","")</f>
        <v/>
      </c>
      <c r="BJ69" s="114" t="str">
        <f>IF(COUNTIFS(mapping!$B:$B,BJ$2,mapping!$D:$D,$B69)&gt;0,"X","")</f>
        <v/>
      </c>
      <c r="BK69" s="114" t="str">
        <f>IF(COUNTIFS(mapping!$B:$B,BK$2,mapping!$D:$D,$B69)&gt;0,"X","")</f>
        <v>X</v>
      </c>
      <c r="BL69" s="114" t="str">
        <f>IF(COUNTIFS(mapping!$B:$B,BL$2,mapping!$D:$D,$B69)&gt;0,"X","")</f>
        <v/>
      </c>
      <c r="BM69" s="114" t="str">
        <f>IF(COUNTIFS(mapping!$B:$B,BM$2,mapping!$D:$D,$B69)&gt;0,"X","")</f>
        <v/>
      </c>
      <c r="BN69" s="114" t="str">
        <f>IF(COUNTIFS(mapping!$B:$B,BN$2,mapping!$D:$D,$B69)&gt;0,"X","")</f>
        <v/>
      </c>
      <c r="BO69" s="114" t="str">
        <f>IF(COUNTIFS(mapping!$B:$B,BO$2,mapping!$D:$D,$B69)&gt;0,"X","")</f>
        <v/>
      </c>
      <c r="BP69" s="114" t="str">
        <f>IF(COUNTIFS(mapping!$B:$B,BP$2,mapping!$D:$D,$B69)&gt;0,"X","")</f>
        <v/>
      </c>
      <c r="BQ69" s="114" t="str">
        <f>IF(COUNTIFS(mapping!$B:$B,BQ$2,mapping!$D:$D,$B69)&gt;0,"X","")</f>
        <v/>
      </c>
      <c r="BR69" s="114" t="str">
        <f>IF(COUNTIFS(mapping!$B:$B,BR$2,mapping!$D:$D,$B69)&gt;0,"X","")</f>
        <v/>
      </c>
      <c r="BS69" s="114" t="str">
        <f>IF(COUNTIFS(mapping!$B:$B,BS$2,mapping!$D:$D,$B69)&gt;0,"X","")</f>
        <v/>
      </c>
      <c r="BT69" s="114" t="str">
        <f>IF(COUNTIFS(mapping!$B:$B,BT$2,mapping!$D:$D,$B69)&gt;0,"X","")</f>
        <v/>
      </c>
      <c r="BU69" s="114" t="str">
        <f>IF(COUNTIFS(mapping!$B:$B,BU$2,mapping!$D:$D,$B69)&gt;0,"X","")</f>
        <v/>
      </c>
      <c r="BV69" s="114" t="str">
        <f>IF(COUNTIFS(mapping!$B:$B,BV$2,mapping!$D:$D,$B69)&gt;0,"X","")</f>
        <v/>
      </c>
      <c r="BW69" s="114" t="str">
        <f>IF(COUNTIFS(mapping!$B:$B,BW$2,mapping!$D:$D,$B69)&gt;0,"X","")</f>
        <v>X</v>
      </c>
      <c r="BX69" s="114" t="str">
        <f>IF(COUNTIFS(mapping!$B:$B,BX$2,mapping!$D:$D,$B69)&gt;0,"X","")</f>
        <v/>
      </c>
      <c r="BY69" s="114" t="str">
        <f>IF(COUNTIFS(mapping!$B:$B,BY$2,mapping!$D:$D,$B69)&gt;0,"X","")</f>
        <v/>
      </c>
      <c r="BZ69" s="114" t="str">
        <f>IF(COUNTIFS(mapping!$B:$B,BZ$2,mapping!$D:$D,$B69)&gt;0,"X","")</f>
        <v/>
      </c>
      <c r="CA69" s="114" t="str">
        <f>IF(COUNTIFS(mapping!$B:$B,CA$2,mapping!$D:$D,$B69)&gt;0,"X","")</f>
        <v/>
      </c>
      <c r="CB69" s="114" t="str">
        <f>IF(COUNTIFS(mapping!$B:$B,CB$2,mapping!$D:$D,$B69)&gt;0,"X","")</f>
        <v/>
      </c>
      <c r="CC69" s="114" t="str">
        <f>IF(COUNTIFS(mapping!$B:$B,CC$2,mapping!$D:$D,$B69)&gt;0,"X","")</f>
        <v/>
      </c>
      <c r="CD69" s="114" t="str">
        <f>IF(COUNTIFS(mapping!$B:$B,CD$2,mapping!$D:$D,$B69)&gt;0,"X","")</f>
        <v/>
      </c>
      <c r="CE69" s="114" t="str">
        <f>IF(COUNTIFS(mapping!$B:$B,CE$2,mapping!$D:$D,$B69)&gt;0,"X","")</f>
        <v/>
      </c>
      <c r="CF69" s="114" t="str">
        <f>IF(COUNTIFS(mapping!$B:$B,CF$2,mapping!$D:$D,$B69)&gt;0,"X","")</f>
        <v/>
      </c>
      <c r="CG69" s="114" t="str">
        <f>IF(COUNTIFS(mapping!$B:$B,CG$2,mapping!$D:$D,$B69)&gt;0,"X","")</f>
        <v/>
      </c>
      <c r="CH69" s="114" t="str">
        <f>IF(COUNTIFS(mapping!$B:$B,CH$2,mapping!$D:$D,$B69)&gt;0,"X","")</f>
        <v/>
      </c>
    </row>
    <row r="70" spans="1:86" ht="16">
      <c r="A70" s="258"/>
      <c r="B70" s="122" t="s">
        <v>397</v>
      </c>
      <c r="C70" s="122" t="s">
        <v>396</v>
      </c>
      <c r="E70" s="114" t="str">
        <f>IF(COUNTIFS(mapping!$B:$B,E$2,mapping!$D:$D,$B70)&gt;0,"X","")</f>
        <v/>
      </c>
      <c r="F70" s="114" t="str">
        <f>IF(COUNTIFS(mapping!$B:$B,F$2,mapping!$D:$D,$B70)&gt;0,"X","")</f>
        <v/>
      </c>
      <c r="G70" s="114" t="str">
        <f>IF(COUNTIFS(mapping!$B:$B,G$2,mapping!$D:$D,$B70)&gt;0,"X","")</f>
        <v/>
      </c>
      <c r="H70" s="114" t="str">
        <f>IF(COUNTIFS(mapping!$B:$B,H$2,mapping!$D:$D,$B70)&gt;0,"X","")</f>
        <v/>
      </c>
      <c r="I70" s="114" t="str">
        <f>IF(COUNTIFS(mapping!$B:$B,I$2,mapping!$D:$D,$B70)&gt;0,"X","")</f>
        <v/>
      </c>
      <c r="J70" s="114" t="str">
        <f>IF(COUNTIFS(mapping!$B:$B,J$2,mapping!$D:$D,$B70)&gt;0,"X","")</f>
        <v/>
      </c>
      <c r="K70" s="114" t="str">
        <f>IF(COUNTIFS(mapping!$B:$B,K$2,mapping!$D:$D,$B70)&gt;0,"X","")</f>
        <v/>
      </c>
      <c r="L70" s="114" t="str">
        <f>IF(COUNTIFS(mapping!$B:$B,L$2,mapping!$D:$D,$B70)&gt;0,"X","")</f>
        <v/>
      </c>
      <c r="M70" s="114" t="str">
        <f>IF(COUNTIFS(mapping!$B:$B,M$2,mapping!$D:$D,$B70)&gt;0,"X","")</f>
        <v/>
      </c>
      <c r="N70" s="114" t="str">
        <f>IF(COUNTIFS(mapping!$B:$B,N$2,mapping!$D:$D,$B70)&gt;0,"X","")</f>
        <v/>
      </c>
      <c r="O70" s="114" t="str">
        <f>IF(COUNTIFS(mapping!$B:$B,O$2,mapping!$D:$D,$B70)&gt;0,"X","")</f>
        <v/>
      </c>
      <c r="P70" s="114" t="str">
        <f>IF(COUNTIFS(mapping!$B:$B,P$2,mapping!$D:$D,$B70)&gt;0,"X","")</f>
        <v/>
      </c>
      <c r="Q70" s="114" t="str">
        <f>IF(COUNTIFS(mapping!$B:$B,Q$2,mapping!$D:$D,$B70)&gt;0,"X","")</f>
        <v/>
      </c>
      <c r="R70" s="114" t="str">
        <f>IF(COUNTIFS(mapping!$B:$B,R$2,mapping!$D:$D,$B70)&gt;0,"X","")</f>
        <v/>
      </c>
      <c r="S70" s="114" t="str">
        <f>IF(COUNTIFS(mapping!$B:$B,S$2,mapping!$D:$D,$B70)&gt;0,"X","")</f>
        <v/>
      </c>
      <c r="T70" s="114" t="str">
        <f>IF(COUNTIFS(mapping!$B:$B,T$2,mapping!$D:$D,$B70)&gt;0,"X","")</f>
        <v/>
      </c>
      <c r="U70" s="114" t="str">
        <f>IF(COUNTIFS(mapping!$B:$B,U$2,mapping!$D:$D,$B70)&gt;0,"X","")</f>
        <v/>
      </c>
      <c r="V70" s="114" t="str">
        <f>IF(COUNTIFS(mapping!$B:$B,V$2,mapping!$D:$D,$B70)&gt;0,"X","")</f>
        <v/>
      </c>
      <c r="W70" s="114" t="str">
        <f>IF(COUNTIFS(mapping!$B:$B,W$2,mapping!$D:$D,$B70)&gt;0,"X","")</f>
        <v/>
      </c>
      <c r="X70" s="114" t="str">
        <f>IF(COUNTIFS(mapping!$B:$B,X$2,mapping!$D:$D,$B70)&gt;0,"X","")</f>
        <v/>
      </c>
      <c r="Y70" s="114" t="str">
        <f>IF(COUNTIFS(mapping!$B:$B,Y$2,mapping!$D:$D,$B70)&gt;0,"X","")</f>
        <v/>
      </c>
      <c r="Z70" s="114" t="str">
        <f>IF(COUNTIFS(mapping!$B:$B,Z$2,mapping!$D:$D,$B70)&gt;0,"X","")</f>
        <v/>
      </c>
      <c r="AA70" s="114" t="str">
        <f>IF(COUNTIFS(mapping!$B:$B,AA$2,mapping!$D:$D,$B70)&gt;0,"X","")</f>
        <v/>
      </c>
      <c r="AB70" s="114" t="str">
        <f>IF(COUNTIFS(mapping!$B:$B,AB$2,mapping!$D:$D,$B70)&gt;0,"X","")</f>
        <v/>
      </c>
      <c r="AC70" s="114" t="str">
        <f>IF(COUNTIFS(mapping!$B:$B,AC$2,mapping!$D:$D,$B70)&gt;0,"X","")</f>
        <v/>
      </c>
      <c r="AD70" s="114" t="str">
        <f>IF(COUNTIFS(mapping!$B:$B,AD$2,mapping!$D:$D,$B70)&gt;0,"X","")</f>
        <v/>
      </c>
      <c r="AE70" s="114" t="str">
        <f>IF(COUNTIFS(mapping!$B:$B,AE$2,mapping!$D:$D,$B70)&gt;0,"X","")</f>
        <v/>
      </c>
      <c r="AF70" s="114" t="str">
        <f>IF(COUNTIFS(mapping!$B:$B,AF$2,mapping!$D:$D,$B70)&gt;0,"X","")</f>
        <v/>
      </c>
      <c r="AG70" s="114" t="str">
        <f>IF(COUNTIFS(mapping!$B:$B,AG$2,mapping!$D:$D,$B70)&gt;0,"X","")</f>
        <v/>
      </c>
      <c r="AH70" s="114" t="str">
        <f>IF(COUNTIFS(mapping!$B:$B,AH$2,mapping!$D:$D,$B70)&gt;0,"X","")</f>
        <v/>
      </c>
      <c r="AI70" s="114" t="str">
        <f>IF(COUNTIFS(mapping!$B:$B,AI$2,mapping!$D:$D,$B70)&gt;0,"X","")</f>
        <v/>
      </c>
      <c r="AJ70" s="114" t="str">
        <f>IF(COUNTIFS(mapping!$B:$B,AJ$2,mapping!$D:$D,$B70)&gt;0,"X","")</f>
        <v/>
      </c>
      <c r="AK70" s="114" t="str">
        <f>IF(COUNTIFS(mapping!$B:$B,AK$2,mapping!$D:$D,$B70)&gt;0,"X","")</f>
        <v/>
      </c>
      <c r="AL70" s="114" t="str">
        <f>IF(COUNTIFS(mapping!$B:$B,AL$2,mapping!$D:$D,$B70)&gt;0,"X","")</f>
        <v/>
      </c>
      <c r="AM70" s="114" t="str">
        <f>IF(COUNTIFS(mapping!$B:$B,AM$2,mapping!$D:$D,$B70)&gt;0,"X","")</f>
        <v/>
      </c>
      <c r="AN70" s="114" t="str">
        <f>IF(COUNTIFS(mapping!$B:$B,AN$2,mapping!$D:$D,$B70)&gt;0,"X","")</f>
        <v/>
      </c>
      <c r="AO70" s="114" t="str">
        <f>IF(COUNTIFS(mapping!$B:$B,AO$2,mapping!$D:$D,$B70)&gt;0,"X","")</f>
        <v/>
      </c>
      <c r="AP70" s="114" t="str">
        <f>IF(COUNTIFS(mapping!$B:$B,AP$2,mapping!$D:$D,$B70)&gt;0,"X","")</f>
        <v/>
      </c>
      <c r="AQ70" s="114" t="str">
        <f>IF(COUNTIFS(mapping!$B:$B,AQ$2,mapping!$D:$D,$B70)&gt;0,"X","")</f>
        <v/>
      </c>
      <c r="AR70" s="114" t="str">
        <f>IF(COUNTIFS(mapping!$B:$B,AR$2,mapping!$D:$D,$B70)&gt;0,"X","")</f>
        <v/>
      </c>
      <c r="AS70" s="114" t="str">
        <f>IF(COUNTIFS(mapping!$B:$B,AS$2,mapping!$D:$D,$B70)&gt;0,"X","")</f>
        <v/>
      </c>
      <c r="AT70" s="114" t="str">
        <f>IF(COUNTIFS(mapping!$B:$B,AT$2,mapping!$D:$D,$B70)&gt;0,"X","")</f>
        <v/>
      </c>
      <c r="AU70" s="114" t="str">
        <f>IF(COUNTIFS(mapping!$B:$B,AU$2,mapping!$D:$D,$B70)&gt;0,"X","")</f>
        <v/>
      </c>
      <c r="AV70" s="114" t="str">
        <f>IF(COUNTIFS(mapping!$B:$B,AV$2,mapping!$D:$D,$B70)&gt;0,"X","")</f>
        <v/>
      </c>
      <c r="AW70" s="114" t="str">
        <f>IF(COUNTIFS(mapping!$B:$B,AW$2,mapping!$D:$D,$B70)&gt;0,"X","")</f>
        <v/>
      </c>
      <c r="AX70" s="114" t="str">
        <f>IF(COUNTIFS(mapping!$B:$B,AX$2,mapping!$D:$D,$B70)&gt;0,"X","")</f>
        <v/>
      </c>
      <c r="AY70" s="114" t="str">
        <f>IF(COUNTIFS(mapping!$B:$B,AY$2,mapping!$D:$D,$B70)&gt;0,"X","")</f>
        <v/>
      </c>
      <c r="AZ70" s="114" t="str">
        <f>IF(COUNTIFS(mapping!$B:$B,AZ$2,mapping!$D:$D,$B70)&gt;0,"X","")</f>
        <v/>
      </c>
      <c r="BA70" s="114" t="str">
        <f>IF(COUNTIFS(mapping!$B:$B,BA$2,mapping!$D:$D,$B70)&gt;0,"X","")</f>
        <v/>
      </c>
      <c r="BB70" s="114" t="str">
        <f>IF(COUNTIFS(mapping!$B:$B,BB$2,mapping!$D:$D,$B70)&gt;0,"X","")</f>
        <v/>
      </c>
      <c r="BC70" s="114" t="str">
        <f>IF(COUNTIFS(mapping!$B:$B,BC$2,mapping!$D:$D,$B70)&gt;0,"X","")</f>
        <v/>
      </c>
      <c r="BD70" s="114" t="str">
        <f>IF(COUNTIFS(mapping!$B:$B,BD$2,mapping!$D:$D,$B70)&gt;0,"X","")</f>
        <v/>
      </c>
      <c r="BE70" s="114" t="str">
        <f>IF(COUNTIFS(mapping!$B:$B,BE$2,mapping!$D:$D,$B70)&gt;0,"X","")</f>
        <v/>
      </c>
      <c r="BF70" s="114" t="str">
        <f>IF(COUNTIFS(mapping!$B:$B,BF$2,mapping!$D:$D,$B70)&gt;0,"X","")</f>
        <v/>
      </c>
      <c r="BG70" s="114" t="str">
        <f>IF(COUNTIFS(mapping!$B:$B,BG$2,mapping!$D:$D,$B70)&gt;0,"X","")</f>
        <v/>
      </c>
      <c r="BH70" s="114" t="str">
        <f>IF(COUNTIFS(mapping!$B:$B,BH$2,mapping!$D:$D,$B70)&gt;0,"X","")</f>
        <v/>
      </c>
      <c r="BI70" s="114" t="str">
        <f>IF(COUNTIFS(mapping!$B:$B,BI$2,mapping!$D:$D,$B70)&gt;0,"X","")</f>
        <v/>
      </c>
      <c r="BJ70" s="114" t="str">
        <f>IF(COUNTIFS(mapping!$B:$B,BJ$2,mapping!$D:$D,$B70)&gt;0,"X","")</f>
        <v/>
      </c>
      <c r="BK70" s="114" t="str">
        <f>IF(COUNTIFS(mapping!$B:$B,BK$2,mapping!$D:$D,$B70)&gt;0,"X","")</f>
        <v>X</v>
      </c>
      <c r="BL70" s="114" t="str">
        <f>IF(COUNTIFS(mapping!$B:$B,BL$2,mapping!$D:$D,$B70)&gt;0,"X","")</f>
        <v/>
      </c>
      <c r="BM70" s="114" t="str">
        <f>IF(COUNTIFS(mapping!$B:$B,BM$2,mapping!$D:$D,$B70)&gt;0,"X","")</f>
        <v/>
      </c>
      <c r="BN70" s="114" t="str">
        <f>IF(COUNTIFS(mapping!$B:$B,BN$2,mapping!$D:$D,$B70)&gt;0,"X","")</f>
        <v/>
      </c>
      <c r="BO70" s="114" t="str">
        <f>IF(COUNTIFS(mapping!$B:$B,BO$2,mapping!$D:$D,$B70)&gt;0,"X","")</f>
        <v/>
      </c>
      <c r="BP70" s="114" t="str">
        <f>IF(COUNTIFS(mapping!$B:$B,BP$2,mapping!$D:$D,$B70)&gt;0,"X","")</f>
        <v/>
      </c>
      <c r="BQ70" s="114" t="str">
        <f>IF(COUNTIFS(mapping!$B:$B,BQ$2,mapping!$D:$D,$B70)&gt;0,"X","")</f>
        <v/>
      </c>
      <c r="BR70" s="114" t="str">
        <f>IF(COUNTIFS(mapping!$B:$B,BR$2,mapping!$D:$D,$B70)&gt;0,"X","")</f>
        <v/>
      </c>
      <c r="BS70" s="114" t="str">
        <f>IF(COUNTIFS(mapping!$B:$B,BS$2,mapping!$D:$D,$B70)&gt;0,"X","")</f>
        <v/>
      </c>
      <c r="BT70" s="114" t="str">
        <f>IF(COUNTIFS(mapping!$B:$B,BT$2,mapping!$D:$D,$B70)&gt;0,"X","")</f>
        <v/>
      </c>
      <c r="BU70" s="114" t="str">
        <f>IF(COUNTIFS(mapping!$B:$B,BU$2,mapping!$D:$D,$B70)&gt;0,"X","")</f>
        <v/>
      </c>
      <c r="BV70" s="114" t="str">
        <f>IF(COUNTIFS(mapping!$B:$B,BV$2,mapping!$D:$D,$B70)&gt;0,"X","")</f>
        <v/>
      </c>
      <c r="BW70" s="114" t="str">
        <f>IF(COUNTIFS(mapping!$B:$B,BW$2,mapping!$D:$D,$B70)&gt;0,"X","")</f>
        <v>X</v>
      </c>
      <c r="BX70" s="114" t="str">
        <f>IF(COUNTIFS(mapping!$B:$B,BX$2,mapping!$D:$D,$B70)&gt;0,"X","")</f>
        <v/>
      </c>
      <c r="BY70" s="114" t="str">
        <f>IF(COUNTIFS(mapping!$B:$B,BY$2,mapping!$D:$D,$B70)&gt;0,"X","")</f>
        <v/>
      </c>
      <c r="BZ70" s="114" t="str">
        <f>IF(COUNTIFS(mapping!$B:$B,BZ$2,mapping!$D:$D,$B70)&gt;0,"X","")</f>
        <v/>
      </c>
      <c r="CA70" s="114" t="str">
        <f>IF(COUNTIFS(mapping!$B:$B,CA$2,mapping!$D:$D,$B70)&gt;0,"X","")</f>
        <v/>
      </c>
      <c r="CB70" s="114" t="str">
        <f>IF(COUNTIFS(mapping!$B:$B,CB$2,mapping!$D:$D,$B70)&gt;0,"X","")</f>
        <v/>
      </c>
      <c r="CC70" s="114" t="str">
        <f>IF(COUNTIFS(mapping!$B:$B,CC$2,mapping!$D:$D,$B70)&gt;0,"X","")</f>
        <v/>
      </c>
      <c r="CD70" s="114" t="str">
        <f>IF(COUNTIFS(mapping!$B:$B,CD$2,mapping!$D:$D,$B70)&gt;0,"X","")</f>
        <v/>
      </c>
      <c r="CE70" s="114" t="str">
        <f>IF(COUNTIFS(mapping!$B:$B,CE$2,mapping!$D:$D,$B70)&gt;0,"X","")</f>
        <v/>
      </c>
      <c r="CF70" s="114" t="str">
        <f>IF(COUNTIFS(mapping!$B:$B,CF$2,mapping!$D:$D,$B70)&gt;0,"X","")</f>
        <v/>
      </c>
      <c r="CG70" s="114" t="str">
        <f>IF(COUNTIFS(mapping!$B:$B,CG$2,mapping!$D:$D,$B70)&gt;0,"X","")</f>
        <v/>
      </c>
      <c r="CH70" s="114" t="str">
        <f>IF(COUNTIFS(mapping!$B:$B,CH$2,mapping!$D:$D,$B70)&gt;0,"X","")</f>
        <v/>
      </c>
    </row>
    <row r="71" spans="1:86" ht="16">
      <c r="A71" s="258"/>
      <c r="B71" s="122" t="s">
        <v>395</v>
      </c>
      <c r="C71" s="122" t="s">
        <v>394</v>
      </c>
      <c r="E71" s="114" t="str">
        <f>IF(COUNTIFS(mapping!$B:$B,E$2,mapping!$D:$D,$B71)&gt;0,"X","")</f>
        <v/>
      </c>
      <c r="F71" s="114" t="str">
        <f>IF(COUNTIFS(mapping!$B:$B,F$2,mapping!$D:$D,$B71)&gt;0,"X","")</f>
        <v>X</v>
      </c>
      <c r="G71" s="114" t="str">
        <f>IF(COUNTIFS(mapping!$B:$B,G$2,mapping!$D:$D,$B71)&gt;0,"X","")</f>
        <v>X</v>
      </c>
      <c r="H71" s="114" t="str">
        <f>IF(COUNTIFS(mapping!$B:$B,H$2,mapping!$D:$D,$B71)&gt;0,"X","")</f>
        <v/>
      </c>
      <c r="I71" s="114" t="str">
        <f>IF(COUNTIFS(mapping!$B:$B,I$2,mapping!$D:$D,$B71)&gt;0,"X","")</f>
        <v>X</v>
      </c>
      <c r="J71" s="114" t="str">
        <f>IF(COUNTIFS(mapping!$B:$B,J$2,mapping!$D:$D,$B71)&gt;0,"X","")</f>
        <v/>
      </c>
      <c r="K71" s="114" t="str">
        <f>IF(COUNTIFS(mapping!$B:$B,K$2,mapping!$D:$D,$B71)&gt;0,"X","")</f>
        <v/>
      </c>
      <c r="L71" s="114" t="str">
        <f>IF(COUNTIFS(mapping!$B:$B,L$2,mapping!$D:$D,$B71)&gt;0,"X","")</f>
        <v/>
      </c>
      <c r="M71" s="114" t="str">
        <f>IF(COUNTIFS(mapping!$B:$B,M$2,mapping!$D:$D,$B71)&gt;0,"X","")</f>
        <v>X</v>
      </c>
      <c r="N71" s="114" t="str">
        <f>IF(COUNTIFS(mapping!$B:$B,N$2,mapping!$D:$D,$B71)&gt;0,"X","")</f>
        <v/>
      </c>
      <c r="O71" s="114" t="str">
        <f>IF(COUNTIFS(mapping!$B:$B,O$2,mapping!$D:$D,$B71)&gt;0,"X","")</f>
        <v/>
      </c>
      <c r="P71" s="114" t="str">
        <f>IF(COUNTIFS(mapping!$B:$B,P$2,mapping!$D:$D,$B71)&gt;0,"X","")</f>
        <v/>
      </c>
      <c r="Q71" s="114" t="str">
        <f>IF(COUNTIFS(mapping!$B:$B,Q$2,mapping!$D:$D,$B71)&gt;0,"X","")</f>
        <v/>
      </c>
      <c r="R71" s="114" t="str">
        <f>IF(COUNTIFS(mapping!$B:$B,R$2,mapping!$D:$D,$B71)&gt;0,"X","")</f>
        <v/>
      </c>
      <c r="S71" s="114" t="str">
        <f>IF(COUNTIFS(mapping!$B:$B,S$2,mapping!$D:$D,$B71)&gt;0,"X","")</f>
        <v/>
      </c>
      <c r="T71" s="114" t="str">
        <f>IF(COUNTIFS(mapping!$B:$B,T$2,mapping!$D:$D,$B71)&gt;0,"X","")</f>
        <v/>
      </c>
      <c r="U71" s="114" t="str">
        <f>IF(COUNTIFS(mapping!$B:$B,U$2,mapping!$D:$D,$B71)&gt;0,"X","")</f>
        <v/>
      </c>
      <c r="V71" s="114" t="str">
        <f>IF(COUNTIFS(mapping!$B:$B,V$2,mapping!$D:$D,$B71)&gt;0,"X","")</f>
        <v/>
      </c>
      <c r="W71" s="114" t="str">
        <f>IF(COUNTIFS(mapping!$B:$B,W$2,mapping!$D:$D,$B71)&gt;0,"X","")</f>
        <v/>
      </c>
      <c r="X71" s="114" t="str">
        <f>IF(COUNTIFS(mapping!$B:$B,X$2,mapping!$D:$D,$B71)&gt;0,"X","")</f>
        <v/>
      </c>
      <c r="Y71" s="114" t="str">
        <f>IF(COUNTIFS(mapping!$B:$B,Y$2,mapping!$D:$D,$B71)&gt;0,"X","")</f>
        <v/>
      </c>
      <c r="Z71" s="114" t="str">
        <f>IF(COUNTIFS(mapping!$B:$B,Z$2,mapping!$D:$D,$B71)&gt;0,"X","")</f>
        <v/>
      </c>
      <c r="AA71" s="114" t="str">
        <f>IF(COUNTIFS(mapping!$B:$B,AA$2,mapping!$D:$D,$B71)&gt;0,"X","")</f>
        <v/>
      </c>
      <c r="AB71" s="114" t="str">
        <f>IF(COUNTIFS(mapping!$B:$B,AB$2,mapping!$D:$D,$B71)&gt;0,"X","")</f>
        <v/>
      </c>
      <c r="AC71" s="114" t="str">
        <f>IF(COUNTIFS(mapping!$B:$B,AC$2,mapping!$D:$D,$B71)&gt;0,"X","")</f>
        <v/>
      </c>
      <c r="AD71" s="114" t="str">
        <f>IF(COUNTIFS(mapping!$B:$B,AD$2,mapping!$D:$D,$B71)&gt;0,"X","")</f>
        <v/>
      </c>
      <c r="AE71" s="114" t="str">
        <f>IF(COUNTIFS(mapping!$B:$B,AE$2,mapping!$D:$D,$B71)&gt;0,"X","")</f>
        <v/>
      </c>
      <c r="AF71" s="114" t="str">
        <f>IF(COUNTIFS(mapping!$B:$B,AF$2,mapping!$D:$D,$B71)&gt;0,"X","")</f>
        <v/>
      </c>
      <c r="AG71" s="114" t="str">
        <f>IF(COUNTIFS(mapping!$B:$B,AG$2,mapping!$D:$D,$B71)&gt;0,"X","")</f>
        <v>X</v>
      </c>
      <c r="AH71" s="114" t="str">
        <f>IF(COUNTIFS(mapping!$B:$B,AH$2,mapping!$D:$D,$B71)&gt;0,"X","")</f>
        <v/>
      </c>
      <c r="AI71" s="114" t="str">
        <f>IF(COUNTIFS(mapping!$B:$B,AI$2,mapping!$D:$D,$B71)&gt;0,"X","")</f>
        <v/>
      </c>
      <c r="AJ71" s="114" t="str">
        <f>IF(COUNTIFS(mapping!$B:$B,AJ$2,mapping!$D:$D,$B71)&gt;0,"X","")</f>
        <v/>
      </c>
      <c r="AK71" s="114" t="str">
        <f>IF(COUNTIFS(mapping!$B:$B,AK$2,mapping!$D:$D,$B71)&gt;0,"X","")</f>
        <v/>
      </c>
      <c r="AL71" s="114" t="str">
        <f>IF(COUNTIFS(mapping!$B:$B,AL$2,mapping!$D:$D,$B71)&gt;0,"X","")</f>
        <v/>
      </c>
      <c r="AM71" s="114" t="str">
        <f>IF(COUNTIFS(mapping!$B:$B,AM$2,mapping!$D:$D,$B71)&gt;0,"X","")</f>
        <v/>
      </c>
      <c r="AN71" s="114" t="str">
        <f>IF(COUNTIFS(mapping!$B:$B,AN$2,mapping!$D:$D,$B71)&gt;0,"X","")</f>
        <v/>
      </c>
      <c r="AO71" s="114" t="str">
        <f>IF(COUNTIFS(mapping!$B:$B,AO$2,mapping!$D:$D,$B71)&gt;0,"X","")</f>
        <v/>
      </c>
      <c r="AP71" s="114" t="str">
        <f>IF(COUNTIFS(mapping!$B:$B,AP$2,mapping!$D:$D,$B71)&gt;0,"X","")</f>
        <v/>
      </c>
      <c r="AQ71" s="114" t="str">
        <f>IF(COUNTIFS(mapping!$B:$B,AQ$2,mapping!$D:$D,$B71)&gt;0,"X","")</f>
        <v/>
      </c>
      <c r="AR71" s="114" t="str">
        <f>IF(COUNTIFS(mapping!$B:$B,AR$2,mapping!$D:$D,$B71)&gt;0,"X","")</f>
        <v/>
      </c>
      <c r="AS71" s="114" t="str">
        <f>IF(COUNTIFS(mapping!$B:$B,AS$2,mapping!$D:$D,$B71)&gt;0,"X","")</f>
        <v/>
      </c>
      <c r="AT71" s="114" t="str">
        <f>IF(COUNTIFS(mapping!$B:$B,AT$2,mapping!$D:$D,$B71)&gt;0,"X","")</f>
        <v/>
      </c>
      <c r="AU71" s="114" t="str">
        <f>IF(COUNTIFS(mapping!$B:$B,AU$2,mapping!$D:$D,$B71)&gt;0,"X","")</f>
        <v/>
      </c>
      <c r="AV71" s="114" t="str">
        <f>IF(COUNTIFS(mapping!$B:$B,AV$2,mapping!$D:$D,$B71)&gt;0,"X","")</f>
        <v/>
      </c>
      <c r="AW71" s="114" t="str">
        <f>IF(COUNTIFS(mapping!$B:$B,AW$2,mapping!$D:$D,$B71)&gt;0,"X","")</f>
        <v/>
      </c>
      <c r="AX71" s="114" t="str">
        <f>IF(COUNTIFS(mapping!$B:$B,AX$2,mapping!$D:$D,$B71)&gt;0,"X","")</f>
        <v/>
      </c>
      <c r="AY71" s="114" t="str">
        <f>IF(COUNTIFS(mapping!$B:$B,AY$2,mapping!$D:$D,$B71)&gt;0,"X","")</f>
        <v/>
      </c>
      <c r="AZ71" s="114" t="str">
        <f>IF(COUNTIFS(mapping!$B:$B,AZ$2,mapping!$D:$D,$B71)&gt;0,"X","")</f>
        <v/>
      </c>
      <c r="BA71" s="114" t="str">
        <f>IF(COUNTIFS(mapping!$B:$B,BA$2,mapping!$D:$D,$B71)&gt;0,"X","")</f>
        <v/>
      </c>
      <c r="BB71" s="114" t="str">
        <f>IF(COUNTIFS(mapping!$B:$B,BB$2,mapping!$D:$D,$B71)&gt;0,"X","")</f>
        <v/>
      </c>
      <c r="BC71" s="114" t="str">
        <f>IF(COUNTIFS(mapping!$B:$B,BC$2,mapping!$D:$D,$B71)&gt;0,"X","")</f>
        <v/>
      </c>
      <c r="BD71" s="114" t="str">
        <f>IF(COUNTIFS(mapping!$B:$B,BD$2,mapping!$D:$D,$B71)&gt;0,"X","")</f>
        <v/>
      </c>
      <c r="BE71" s="114" t="str">
        <f>IF(COUNTIFS(mapping!$B:$B,BE$2,mapping!$D:$D,$B71)&gt;0,"X","")</f>
        <v/>
      </c>
      <c r="BF71" s="114" t="str">
        <f>IF(COUNTIFS(mapping!$B:$B,BF$2,mapping!$D:$D,$B71)&gt;0,"X","")</f>
        <v/>
      </c>
      <c r="BG71" s="114" t="str">
        <f>IF(COUNTIFS(mapping!$B:$B,BG$2,mapping!$D:$D,$B71)&gt;0,"X","")</f>
        <v>X</v>
      </c>
      <c r="BH71" s="114" t="str">
        <f>IF(COUNTIFS(mapping!$B:$B,BH$2,mapping!$D:$D,$B71)&gt;0,"X","")</f>
        <v/>
      </c>
      <c r="BI71" s="114" t="str">
        <f>IF(COUNTIFS(mapping!$B:$B,BI$2,mapping!$D:$D,$B71)&gt;0,"X","")</f>
        <v/>
      </c>
      <c r="BJ71" s="114" t="str">
        <f>IF(COUNTIFS(mapping!$B:$B,BJ$2,mapping!$D:$D,$B71)&gt;0,"X","")</f>
        <v/>
      </c>
      <c r="BK71" s="114" t="str">
        <f>IF(COUNTIFS(mapping!$B:$B,BK$2,mapping!$D:$D,$B71)&gt;0,"X","")</f>
        <v/>
      </c>
      <c r="BL71" s="114" t="str">
        <f>IF(COUNTIFS(mapping!$B:$B,BL$2,mapping!$D:$D,$B71)&gt;0,"X","")</f>
        <v>X</v>
      </c>
      <c r="BM71" s="114" t="str">
        <f>IF(COUNTIFS(mapping!$B:$B,BM$2,mapping!$D:$D,$B71)&gt;0,"X","")</f>
        <v>X</v>
      </c>
      <c r="BN71" s="114" t="str">
        <f>IF(COUNTIFS(mapping!$B:$B,BN$2,mapping!$D:$D,$B71)&gt;0,"X","")</f>
        <v/>
      </c>
      <c r="BO71" s="114" t="str">
        <f>IF(COUNTIFS(mapping!$B:$B,BO$2,mapping!$D:$D,$B71)&gt;0,"X","")</f>
        <v/>
      </c>
      <c r="BP71" s="114" t="str">
        <f>IF(COUNTIFS(mapping!$B:$B,BP$2,mapping!$D:$D,$B71)&gt;0,"X","")</f>
        <v/>
      </c>
      <c r="BQ71" s="114" t="str">
        <f>IF(COUNTIFS(mapping!$B:$B,BQ$2,mapping!$D:$D,$B71)&gt;0,"X","")</f>
        <v/>
      </c>
      <c r="BR71" s="114" t="str">
        <f>IF(COUNTIFS(mapping!$B:$B,BR$2,mapping!$D:$D,$B71)&gt;0,"X","")</f>
        <v/>
      </c>
      <c r="BS71" s="114" t="str">
        <f>IF(COUNTIFS(mapping!$B:$B,BS$2,mapping!$D:$D,$B71)&gt;0,"X","")</f>
        <v/>
      </c>
      <c r="BT71" s="114" t="str">
        <f>IF(COUNTIFS(mapping!$B:$B,BT$2,mapping!$D:$D,$B71)&gt;0,"X","")</f>
        <v/>
      </c>
      <c r="BU71" s="114" t="str">
        <f>IF(COUNTIFS(mapping!$B:$B,BU$2,mapping!$D:$D,$B71)&gt;0,"X","")</f>
        <v/>
      </c>
      <c r="BV71" s="114" t="str">
        <f>IF(COUNTIFS(mapping!$B:$B,BV$2,mapping!$D:$D,$B71)&gt;0,"X","")</f>
        <v/>
      </c>
      <c r="BW71" s="114" t="str">
        <f>IF(COUNTIFS(mapping!$B:$B,BW$2,mapping!$D:$D,$B71)&gt;0,"X","")</f>
        <v/>
      </c>
      <c r="BX71" s="114" t="str">
        <f>IF(COUNTIFS(mapping!$B:$B,BX$2,mapping!$D:$D,$B71)&gt;0,"X","")</f>
        <v/>
      </c>
      <c r="BY71" s="114" t="str">
        <f>IF(COUNTIFS(mapping!$B:$B,BY$2,mapping!$D:$D,$B71)&gt;0,"X","")</f>
        <v/>
      </c>
      <c r="BZ71" s="114" t="str">
        <f>IF(COUNTIFS(mapping!$B:$B,BZ$2,mapping!$D:$D,$B71)&gt;0,"X","")</f>
        <v/>
      </c>
      <c r="CA71" s="114" t="str">
        <f>IF(COUNTIFS(mapping!$B:$B,CA$2,mapping!$D:$D,$B71)&gt;0,"X","")</f>
        <v/>
      </c>
      <c r="CB71" s="114" t="str">
        <f>IF(COUNTIFS(mapping!$B:$B,CB$2,mapping!$D:$D,$B71)&gt;0,"X","")</f>
        <v/>
      </c>
      <c r="CC71" s="114" t="str">
        <f>IF(COUNTIFS(mapping!$B:$B,CC$2,mapping!$D:$D,$B71)&gt;0,"X","")</f>
        <v/>
      </c>
      <c r="CD71" s="114" t="str">
        <f>IF(COUNTIFS(mapping!$B:$B,CD$2,mapping!$D:$D,$B71)&gt;0,"X","")</f>
        <v/>
      </c>
      <c r="CE71" s="114" t="str">
        <f>IF(COUNTIFS(mapping!$B:$B,CE$2,mapping!$D:$D,$B71)&gt;0,"X","")</f>
        <v/>
      </c>
      <c r="CF71" s="114" t="str">
        <f>IF(COUNTIFS(mapping!$B:$B,CF$2,mapping!$D:$D,$B71)&gt;0,"X","")</f>
        <v>X</v>
      </c>
      <c r="CG71" s="114" t="str">
        <f>IF(COUNTIFS(mapping!$B:$B,CG$2,mapping!$D:$D,$B71)&gt;0,"X","")</f>
        <v/>
      </c>
      <c r="CH71" s="114" t="str">
        <f>IF(COUNTIFS(mapping!$B:$B,CH$2,mapping!$D:$D,$B71)&gt;0,"X","")</f>
        <v/>
      </c>
    </row>
    <row r="72" spans="1:86" ht="16">
      <c r="A72" s="258"/>
      <c r="B72" s="122" t="s">
        <v>393</v>
      </c>
      <c r="C72" s="122" t="s">
        <v>392</v>
      </c>
      <c r="E72" s="114" t="str">
        <f>IF(COUNTIFS(mapping!$B:$B,E$2,mapping!$D:$D,$B72)&gt;0,"X","")</f>
        <v>X</v>
      </c>
      <c r="F72" s="114" t="str">
        <f>IF(COUNTIFS(mapping!$B:$B,F$2,mapping!$D:$D,$B72)&gt;0,"X","")</f>
        <v/>
      </c>
      <c r="G72" s="114" t="str">
        <f>IF(COUNTIFS(mapping!$B:$B,G$2,mapping!$D:$D,$B72)&gt;0,"X","")</f>
        <v/>
      </c>
      <c r="H72" s="114" t="str">
        <f>IF(COUNTIFS(mapping!$B:$B,H$2,mapping!$D:$D,$B72)&gt;0,"X","")</f>
        <v/>
      </c>
      <c r="I72" s="114" t="str">
        <f>IF(COUNTIFS(mapping!$B:$B,I$2,mapping!$D:$D,$B72)&gt;0,"X","")</f>
        <v/>
      </c>
      <c r="J72" s="114" t="str">
        <f>IF(COUNTIFS(mapping!$B:$B,J$2,mapping!$D:$D,$B72)&gt;0,"X","")</f>
        <v/>
      </c>
      <c r="K72" s="114" t="str">
        <f>IF(COUNTIFS(mapping!$B:$B,K$2,mapping!$D:$D,$B72)&gt;0,"X","")</f>
        <v/>
      </c>
      <c r="L72" s="114" t="str">
        <f>IF(COUNTIFS(mapping!$B:$B,L$2,mapping!$D:$D,$B72)&gt;0,"X","")</f>
        <v/>
      </c>
      <c r="M72" s="114" t="str">
        <f>IF(COUNTIFS(mapping!$B:$B,M$2,mapping!$D:$D,$B72)&gt;0,"X","")</f>
        <v/>
      </c>
      <c r="N72" s="114" t="str">
        <f>IF(COUNTIFS(mapping!$B:$B,N$2,mapping!$D:$D,$B72)&gt;0,"X","")</f>
        <v/>
      </c>
      <c r="O72" s="114" t="str">
        <f>IF(COUNTIFS(mapping!$B:$B,O$2,mapping!$D:$D,$B72)&gt;0,"X","")</f>
        <v>X</v>
      </c>
      <c r="P72" s="114" t="str">
        <f>IF(COUNTIFS(mapping!$B:$B,P$2,mapping!$D:$D,$B72)&gt;0,"X","")</f>
        <v>X</v>
      </c>
      <c r="Q72" s="114" t="str">
        <f>IF(COUNTIFS(mapping!$B:$B,Q$2,mapping!$D:$D,$B72)&gt;0,"X","")</f>
        <v>X</v>
      </c>
      <c r="R72" s="114" t="str">
        <f>IF(COUNTIFS(mapping!$B:$B,R$2,mapping!$D:$D,$B72)&gt;0,"X","")</f>
        <v>X</v>
      </c>
      <c r="S72" s="114" t="str">
        <f>IF(COUNTIFS(mapping!$B:$B,S$2,mapping!$D:$D,$B72)&gt;0,"X","")</f>
        <v/>
      </c>
      <c r="T72" s="114" t="str">
        <f>IF(COUNTIFS(mapping!$B:$B,T$2,mapping!$D:$D,$B72)&gt;0,"X","")</f>
        <v>X</v>
      </c>
      <c r="U72" s="114" t="str">
        <f>IF(COUNTIFS(mapping!$B:$B,U$2,mapping!$D:$D,$B72)&gt;0,"X","")</f>
        <v>X</v>
      </c>
      <c r="V72" s="114" t="str">
        <f>IF(COUNTIFS(mapping!$B:$B,V$2,mapping!$D:$D,$B72)&gt;0,"X","")</f>
        <v>X</v>
      </c>
      <c r="W72" s="114" t="str">
        <f>IF(COUNTIFS(mapping!$B:$B,W$2,mapping!$D:$D,$B72)&gt;0,"X","")</f>
        <v/>
      </c>
      <c r="X72" s="114" t="str">
        <f>IF(COUNTIFS(mapping!$B:$B,X$2,mapping!$D:$D,$B72)&gt;0,"X","")</f>
        <v/>
      </c>
      <c r="Y72" s="114" t="str">
        <f>IF(COUNTIFS(mapping!$B:$B,Y$2,mapping!$D:$D,$B72)&gt;0,"X","")</f>
        <v/>
      </c>
      <c r="Z72" s="114" t="str">
        <f>IF(COUNTIFS(mapping!$B:$B,Z$2,mapping!$D:$D,$B72)&gt;0,"X","")</f>
        <v/>
      </c>
      <c r="AA72" s="114" t="str">
        <f>IF(COUNTIFS(mapping!$B:$B,AA$2,mapping!$D:$D,$B72)&gt;0,"X","")</f>
        <v>X</v>
      </c>
      <c r="AB72" s="114" t="str">
        <f>IF(COUNTIFS(mapping!$B:$B,AB$2,mapping!$D:$D,$B72)&gt;0,"X","")</f>
        <v>X</v>
      </c>
      <c r="AC72" s="114" t="str">
        <f>IF(COUNTIFS(mapping!$B:$B,AC$2,mapping!$D:$D,$B72)&gt;0,"X","")</f>
        <v>X</v>
      </c>
      <c r="AD72" s="114" t="str">
        <f>IF(COUNTIFS(mapping!$B:$B,AD$2,mapping!$D:$D,$B72)&gt;0,"X","")</f>
        <v/>
      </c>
      <c r="AE72" s="114" t="str">
        <f>IF(COUNTIFS(mapping!$B:$B,AE$2,mapping!$D:$D,$B72)&gt;0,"X","")</f>
        <v/>
      </c>
      <c r="AF72" s="114" t="str">
        <f>IF(COUNTIFS(mapping!$B:$B,AF$2,mapping!$D:$D,$B72)&gt;0,"X","")</f>
        <v/>
      </c>
      <c r="AG72" s="114" t="str">
        <f>IF(COUNTIFS(mapping!$B:$B,AG$2,mapping!$D:$D,$B72)&gt;0,"X","")</f>
        <v/>
      </c>
      <c r="AH72" s="114" t="str">
        <f>IF(COUNTIFS(mapping!$B:$B,AH$2,mapping!$D:$D,$B72)&gt;0,"X","")</f>
        <v/>
      </c>
      <c r="AI72" s="114" t="str">
        <f>IF(COUNTIFS(mapping!$B:$B,AI$2,mapping!$D:$D,$B72)&gt;0,"X","")</f>
        <v/>
      </c>
      <c r="AJ72" s="114" t="str">
        <f>IF(COUNTIFS(mapping!$B:$B,AJ$2,mapping!$D:$D,$B72)&gt;0,"X","")</f>
        <v/>
      </c>
      <c r="AK72" s="114" t="str">
        <f>IF(COUNTIFS(mapping!$B:$B,AK$2,mapping!$D:$D,$B72)&gt;0,"X","")</f>
        <v/>
      </c>
      <c r="AL72" s="114" t="str">
        <f>IF(COUNTIFS(mapping!$B:$B,AL$2,mapping!$D:$D,$B72)&gt;0,"X","")</f>
        <v/>
      </c>
      <c r="AM72" s="114" t="str">
        <f>IF(COUNTIFS(mapping!$B:$B,AM$2,mapping!$D:$D,$B72)&gt;0,"X","")</f>
        <v/>
      </c>
      <c r="AN72" s="114" t="str">
        <f>IF(COUNTIFS(mapping!$B:$B,AN$2,mapping!$D:$D,$B72)&gt;0,"X","")</f>
        <v/>
      </c>
      <c r="AO72" s="114" t="str">
        <f>IF(COUNTIFS(mapping!$B:$B,AO$2,mapping!$D:$D,$B72)&gt;0,"X","")</f>
        <v/>
      </c>
      <c r="AP72" s="114" t="str">
        <f>IF(COUNTIFS(mapping!$B:$B,AP$2,mapping!$D:$D,$B72)&gt;0,"X","")</f>
        <v/>
      </c>
      <c r="AQ72" s="114" t="str">
        <f>IF(COUNTIFS(mapping!$B:$B,AQ$2,mapping!$D:$D,$B72)&gt;0,"X","")</f>
        <v>X</v>
      </c>
      <c r="AR72" s="114" t="str">
        <f>IF(COUNTIFS(mapping!$B:$B,AR$2,mapping!$D:$D,$B72)&gt;0,"X","")</f>
        <v/>
      </c>
      <c r="AS72" s="114" t="str">
        <f>IF(COUNTIFS(mapping!$B:$B,AS$2,mapping!$D:$D,$B72)&gt;0,"X","")</f>
        <v/>
      </c>
      <c r="AT72" s="114" t="str">
        <f>IF(COUNTIFS(mapping!$B:$B,AT$2,mapping!$D:$D,$B72)&gt;0,"X","")</f>
        <v/>
      </c>
      <c r="AU72" s="114" t="str">
        <f>IF(COUNTIFS(mapping!$B:$B,AU$2,mapping!$D:$D,$B72)&gt;0,"X","")</f>
        <v/>
      </c>
      <c r="AV72" s="114" t="str">
        <f>IF(COUNTIFS(mapping!$B:$B,AV$2,mapping!$D:$D,$B72)&gt;0,"X","")</f>
        <v/>
      </c>
      <c r="AW72" s="114" t="str">
        <f>IF(COUNTIFS(mapping!$B:$B,AW$2,mapping!$D:$D,$B72)&gt;0,"X","")</f>
        <v/>
      </c>
      <c r="AX72" s="114" t="str">
        <f>IF(COUNTIFS(mapping!$B:$B,AX$2,mapping!$D:$D,$B72)&gt;0,"X","")</f>
        <v/>
      </c>
      <c r="AY72" s="114" t="str">
        <f>IF(COUNTIFS(mapping!$B:$B,AY$2,mapping!$D:$D,$B72)&gt;0,"X","")</f>
        <v/>
      </c>
      <c r="AZ72" s="114" t="str">
        <f>IF(COUNTIFS(mapping!$B:$B,AZ$2,mapping!$D:$D,$B72)&gt;0,"X","")</f>
        <v/>
      </c>
      <c r="BA72" s="114" t="str">
        <f>IF(COUNTIFS(mapping!$B:$B,BA$2,mapping!$D:$D,$B72)&gt;0,"X","")</f>
        <v/>
      </c>
      <c r="BB72" s="114" t="str">
        <f>IF(COUNTIFS(mapping!$B:$B,BB$2,mapping!$D:$D,$B72)&gt;0,"X","")</f>
        <v/>
      </c>
      <c r="BC72" s="114" t="str">
        <f>IF(COUNTIFS(mapping!$B:$B,BC$2,mapping!$D:$D,$B72)&gt;0,"X","")</f>
        <v/>
      </c>
      <c r="BD72" s="114" t="str">
        <f>IF(COUNTIFS(mapping!$B:$B,BD$2,mapping!$D:$D,$B72)&gt;0,"X","")</f>
        <v/>
      </c>
      <c r="BE72" s="114" t="str">
        <f>IF(COUNTIFS(mapping!$B:$B,BE$2,mapping!$D:$D,$B72)&gt;0,"X","")</f>
        <v/>
      </c>
      <c r="BF72" s="114" t="str">
        <f>IF(COUNTIFS(mapping!$B:$B,BF$2,mapping!$D:$D,$B72)&gt;0,"X","")</f>
        <v/>
      </c>
      <c r="BG72" s="114" t="str">
        <f>IF(COUNTIFS(mapping!$B:$B,BG$2,mapping!$D:$D,$B72)&gt;0,"X","")</f>
        <v/>
      </c>
      <c r="BH72" s="114" t="str">
        <f>IF(COUNTIFS(mapping!$B:$B,BH$2,mapping!$D:$D,$B72)&gt;0,"X","")</f>
        <v>X</v>
      </c>
      <c r="BI72" s="114" t="str">
        <f>IF(COUNTIFS(mapping!$B:$B,BI$2,mapping!$D:$D,$B72)&gt;0,"X","")</f>
        <v/>
      </c>
      <c r="BJ72" s="114" t="str">
        <f>IF(COUNTIFS(mapping!$B:$B,BJ$2,mapping!$D:$D,$B72)&gt;0,"X","")</f>
        <v/>
      </c>
      <c r="BK72" s="114" t="str">
        <f>IF(COUNTIFS(mapping!$B:$B,BK$2,mapping!$D:$D,$B72)&gt;0,"X","")</f>
        <v/>
      </c>
      <c r="BL72" s="114" t="str">
        <f>IF(COUNTIFS(mapping!$B:$B,BL$2,mapping!$D:$D,$B72)&gt;0,"X","")</f>
        <v/>
      </c>
      <c r="BM72" s="114" t="str">
        <f>IF(COUNTIFS(mapping!$B:$B,BM$2,mapping!$D:$D,$B72)&gt;0,"X","")</f>
        <v/>
      </c>
      <c r="BN72" s="114" t="str">
        <f>IF(COUNTIFS(mapping!$B:$B,BN$2,mapping!$D:$D,$B72)&gt;0,"X","")</f>
        <v>X</v>
      </c>
      <c r="BO72" s="114" t="str">
        <f>IF(COUNTIFS(mapping!$B:$B,BO$2,mapping!$D:$D,$B72)&gt;0,"X","")</f>
        <v/>
      </c>
      <c r="BP72" s="114" t="str">
        <f>IF(COUNTIFS(mapping!$B:$B,BP$2,mapping!$D:$D,$B72)&gt;0,"X","")</f>
        <v/>
      </c>
      <c r="BQ72" s="114" t="str">
        <f>IF(COUNTIFS(mapping!$B:$B,BQ$2,mapping!$D:$D,$B72)&gt;0,"X","")</f>
        <v/>
      </c>
      <c r="BR72" s="114" t="str">
        <f>IF(COUNTIFS(mapping!$B:$B,BR$2,mapping!$D:$D,$B72)&gt;0,"X","")</f>
        <v>X</v>
      </c>
      <c r="BS72" s="114" t="str">
        <f>IF(COUNTIFS(mapping!$B:$B,BS$2,mapping!$D:$D,$B72)&gt;0,"X","")</f>
        <v>X</v>
      </c>
      <c r="BT72" s="114" t="str">
        <f>IF(COUNTIFS(mapping!$B:$B,BT$2,mapping!$D:$D,$B72)&gt;0,"X","")</f>
        <v>X</v>
      </c>
      <c r="BU72" s="114" t="str">
        <f>IF(COUNTIFS(mapping!$B:$B,BU$2,mapping!$D:$D,$B72)&gt;0,"X","")</f>
        <v/>
      </c>
      <c r="BV72" s="114" t="str">
        <f>IF(COUNTIFS(mapping!$B:$B,BV$2,mapping!$D:$D,$B72)&gt;0,"X","")</f>
        <v/>
      </c>
      <c r="BW72" s="114" t="str">
        <f>IF(COUNTIFS(mapping!$B:$B,BW$2,mapping!$D:$D,$B72)&gt;0,"X","")</f>
        <v/>
      </c>
      <c r="BX72" s="114" t="str">
        <f>IF(COUNTIFS(mapping!$B:$B,BX$2,mapping!$D:$D,$B72)&gt;0,"X","")</f>
        <v/>
      </c>
      <c r="BY72" s="114" t="str">
        <f>IF(COUNTIFS(mapping!$B:$B,BY$2,mapping!$D:$D,$B72)&gt;0,"X","")</f>
        <v/>
      </c>
      <c r="BZ72" s="114" t="str">
        <f>IF(COUNTIFS(mapping!$B:$B,BZ$2,mapping!$D:$D,$B72)&gt;0,"X","")</f>
        <v/>
      </c>
      <c r="CA72" s="114" t="str">
        <f>IF(COUNTIFS(mapping!$B:$B,CA$2,mapping!$D:$D,$B72)&gt;0,"X","")</f>
        <v/>
      </c>
      <c r="CB72" s="114" t="str">
        <f>IF(COUNTIFS(mapping!$B:$B,CB$2,mapping!$D:$D,$B72)&gt;0,"X","")</f>
        <v/>
      </c>
      <c r="CC72" s="114" t="str">
        <f>IF(COUNTIFS(mapping!$B:$B,CC$2,mapping!$D:$D,$B72)&gt;0,"X","")</f>
        <v/>
      </c>
      <c r="CD72" s="114" t="str">
        <f>IF(COUNTIFS(mapping!$B:$B,CD$2,mapping!$D:$D,$B72)&gt;0,"X","")</f>
        <v/>
      </c>
      <c r="CE72" s="114" t="str">
        <f>IF(COUNTIFS(mapping!$B:$B,CE$2,mapping!$D:$D,$B72)&gt;0,"X","")</f>
        <v/>
      </c>
      <c r="CF72" s="114" t="str">
        <f>IF(COUNTIFS(mapping!$B:$B,CF$2,mapping!$D:$D,$B72)&gt;0,"X","")</f>
        <v/>
      </c>
      <c r="CG72" s="114" t="str">
        <f>IF(COUNTIFS(mapping!$B:$B,CG$2,mapping!$D:$D,$B72)&gt;0,"X","")</f>
        <v/>
      </c>
      <c r="CH72" s="114" t="str">
        <f>IF(COUNTIFS(mapping!$B:$B,CH$2,mapping!$D:$D,$B72)&gt;0,"X","")</f>
        <v/>
      </c>
    </row>
    <row r="73" spans="1:86" ht="16">
      <c r="A73" s="258"/>
      <c r="B73" s="122" t="s">
        <v>391</v>
      </c>
      <c r="C73" s="122" t="s">
        <v>390</v>
      </c>
      <c r="E73" s="114" t="str">
        <f>IF(COUNTIFS(mapping!$B:$B,E$2,mapping!$D:$D,$B73)&gt;0,"X","")</f>
        <v/>
      </c>
      <c r="F73" s="114" t="str">
        <f>IF(COUNTIFS(mapping!$B:$B,F$2,mapping!$D:$D,$B73)&gt;0,"X","")</f>
        <v/>
      </c>
      <c r="G73" s="114" t="str">
        <f>IF(COUNTIFS(mapping!$B:$B,G$2,mapping!$D:$D,$B73)&gt;0,"X","")</f>
        <v/>
      </c>
      <c r="H73" s="114" t="str">
        <f>IF(COUNTIFS(mapping!$B:$B,H$2,mapping!$D:$D,$B73)&gt;0,"X","")</f>
        <v/>
      </c>
      <c r="I73" s="114" t="str">
        <f>IF(COUNTIFS(mapping!$B:$B,I$2,mapping!$D:$D,$B73)&gt;0,"X","")</f>
        <v/>
      </c>
      <c r="J73" s="114" t="str">
        <f>IF(COUNTIFS(mapping!$B:$B,J$2,mapping!$D:$D,$B73)&gt;0,"X","")</f>
        <v/>
      </c>
      <c r="K73" s="114" t="str">
        <f>IF(COUNTIFS(mapping!$B:$B,K$2,mapping!$D:$D,$B73)&gt;0,"X","")</f>
        <v/>
      </c>
      <c r="L73" s="114" t="str">
        <f>IF(COUNTIFS(mapping!$B:$B,L$2,mapping!$D:$D,$B73)&gt;0,"X","")</f>
        <v/>
      </c>
      <c r="M73" s="114" t="str">
        <f>IF(COUNTIFS(mapping!$B:$B,M$2,mapping!$D:$D,$B73)&gt;0,"X","")</f>
        <v/>
      </c>
      <c r="N73" s="114" t="str">
        <f>IF(COUNTIFS(mapping!$B:$B,N$2,mapping!$D:$D,$B73)&gt;0,"X","")</f>
        <v/>
      </c>
      <c r="O73" s="114" t="str">
        <f>IF(COUNTIFS(mapping!$B:$B,O$2,mapping!$D:$D,$B73)&gt;0,"X","")</f>
        <v/>
      </c>
      <c r="P73" s="114" t="str">
        <f>IF(COUNTIFS(mapping!$B:$B,P$2,mapping!$D:$D,$B73)&gt;0,"X","")</f>
        <v/>
      </c>
      <c r="Q73" s="114" t="str">
        <f>IF(COUNTIFS(mapping!$B:$B,Q$2,mapping!$D:$D,$B73)&gt;0,"X","")</f>
        <v/>
      </c>
      <c r="R73" s="114" t="str">
        <f>IF(COUNTIFS(mapping!$B:$B,R$2,mapping!$D:$D,$B73)&gt;0,"X","")</f>
        <v/>
      </c>
      <c r="S73" s="114" t="str">
        <f>IF(COUNTIFS(mapping!$B:$B,S$2,mapping!$D:$D,$B73)&gt;0,"X","")</f>
        <v/>
      </c>
      <c r="T73" s="114" t="str">
        <f>IF(COUNTIFS(mapping!$B:$B,T$2,mapping!$D:$D,$B73)&gt;0,"X","")</f>
        <v/>
      </c>
      <c r="U73" s="114" t="str">
        <f>IF(COUNTIFS(mapping!$B:$B,U$2,mapping!$D:$D,$B73)&gt;0,"X","")</f>
        <v/>
      </c>
      <c r="V73" s="114" t="str">
        <f>IF(COUNTIFS(mapping!$B:$B,V$2,mapping!$D:$D,$B73)&gt;0,"X","")</f>
        <v/>
      </c>
      <c r="W73" s="114" t="str">
        <f>IF(COUNTIFS(mapping!$B:$B,W$2,mapping!$D:$D,$B73)&gt;0,"X","")</f>
        <v/>
      </c>
      <c r="X73" s="114" t="str">
        <f>IF(COUNTIFS(mapping!$B:$B,X$2,mapping!$D:$D,$B73)&gt;0,"X","")</f>
        <v/>
      </c>
      <c r="Y73" s="114" t="str">
        <f>IF(COUNTIFS(mapping!$B:$B,Y$2,mapping!$D:$D,$B73)&gt;0,"X","")</f>
        <v/>
      </c>
      <c r="Z73" s="114" t="str">
        <f>IF(COUNTIFS(mapping!$B:$B,Z$2,mapping!$D:$D,$B73)&gt;0,"X","")</f>
        <v/>
      </c>
      <c r="AA73" s="114" t="str">
        <f>IF(COUNTIFS(mapping!$B:$B,AA$2,mapping!$D:$D,$B73)&gt;0,"X","")</f>
        <v/>
      </c>
      <c r="AB73" s="114" t="str">
        <f>IF(COUNTIFS(mapping!$B:$B,AB$2,mapping!$D:$D,$B73)&gt;0,"X","")</f>
        <v/>
      </c>
      <c r="AC73" s="114" t="str">
        <f>IF(COUNTIFS(mapping!$B:$B,AC$2,mapping!$D:$D,$B73)&gt;0,"X","")</f>
        <v/>
      </c>
      <c r="AD73" s="114" t="str">
        <f>IF(COUNTIFS(mapping!$B:$B,AD$2,mapping!$D:$D,$B73)&gt;0,"X","")</f>
        <v/>
      </c>
      <c r="AE73" s="114" t="str">
        <f>IF(COUNTIFS(mapping!$B:$B,AE$2,mapping!$D:$D,$B73)&gt;0,"X","")</f>
        <v/>
      </c>
      <c r="AF73" s="114" t="str">
        <f>IF(COUNTIFS(mapping!$B:$B,AF$2,mapping!$D:$D,$B73)&gt;0,"X","")</f>
        <v/>
      </c>
      <c r="AG73" s="114" t="str">
        <f>IF(COUNTIFS(mapping!$B:$B,AG$2,mapping!$D:$D,$B73)&gt;0,"X","")</f>
        <v/>
      </c>
      <c r="AH73" s="114" t="str">
        <f>IF(COUNTIFS(mapping!$B:$B,AH$2,mapping!$D:$D,$B73)&gt;0,"X","")</f>
        <v/>
      </c>
      <c r="AI73" s="114" t="str">
        <f>IF(COUNTIFS(mapping!$B:$B,AI$2,mapping!$D:$D,$B73)&gt;0,"X","")</f>
        <v/>
      </c>
      <c r="AJ73" s="114" t="str">
        <f>IF(COUNTIFS(mapping!$B:$B,AJ$2,mapping!$D:$D,$B73)&gt;0,"X","")</f>
        <v/>
      </c>
      <c r="AK73" s="114" t="str">
        <f>IF(COUNTIFS(mapping!$B:$B,AK$2,mapping!$D:$D,$B73)&gt;0,"X","")</f>
        <v/>
      </c>
      <c r="AL73" s="114" t="str">
        <f>IF(COUNTIFS(mapping!$B:$B,AL$2,mapping!$D:$D,$B73)&gt;0,"X","")</f>
        <v/>
      </c>
      <c r="AM73" s="114" t="str">
        <f>IF(COUNTIFS(mapping!$B:$B,AM$2,mapping!$D:$D,$B73)&gt;0,"X","")</f>
        <v/>
      </c>
      <c r="AN73" s="114" t="str">
        <f>IF(COUNTIFS(mapping!$B:$B,AN$2,mapping!$D:$D,$B73)&gt;0,"X","")</f>
        <v/>
      </c>
      <c r="AO73" s="114" t="str">
        <f>IF(COUNTIFS(mapping!$B:$B,AO$2,mapping!$D:$D,$B73)&gt;0,"X","")</f>
        <v/>
      </c>
      <c r="AP73" s="114" t="str">
        <f>IF(COUNTIFS(mapping!$B:$B,AP$2,mapping!$D:$D,$B73)&gt;0,"X","")</f>
        <v/>
      </c>
      <c r="AQ73" s="114" t="str">
        <f>IF(COUNTIFS(mapping!$B:$B,AQ$2,mapping!$D:$D,$B73)&gt;0,"X","")</f>
        <v/>
      </c>
      <c r="AR73" s="114" t="str">
        <f>IF(COUNTIFS(mapping!$B:$B,AR$2,mapping!$D:$D,$B73)&gt;0,"X","")</f>
        <v/>
      </c>
      <c r="AS73" s="114" t="str">
        <f>IF(COUNTIFS(mapping!$B:$B,AS$2,mapping!$D:$D,$B73)&gt;0,"X","")</f>
        <v/>
      </c>
      <c r="AT73" s="114" t="str">
        <f>IF(COUNTIFS(mapping!$B:$B,AT$2,mapping!$D:$D,$B73)&gt;0,"X","")</f>
        <v/>
      </c>
      <c r="AU73" s="114" t="str">
        <f>IF(COUNTIFS(mapping!$B:$B,AU$2,mapping!$D:$D,$B73)&gt;0,"X","")</f>
        <v/>
      </c>
      <c r="AV73" s="114" t="str">
        <f>IF(COUNTIFS(mapping!$B:$B,AV$2,mapping!$D:$D,$B73)&gt;0,"X","")</f>
        <v/>
      </c>
      <c r="AW73" s="114" t="str">
        <f>IF(COUNTIFS(mapping!$B:$B,AW$2,mapping!$D:$D,$B73)&gt;0,"X","")</f>
        <v/>
      </c>
      <c r="AX73" s="114" t="str">
        <f>IF(COUNTIFS(mapping!$B:$B,AX$2,mapping!$D:$D,$B73)&gt;0,"X","")</f>
        <v/>
      </c>
      <c r="AY73" s="114" t="str">
        <f>IF(COUNTIFS(mapping!$B:$B,AY$2,mapping!$D:$D,$B73)&gt;0,"X","")</f>
        <v/>
      </c>
      <c r="AZ73" s="114" t="str">
        <f>IF(COUNTIFS(mapping!$B:$B,AZ$2,mapping!$D:$D,$B73)&gt;0,"X","")</f>
        <v/>
      </c>
      <c r="BA73" s="114" t="str">
        <f>IF(COUNTIFS(mapping!$B:$B,BA$2,mapping!$D:$D,$B73)&gt;0,"X","")</f>
        <v/>
      </c>
      <c r="BB73" s="114" t="str">
        <f>IF(COUNTIFS(mapping!$B:$B,BB$2,mapping!$D:$D,$B73)&gt;0,"X","")</f>
        <v/>
      </c>
      <c r="BC73" s="114" t="str">
        <f>IF(COUNTIFS(mapping!$B:$B,BC$2,mapping!$D:$D,$B73)&gt;0,"X","")</f>
        <v/>
      </c>
      <c r="BD73" s="114" t="str">
        <f>IF(COUNTIFS(mapping!$B:$B,BD$2,mapping!$D:$D,$B73)&gt;0,"X","")</f>
        <v/>
      </c>
      <c r="BE73" s="114" t="str">
        <f>IF(COUNTIFS(mapping!$B:$B,BE$2,mapping!$D:$D,$B73)&gt;0,"X","")</f>
        <v/>
      </c>
      <c r="BF73" s="114" t="str">
        <f>IF(COUNTIFS(mapping!$B:$B,BF$2,mapping!$D:$D,$B73)&gt;0,"X","")</f>
        <v/>
      </c>
      <c r="BG73" s="114" t="str">
        <f>IF(COUNTIFS(mapping!$B:$B,BG$2,mapping!$D:$D,$B73)&gt;0,"X","")</f>
        <v/>
      </c>
      <c r="BH73" s="114" t="str">
        <f>IF(COUNTIFS(mapping!$B:$B,BH$2,mapping!$D:$D,$B73)&gt;0,"X","")</f>
        <v/>
      </c>
      <c r="BI73" s="114" t="str">
        <f>IF(COUNTIFS(mapping!$B:$B,BI$2,mapping!$D:$D,$B73)&gt;0,"X","")</f>
        <v/>
      </c>
      <c r="BJ73" s="114" t="str">
        <f>IF(COUNTIFS(mapping!$B:$B,BJ$2,mapping!$D:$D,$B73)&gt;0,"X","")</f>
        <v/>
      </c>
      <c r="BK73" s="114" t="str">
        <f>IF(COUNTIFS(mapping!$B:$B,BK$2,mapping!$D:$D,$B73)&gt;0,"X","")</f>
        <v/>
      </c>
      <c r="BL73" s="114" t="str">
        <f>IF(COUNTIFS(mapping!$B:$B,BL$2,mapping!$D:$D,$B73)&gt;0,"X","")</f>
        <v/>
      </c>
      <c r="BM73" s="114" t="str">
        <f>IF(COUNTIFS(mapping!$B:$B,BM$2,mapping!$D:$D,$B73)&gt;0,"X","")</f>
        <v/>
      </c>
      <c r="BN73" s="114" t="str">
        <f>IF(COUNTIFS(mapping!$B:$B,BN$2,mapping!$D:$D,$B73)&gt;0,"X","")</f>
        <v/>
      </c>
      <c r="BO73" s="114" t="str">
        <f>IF(COUNTIFS(mapping!$B:$B,BO$2,mapping!$D:$D,$B73)&gt;0,"X","")</f>
        <v/>
      </c>
      <c r="BP73" s="114" t="str">
        <f>IF(COUNTIFS(mapping!$B:$B,BP$2,mapping!$D:$D,$B73)&gt;0,"X","")</f>
        <v/>
      </c>
      <c r="BQ73" s="114" t="str">
        <f>IF(COUNTIFS(mapping!$B:$B,BQ$2,mapping!$D:$D,$B73)&gt;0,"X","")</f>
        <v/>
      </c>
      <c r="BR73" s="114" t="str">
        <f>IF(COUNTIFS(mapping!$B:$B,BR$2,mapping!$D:$D,$B73)&gt;0,"X","")</f>
        <v/>
      </c>
      <c r="BS73" s="114" t="str">
        <f>IF(COUNTIFS(mapping!$B:$B,BS$2,mapping!$D:$D,$B73)&gt;0,"X","")</f>
        <v/>
      </c>
      <c r="BT73" s="114" t="str">
        <f>IF(COUNTIFS(mapping!$B:$B,BT$2,mapping!$D:$D,$B73)&gt;0,"X","")</f>
        <v/>
      </c>
      <c r="BU73" s="114" t="str">
        <f>IF(COUNTIFS(mapping!$B:$B,BU$2,mapping!$D:$D,$B73)&gt;0,"X","")</f>
        <v/>
      </c>
      <c r="BV73" s="114" t="str">
        <f>IF(COUNTIFS(mapping!$B:$B,BV$2,mapping!$D:$D,$B73)&gt;0,"X","")</f>
        <v/>
      </c>
      <c r="BW73" s="114" t="str">
        <f>IF(COUNTIFS(mapping!$B:$B,BW$2,mapping!$D:$D,$B73)&gt;0,"X","")</f>
        <v/>
      </c>
      <c r="BX73" s="114" t="str">
        <f>IF(COUNTIFS(mapping!$B:$B,BX$2,mapping!$D:$D,$B73)&gt;0,"X","")</f>
        <v/>
      </c>
      <c r="BY73" s="114" t="str">
        <f>IF(COUNTIFS(mapping!$B:$B,BY$2,mapping!$D:$D,$B73)&gt;0,"X","")</f>
        <v/>
      </c>
      <c r="BZ73" s="114" t="str">
        <f>IF(COUNTIFS(mapping!$B:$B,BZ$2,mapping!$D:$D,$B73)&gt;0,"X","")</f>
        <v/>
      </c>
      <c r="CA73" s="114" t="str">
        <f>IF(COUNTIFS(mapping!$B:$B,CA$2,mapping!$D:$D,$B73)&gt;0,"X","")</f>
        <v/>
      </c>
      <c r="CB73" s="114" t="str">
        <f>IF(COUNTIFS(mapping!$B:$B,CB$2,mapping!$D:$D,$B73)&gt;0,"X","")</f>
        <v/>
      </c>
      <c r="CC73" s="114" t="str">
        <f>IF(COUNTIFS(mapping!$B:$B,CC$2,mapping!$D:$D,$B73)&gt;0,"X","")</f>
        <v/>
      </c>
      <c r="CD73" s="114" t="str">
        <f>IF(COUNTIFS(mapping!$B:$B,CD$2,mapping!$D:$D,$B73)&gt;0,"X","")</f>
        <v/>
      </c>
      <c r="CE73" s="114" t="str">
        <f>IF(COUNTIFS(mapping!$B:$B,CE$2,mapping!$D:$D,$B73)&gt;0,"X","")</f>
        <v/>
      </c>
      <c r="CF73" s="114" t="str">
        <f>IF(COUNTIFS(mapping!$B:$B,CF$2,mapping!$D:$D,$B73)&gt;0,"X","")</f>
        <v/>
      </c>
      <c r="CG73" s="114" t="str">
        <f>IF(COUNTIFS(mapping!$B:$B,CG$2,mapping!$D:$D,$B73)&gt;0,"X","")</f>
        <v/>
      </c>
      <c r="CH73" s="114" t="str">
        <f>IF(COUNTIFS(mapping!$B:$B,CH$2,mapping!$D:$D,$B73)&gt;0,"X","")</f>
        <v>X</v>
      </c>
    </row>
    <row r="74" spans="1:86" ht="16">
      <c r="A74" s="258"/>
      <c r="B74" s="122" t="s">
        <v>389</v>
      </c>
      <c r="C74" s="122" t="s">
        <v>818</v>
      </c>
      <c r="E74" s="114" t="str">
        <f>IF(COUNTIFS(mapping!$B:$B,E$2,mapping!$D:$D,$B74)&gt;0,"X","")</f>
        <v/>
      </c>
      <c r="F74" s="114" t="str">
        <f>IF(COUNTIFS(mapping!$B:$B,F$2,mapping!$D:$D,$B74)&gt;0,"X","")</f>
        <v/>
      </c>
      <c r="G74" s="114" t="str">
        <f>IF(COUNTIFS(mapping!$B:$B,G$2,mapping!$D:$D,$B74)&gt;0,"X","")</f>
        <v/>
      </c>
      <c r="H74" s="114" t="str">
        <f>IF(COUNTIFS(mapping!$B:$B,H$2,mapping!$D:$D,$B74)&gt;0,"X","")</f>
        <v/>
      </c>
      <c r="I74" s="114" t="str">
        <f>IF(COUNTIFS(mapping!$B:$B,I$2,mapping!$D:$D,$B74)&gt;0,"X","")</f>
        <v/>
      </c>
      <c r="J74" s="114" t="str">
        <f>IF(COUNTIFS(mapping!$B:$B,J$2,mapping!$D:$D,$B74)&gt;0,"X","")</f>
        <v/>
      </c>
      <c r="K74" s="114" t="str">
        <f>IF(COUNTIFS(mapping!$B:$B,K$2,mapping!$D:$D,$B74)&gt;0,"X","")</f>
        <v/>
      </c>
      <c r="L74" s="114" t="str">
        <f>IF(COUNTIFS(mapping!$B:$B,L$2,mapping!$D:$D,$B74)&gt;0,"X","")</f>
        <v/>
      </c>
      <c r="M74" s="114" t="str">
        <f>IF(COUNTIFS(mapping!$B:$B,M$2,mapping!$D:$D,$B74)&gt;0,"X","")</f>
        <v/>
      </c>
      <c r="N74" s="114" t="str">
        <f>IF(COUNTIFS(mapping!$B:$B,N$2,mapping!$D:$D,$B74)&gt;0,"X","")</f>
        <v/>
      </c>
      <c r="O74" s="114" t="str">
        <f>IF(COUNTIFS(mapping!$B:$B,O$2,mapping!$D:$D,$B74)&gt;0,"X","")</f>
        <v/>
      </c>
      <c r="P74" s="114" t="str">
        <f>IF(COUNTIFS(mapping!$B:$B,P$2,mapping!$D:$D,$B74)&gt;0,"X","")</f>
        <v/>
      </c>
      <c r="Q74" s="114" t="str">
        <f>IF(COUNTIFS(mapping!$B:$B,Q$2,mapping!$D:$D,$B74)&gt;0,"X","")</f>
        <v/>
      </c>
      <c r="R74" s="114" t="str">
        <f>IF(COUNTIFS(mapping!$B:$B,R$2,mapping!$D:$D,$B74)&gt;0,"X","")</f>
        <v/>
      </c>
      <c r="S74" s="114" t="str">
        <f>IF(COUNTIFS(mapping!$B:$B,S$2,mapping!$D:$D,$B74)&gt;0,"X","")</f>
        <v/>
      </c>
      <c r="T74" s="114" t="str">
        <f>IF(COUNTIFS(mapping!$B:$B,T$2,mapping!$D:$D,$B74)&gt;0,"X","")</f>
        <v/>
      </c>
      <c r="U74" s="114" t="str">
        <f>IF(COUNTIFS(mapping!$B:$B,U$2,mapping!$D:$D,$B74)&gt;0,"X","")</f>
        <v/>
      </c>
      <c r="V74" s="114" t="str">
        <f>IF(COUNTIFS(mapping!$B:$B,V$2,mapping!$D:$D,$B74)&gt;0,"X","")</f>
        <v/>
      </c>
      <c r="W74" s="114" t="str">
        <f>IF(COUNTIFS(mapping!$B:$B,W$2,mapping!$D:$D,$B74)&gt;0,"X","")</f>
        <v/>
      </c>
      <c r="X74" s="114" t="str">
        <f>IF(COUNTIFS(mapping!$B:$B,X$2,mapping!$D:$D,$B74)&gt;0,"X","")</f>
        <v/>
      </c>
      <c r="Y74" s="114" t="str">
        <f>IF(COUNTIFS(mapping!$B:$B,Y$2,mapping!$D:$D,$B74)&gt;0,"X","")</f>
        <v/>
      </c>
      <c r="Z74" s="114" t="str">
        <f>IF(COUNTIFS(mapping!$B:$B,Z$2,mapping!$D:$D,$B74)&gt;0,"X","")</f>
        <v/>
      </c>
      <c r="AA74" s="114" t="str">
        <f>IF(COUNTIFS(mapping!$B:$B,AA$2,mapping!$D:$D,$B74)&gt;0,"X","")</f>
        <v/>
      </c>
      <c r="AB74" s="114" t="str">
        <f>IF(COUNTIFS(mapping!$B:$B,AB$2,mapping!$D:$D,$B74)&gt;0,"X","")</f>
        <v/>
      </c>
      <c r="AC74" s="114" t="str">
        <f>IF(COUNTIFS(mapping!$B:$B,AC$2,mapping!$D:$D,$B74)&gt;0,"X","")</f>
        <v/>
      </c>
      <c r="AD74" s="114" t="str">
        <f>IF(COUNTIFS(mapping!$B:$B,AD$2,mapping!$D:$D,$B74)&gt;0,"X","")</f>
        <v/>
      </c>
      <c r="AE74" s="114" t="str">
        <f>IF(COUNTIFS(mapping!$B:$B,AE$2,mapping!$D:$D,$B74)&gt;0,"X","")</f>
        <v/>
      </c>
      <c r="AF74" s="114" t="str">
        <f>IF(COUNTIFS(mapping!$B:$B,AF$2,mapping!$D:$D,$B74)&gt;0,"X","")</f>
        <v/>
      </c>
      <c r="AG74" s="114" t="str">
        <f>IF(COUNTIFS(mapping!$B:$B,AG$2,mapping!$D:$D,$B74)&gt;0,"X","")</f>
        <v/>
      </c>
      <c r="AH74" s="114" t="str">
        <f>IF(COUNTIFS(mapping!$B:$B,AH$2,mapping!$D:$D,$B74)&gt;0,"X","")</f>
        <v/>
      </c>
      <c r="AI74" s="114" t="str">
        <f>IF(COUNTIFS(mapping!$B:$B,AI$2,mapping!$D:$D,$B74)&gt;0,"X","")</f>
        <v/>
      </c>
      <c r="AJ74" s="114" t="str">
        <f>IF(COUNTIFS(mapping!$B:$B,AJ$2,mapping!$D:$D,$B74)&gt;0,"X","")</f>
        <v/>
      </c>
      <c r="AK74" s="114" t="str">
        <f>IF(COUNTIFS(mapping!$B:$B,AK$2,mapping!$D:$D,$B74)&gt;0,"X","")</f>
        <v/>
      </c>
      <c r="AL74" s="114" t="str">
        <f>IF(COUNTIFS(mapping!$B:$B,AL$2,mapping!$D:$D,$B74)&gt;0,"X","")</f>
        <v/>
      </c>
      <c r="AM74" s="114" t="str">
        <f>IF(COUNTIFS(mapping!$B:$B,AM$2,mapping!$D:$D,$B74)&gt;0,"X","")</f>
        <v/>
      </c>
      <c r="AN74" s="114" t="str">
        <f>IF(COUNTIFS(mapping!$B:$B,AN$2,mapping!$D:$D,$B74)&gt;0,"X","")</f>
        <v/>
      </c>
      <c r="AO74" s="114" t="str">
        <f>IF(COUNTIFS(mapping!$B:$B,AO$2,mapping!$D:$D,$B74)&gt;0,"X","")</f>
        <v/>
      </c>
      <c r="AP74" s="114" t="str">
        <f>IF(COUNTIFS(mapping!$B:$B,AP$2,mapping!$D:$D,$B74)&gt;0,"X","")</f>
        <v/>
      </c>
      <c r="AQ74" s="114" t="str">
        <f>IF(COUNTIFS(mapping!$B:$B,AQ$2,mapping!$D:$D,$B74)&gt;0,"X","")</f>
        <v/>
      </c>
      <c r="AR74" s="114" t="str">
        <f>IF(COUNTIFS(mapping!$B:$B,AR$2,mapping!$D:$D,$B74)&gt;0,"X","")</f>
        <v/>
      </c>
      <c r="AS74" s="114" t="str">
        <f>IF(COUNTIFS(mapping!$B:$B,AS$2,mapping!$D:$D,$B74)&gt;0,"X","")</f>
        <v/>
      </c>
      <c r="AT74" s="114" t="str">
        <f>IF(COUNTIFS(mapping!$B:$B,AT$2,mapping!$D:$D,$B74)&gt;0,"X","")</f>
        <v/>
      </c>
      <c r="AU74" s="114" t="str">
        <f>IF(COUNTIFS(mapping!$B:$B,AU$2,mapping!$D:$D,$B74)&gt;0,"X","")</f>
        <v/>
      </c>
      <c r="AV74" s="114" t="str">
        <f>IF(COUNTIFS(mapping!$B:$B,AV$2,mapping!$D:$D,$B74)&gt;0,"X","")</f>
        <v/>
      </c>
      <c r="AW74" s="114" t="str">
        <f>IF(COUNTIFS(mapping!$B:$B,AW$2,mapping!$D:$D,$B74)&gt;0,"X","")</f>
        <v/>
      </c>
      <c r="AX74" s="114" t="str">
        <f>IF(COUNTIFS(mapping!$B:$B,AX$2,mapping!$D:$D,$B74)&gt;0,"X","")</f>
        <v/>
      </c>
      <c r="AY74" s="114" t="str">
        <f>IF(COUNTIFS(mapping!$B:$B,AY$2,mapping!$D:$D,$B74)&gt;0,"X","")</f>
        <v/>
      </c>
      <c r="AZ74" s="114" t="str">
        <f>IF(COUNTIFS(mapping!$B:$B,AZ$2,mapping!$D:$D,$B74)&gt;0,"X","")</f>
        <v/>
      </c>
      <c r="BA74" s="114" t="str">
        <f>IF(COUNTIFS(mapping!$B:$B,BA$2,mapping!$D:$D,$B74)&gt;0,"X","")</f>
        <v/>
      </c>
      <c r="BB74" s="114" t="str">
        <f>IF(COUNTIFS(mapping!$B:$B,BB$2,mapping!$D:$D,$B74)&gt;0,"X","")</f>
        <v/>
      </c>
      <c r="BC74" s="114" t="str">
        <f>IF(COUNTIFS(mapping!$B:$B,BC$2,mapping!$D:$D,$B74)&gt;0,"X","")</f>
        <v/>
      </c>
      <c r="BD74" s="114" t="str">
        <f>IF(COUNTIFS(mapping!$B:$B,BD$2,mapping!$D:$D,$B74)&gt;0,"X","")</f>
        <v/>
      </c>
      <c r="BE74" s="114" t="str">
        <f>IF(COUNTIFS(mapping!$B:$B,BE$2,mapping!$D:$D,$B74)&gt;0,"X","")</f>
        <v/>
      </c>
      <c r="BF74" s="114" t="str">
        <f>IF(COUNTIFS(mapping!$B:$B,BF$2,mapping!$D:$D,$B74)&gt;0,"X","")</f>
        <v/>
      </c>
      <c r="BG74" s="114" t="str">
        <f>IF(COUNTIFS(mapping!$B:$B,BG$2,mapping!$D:$D,$B74)&gt;0,"X","")</f>
        <v/>
      </c>
      <c r="BH74" s="114" t="str">
        <f>IF(COUNTIFS(mapping!$B:$B,BH$2,mapping!$D:$D,$B74)&gt;0,"X","")</f>
        <v/>
      </c>
      <c r="BI74" s="114" t="str">
        <f>IF(COUNTIFS(mapping!$B:$B,BI$2,mapping!$D:$D,$B74)&gt;0,"X","")</f>
        <v>X</v>
      </c>
      <c r="BJ74" s="114" t="str">
        <f>IF(COUNTIFS(mapping!$B:$B,BJ$2,mapping!$D:$D,$B74)&gt;0,"X","")</f>
        <v/>
      </c>
      <c r="BK74" s="114" t="str">
        <f>IF(COUNTIFS(mapping!$B:$B,BK$2,mapping!$D:$D,$B74)&gt;0,"X","")</f>
        <v>X</v>
      </c>
      <c r="BL74" s="114" t="str">
        <f>IF(COUNTIFS(mapping!$B:$B,BL$2,mapping!$D:$D,$B74)&gt;0,"X","")</f>
        <v/>
      </c>
      <c r="BM74" s="114" t="str">
        <f>IF(COUNTIFS(mapping!$B:$B,BM$2,mapping!$D:$D,$B74)&gt;0,"X","")</f>
        <v/>
      </c>
      <c r="BN74" s="114" t="str">
        <f>IF(COUNTIFS(mapping!$B:$B,BN$2,mapping!$D:$D,$B74)&gt;0,"X","")</f>
        <v/>
      </c>
      <c r="BO74" s="114" t="str">
        <f>IF(COUNTIFS(mapping!$B:$B,BO$2,mapping!$D:$D,$B74)&gt;0,"X","")</f>
        <v/>
      </c>
      <c r="BP74" s="114" t="str">
        <f>IF(COUNTIFS(mapping!$B:$B,BP$2,mapping!$D:$D,$B74)&gt;0,"X","")</f>
        <v/>
      </c>
      <c r="BQ74" s="114" t="str">
        <f>IF(COUNTIFS(mapping!$B:$B,BQ$2,mapping!$D:$D,$B74)&gt;0,"X","")</f>
        <v/>
      </c>
      <c r="BR74" s="114" t="str">
        <f>IF(COUNTIFS(mapping!$B:$B,BR$2,mapping!$D:$D,$B74)&gt;0,"X","")</f>
        <v/>
      </c>
      <c r="BS74" s="114" t="str">
        <f>IF(COUNTIFS(mapping!$B:$B,BS$2,mapping!$D:$D,$B74)&gt;0,"X","")</f>
        <v/>
      </c>
      <c r="BT74" s="114" t="str">
        <f>IF(COUNTIFS(mapping!$B:$B,BT$2,mapping!$D:$D,$B74)&gt;0,"X","")</f>
        <v/>
      </c>
      <c r="BU74" s="114" t="str">
        <f>IF(COUNTIFS(mapping!$B:$B,BU$2,mapping!$D:$D,$B74)&gt;0,"X","")</f>
        <v>X</v>
      </c>
      <c r="BV74" s="114" t="str">
        <f>IF(COUNTIFS(mapping!$B:$B,BV$2,mapping!$D:$D,$B74)&gt;0,"X","")</f>
        <v/>
      </c>
      <c r="BW74" s="114" t="str">
        <f>IF(COUNTIFS(mapping!$B:$B,BW$2,mapping!$D:$D,$B74)&gt;0,"X","")</f>
        <v>X</v>
      </c>
      <c r="BX74" s="114" t="str">
        <f>IF(COUNTIFS(mapping!$B:$B,BX$2,mapping!$D:$D,$B74)&gt;0,"X","")</f>
        <v/>
      </c>
      <c r="BY74" s="114" t="str">
        <f>IF(COUNTIFS(mapping!$B:$B,BY$2,mapping!$D:$D,$B74)&gt;0,"X","")</f>
        <v/>
      </c>
      <c r="BZ74" s="114" t="str">
        <f>IF(COUNTIFS(mapping!$B:$B,BZ$2,mapping!$D:$D,$B74)&gt;0,"X","")</f>
        <v/>
      </c>
      <c r="CA74" s="114" t="str">
        <f>IF(COUNTIFS(mapping!$B:$B,CA$2,mapping!$D:$D,$B74)&gt;0,"X","")</f>
        <v/>
      </c>
      <c r="CB74" s="114" t="str">
        <f>IF(COUNTIFS(mapping!$B:$B,CB$2,mapping!$D:$D,$B74)&gt;0,"X","")</f>
        <v/>
      </c>
      <c r="CC74" s="114" t="str">
        <f>IF(COUNTIFS(mapping!$B:$B,CC$2,mapping!$D:$D,$B74)&gt;0,"X","")</f>
        <v/>
      </c>
      <c r="CD74" s="114" t="str">
        <f>IF(COUNTIFS(mapping!$B:$B,CD$2,mapping!$D:$D,$B74)&gt;0,"X","")</f>
        <v/>
      </c>
      <c r="CE74" s="114" t="str">
        <f>IF(COUNTIFS(mapping!$B:$B,CE$2,mapping!$D:$D,$B74)&gt;0,"X","")</f>
        <v/>
      </c>
      <c r="CF74" s="114" t="str">
        <f>IF(COUNTIFS(mapping!$B:$B,CF$2,mapping!$D:$D,$B74)&gt;0,"X","")</f>
        <v/>
      </c>
      <c r="CG74" s="114" t="str">
        <f>IF(COUNTIFS(mapping!$B:$B,CG$2,mapping!$D:$D,$B74)&gt;0,"X","")</f>
        <v/>
      </c>
      <c r="CH74" s="114" t="str">
        <f>IF(COUNTIFS(mapping!$B:$B,CH$2,mapping!$D:$D,$B74)&gt;0,"X","")</f>
        <v/>
      </c>
    </row>
    <row r="75" spans="1:86" ht="16">
      <c r="A75" s="258"/>
      <c r="B75" s="122" t="s">
        <v>388</v>
      </c>
      <c r="C75" s="122" t="s">
        <v>387</v>
      </c>
      <c r="E75" s="114" t="str">
        <f>IF(COUNTIFS(mapping!$B:$B,E$2,mapping!$D:$D,$B75)&gt;0,"X","")</f>
        <v/>
      </c>
      <c r="F75" s="114" t="str">
        <f>IF(COUNTIFS(mapping!$B:$B,F$2,mapping!$D:$D,$B75)&gt;0,"X","")</f>
        <v/>
      </c>
      <c r="G75" s="114" t="str">
        <f>IF(COUNTIFS(mapping!$B:$B,G$2,mapping!$D:$D,$B75)&gt;0,"X","")</f>
        <v/>
      </c>
      <c r="H75" s="114" t="str">
        <f>IF(COUNTIFS(mapping!$B:$B,H$2,mapping!$D:$D,$B75)&gt;0,"X","")</f>
        <v/>
      </c>
      <c r="I75" s="114" t="str">
        <f>IF(COUNTIFS(mapping!$B:$B,I$2,mapping!$D:$D,$B75)&gt;0,"X","")</f>
        <v/>
      </c>
      <c r="J75" s="114" t="str">
        <f>IF(COUNTIFS(mapping!$B:$B,J$2,mapping!$D:$D,$B75)&gt;0,"X","")</f>
        <v/>
      </c>
      <c r="K75" s="114" t="str">
        <f>IF(COUNTIFS(mapping!$B:$B,K$2,mapping!$D:$D,$B75)&gt;0,"X","")</f>
        <v/>
      </c>
      <c r="L75" s="114" t="str">
        <f>IF(COUNTIFS(mapping!$B:$B,L$2,mapping!$D:$D,$B75)&gt;0,"X","")</f>
        <v/>
      </c>
      <c r="M75" s="114" t="str">
        <f>IF(COUNTIFS(mapping!$B:$B,M$2,mapping!$D:$D,$B75)&gt;0,"X","")</f>
        <v/>
      </c>
      <c r="N75" s="114" t="str">
        <f>IF(COUNTIFS(mapping!$B:$B,N$2,mapping!$D:$D,$B75)&gt;0,"X","")</f>
        <v/>
      </c>
      <c r="O75" s="114" t="str">
        <f>IF(COUNTIFS(mapping!$B:$B,O$2,mapping!$D:$D,$B75)&gt;0,"X","")</f>
        <v/>
      </c>
      <c r="P75" s="114" t="str">
        <f>IF(COUNTIFS(mapping!$B:$B,P$2,mapping!$D:$D,$B75)&gt;0,"X","")</f>
        <v/>
      </c>
      <c r="Q75" s="114" t="str">
        <f>IF(COUNTIFS(mapping!$B:$B,Q$2,mapping!$D:$D,$B75)&gt;0,"X","")</f>
        <v/>
      </c>
      <c r="R75" s="114" t="str">
        <f>IF(COUNTIFS(mapping!$B:$B,R$2,mapping!$D:$D,$B75)&gt;0,"X","")</f>
        <v/>
      </c>
      <c r="S75" s="114" t="str">
        <f>IF(COUNTIFS(mapping!$B:$B,S$2,mapping!$D:$D,$B75)&gt;0,"X","")</f>
        <v/>
      </c>
      <c r="T75" s="114" t="str">
        <f>IF(COUNTIFS(mapping!$B:$B,T$2,mapping!$D:$D,$B75)&gt;0,"X","")</f>
        <v/>
      </c>
      <c r="U75" s="114" t="str">
        <f>IF(COUNTIFS(mapping!$B:$B,U$2,mapping!$D:$D,$B75)&gt;0,"X","")</f>
        <v/>
      </c>
      <c r="V75" s="114" t="str">
        <f>IF(COUNTIFS(mapping!$B:$B,V$2,mapping!$D:$D,$B75)&gt;0,"X","")</f>
        <v/>
      </c>
      <c r="W75" s="114" t="str">
        <f>IF(COUNTIFS(mapping!$B:$B,W$2,mapping!$D:$D,$B75)&gt;0,"X","")</f>
        <v/>
      </c>
      <c r="X75" s="114" t="str">
        <f>IF(COUNTIFS(mapping!$B:$B,X$2,mapping!$D:$D,$B75)&gt;0,"X","")</f>
        <v/>
      </c>
      <c r="Y75" s="114" t="str">
        <f>IF(COUNTIFS(mapping!$B:$B,Y$2,mapping!$D:$D,$B75)&gt;0,"X","")</f>
        <v/>
      </c>
      <c r="Z75" s="114" t="str">
        <f>IF(COUNTIFS(mapping!$B:$B,Z$2,mapping!$D:$D,$B75)&gt;0,"X","")</f>
        <v/>
      </c>
      <c r="AA75" s="114" t="str">
        <f>IF(COUNTIFS(mapping!$B:$B,AA$2,mapping!$D:$D,$B75)&gt;0,"X","")</f>
        <v/>
      </c>
      <c r="AB75" s="114" t="str">
        <f>IF(COUNTIFS(mapping!$B:$B,AB$2,mapping!$D:$D,$B75)&gt;0,"X","")</f>
        <v/>
      </c>
      <c r="AC75" s="114" t="str">
        <f>IF(COUNTIFS(mapping!$B:$B,AC$2,mapping!$D:$D,$B75)&gt;0,"X","")</f>
        <v/>
      </c>
      <c r="AD75" s="114" t="str">
        <f>IF(COUNTIFS(mapping!$B:$B,AD$2,mapping!$D:$D,$B75)&gt;0,"X","")</f>
        <v/>
      </c>
      <c r="AE75" s="114" t="str">
        <f>IF(COUNTIFS(mapping!$B:$B,AE$2,mapping!$D:$D,$B75)&gt;0,"X","")</f>
        <v/>
      </c>
      <c r="AF75" s="114" t="str">
        <f>IF(COUNTIFS(mapping!$B:$B,AF$2,mapping!$D:$D,$B75)&gt;0,"X","")</f>
        <v/>
      </c>
      <c r="AG75" s="114" t="str">
        <f>IF(COUNTIFS(mapping!$B:$B,AG$2,mapping!$D:$D,$B75)&gt;0,"X","")</f>
        <v/>
      </c>
      <c r="AH75" s="114" t="str">
        <f>IF(COUNTIFS(mapping!$B:$B,AH$2,mapping!$D:$D,$B75)&gt;0,"X","")</f>
        <v/>
      </c>
      <c r="AI75" s="114" t="str">
        <f>IF(COUNTIFS(mapping!$B:$B,AI$2,mapping!$D:$D,$B75)&gt;0,"X","")</f>
        <v/>
      </c>
      <c r="AJ75" s="114" t="str">
        <f>IF(COUNTIFS(mapping!$B:$B,AJ$2,mapping!$D:$D,$B75)&gt;0,"X","")</f>
        <v/>
      </c>
      <c r="AK75" s="114" t="str">
        <f>IF(COUNTIFS(mapping!$B:$B,AK$2,mapping!$D:$D,$B75)&gt;0,"X","")</f>
        <v/>
      </c>
      <c r="AL75" s="114" t="str">
        <f>IF(COUNTIFS(mapping!$B:$B,AL$2,mapping!$D:$D,$B75)&gt;0,"X","")</f>
        <v/>
      </c>
      <c r="AM75" s="114" t="str">
        <f>IF(COUNTIFS(mapping!$B:$B,AM$2,mapping!$D:$D,$B75)&gt;0,"X","")</f>
        <v/>
      </c>
      <c r="AN75" s="114" t="str">
        <f>IF(COUNTIFS(mapping!$B:$B,AN$2,mapping!$D:$D,$B75)&gt;0,"X","")</f>
        <v/>
      </c>
      <c r="AO75" s="114" t="str">
        <f>IF(COUNTIFS(mapping!$B:$B,AO$2,mapping!$D:$D,$B75)&gt;0,"X","")</f>
        <v/>
      </c>
      <c r="AP75" s="114" t="str">
        <f>IF(COUNTIFS(mapping!$B:$B,AP$2,mapping!$D:$D,$B75)&gt;0,"X","")</f>
        <v/>
      </c>
      <c r="AQ75" s="114" t="str">
        <f>IF(COUNTIFS(mapping!$B:$B,AQ$2,mapping!$D:$D,$B75)&gt;0,"X","")</f>
        <v/>
      </c>
      <c r="AR75" s="114" t="str">
        <f>IF(COUNTIFS(mapping!$B:$B,AR$2,mapping!$D:$D,$B75)&gt;0,"X","")</f>
        <v/>
      </c>
      <c r="AS75" s="114" t="str">
        <f>IF(COUNTIFS(mapping!$B:$B,AS$2,mapping!$D:$D,$B75)&gt;0,"X","")</f>
        <v/>
      </c>
      <c r="AT75" s="114" t="str">
        <f>IF(COUNTIFS(mapping!$B:$B,AT$2,mapping!$D:$D,$B75)&gt;0,"X","")</f>
        <v/>
      </c>
      <c r="AU75" s="114" t="str">
        <f>IF(COUNTIFS(mapping!$B:$B,AU$2,mapping!$D:$D,$B75)&gt;0,"X","")</f>
        <v>X</v>
      </c>
      <c r="AV75" s="114" t="str">
        <f>IF(COUNTIFS(mapping!$B:$B,AV$2,mapping!$D:$D,$B75)&gt;0,"X","")</f>
        <v/>
      </c>
      <c r="AW75" s="114" t="str">
        <f>IF(COUNTIFS(mapping!$B:$B,AW$2,mapping!$D:$D,$B75)&gt;0,"X","")</f>
        <v/>
      </c>
      <c r="AX75" s="114" t="str">
        <f>IF(COUNTIFS(mapping!$B:$B,AX$2,mapping!$D:$D,$B75)&gt;0,"X","")</f>
        <v/>
      </c>
      <c r="AY75" s="114" t="str">
        <f>IF(COUNTIFS(mapping!$B:$B,AY$2,mapping!$D:$D,$B75)&gt;0,"X","")</f>
        <v/>
      </c>
      <c r="AZ75" s="114" t="str">
        <f>IF(COUNTIFS(mapping!$B:$B,AZ$2,mapping!$D:$D,$B75)&gt;0,"X","")</f>
        <v>X</v>
      </c>
      <c r="BA75" s="114" t="str">
        <f>IF(COUNTIFS(mapping!$B:$B,BA$2,mapping!$D:$D,$B75)&gt;0,"X","")</f>
        <v/>
      </c>
      <c r="BB75" s="114" t="str">
        <f>IF(COUNTIFS(mapping!$B:$B,BB$2,mapping!$D:$D,$B75)&gt;0,"X","")</f>
        <v/>
      </c>
      <c r="BC75" s="114" t="str">
        <f>IF(COUNTIFS(mapping!$B:$B,BC$2,mapping!$D:$D,$B75)&gt;0,"X","")</f>
        <v/>
      </c>
      <c r="BD75" s="114" t="str">
        <f>IF(COUNTIFS(mapping!$B:$B,BD$2,mapping!$D:$D,$B75)&gt;0,"X","")</f>
        <v/>
      </c>
      <c r="BE75" s="114" t="str">
        <f>IF(COUNTIFS(mapping!$B:$B,BE$2,mapping!$D:$D,$B75)&gt;0,"X","")</f>
        <v/>
      </c>
      <c r="BF75" s="114" t="str">
        <f>IF(COUNTIFS(mapping!$B:$B,BF$2,mapping!$D:$D,$B75)&gt;0,"X","")</f>
        <v/>
      </c>
      <c r="BG75" s="114" t="str">
        <f>IF(COUNTIFS(mapping!$B:$B,BG$2,mapping!$D:$D,$B75)&gt;0,"X","")</f>
        <v/>
      </c>
      <c r="BH75" s="114" t="str">
        <f>IF(COUNTIFS(mapping!$B:$B,BH$2,mapping!$D:$D,$B75)&gt;0,"X","")</f>
        <v/>
      </c>
      <c r="BI75" s="114" t="str">
        <f>IF(COUNTIFS(mapping!$B:$B,BI$2,mapping!$D:$D,$B75)&gt;0,"X","")</f>
        <v/>
      </c>
      <c r="BJ75" s="114" t="str">
        <f>IF(COUNTIFS(mapping!$B:$B,BJ$2,mapping!$D:$D,$B75)&gt;0,"X","")</f>
        <v/>
      </c>
      <c r="BK75" s="114" t="str">
        <f>IF(COUNTIFS(mapping!$B:$B,BK$2,mapping!$D:$D,$B75)&gt;0,"X","")</f>
        <v/>
      </c>
      <c r="BL75" s="114" t="str">
        <f>IF(COUNTIFS(mapping!$B:$B,BL$2,mapping!$D:$D,$B75)&gt;0,"X","")</f>
        <v/>
      </c>
      <c r="BM75" s="114" t="str">
        <f>IF(COUNTIFS(mapping!$B:$B,BM$2,mapping!$D:$D,$B75)&gt;0,"X","")</f>
        <v/>
      </c>
      <c r="BN75" s="114" t="str">
        <f>IF(COUNTIFS(mapping!$B:$B,BN$2,mapping!$D:$D,$B75)&gt;0,"X","")</f>
        <v/>
      </c>
      <c r="BO75" s="114" t="str">
        <f>IF(COUNTIFS(mapping!$B:$B,BO$2,mapping!$D:$D,$B75)&gt;0,"X","")</f>
        <v/>
      </c>
      <c r="BP75" s="114" t="str">
        <f>IF(COUNTIFS(mapping!$B:$B,BP$2,mapping!$D:$D,$B75)&gt;0,"X","")</f>
        <v/>
      </c>
      <c r="BQ75" s="114" t="str">
        <f>IF(COUNTIFS(mapping!$B:$B,BQ$2,mapping!$D:$D,$B75)&gt;0,"X","")</f>
        <v/>
      </c>
      <c r="BR75" s="114" t="str">
        <f>IF(COUNTIFS(mapping!$B:$B,BR$2,mapping!$D:$D,$B75)&gt;0,"X","")</f>
        <v/>
      </c>
      <c r="BS75" s="114" t="str">
        <f>IF(COUNTIFS(mapping!$B:$B,BS$2,mapping!$D:$D,$B75)&gt;0,"X","")</f>
        <v/>
      </c>
      <c r="BT75" s="114" t="str">
        <f>IF(COUNTIFS(mapping!$B:$B,BT$2,mapping!$D:$D,$B75)&gt;0,"X","")</f>
        <v/>
      </c>
      <c r="BU75" s="114" t="str">
        <f>IF(COUNTIFS(mapping!$B:$B,BU$2,mapping!$D:$D,$B75)&gt;0,"X","")</f>
        <v/>
      </c>
      <c r="BV75" s="114" t="str">
        <f>IF(COUNTIFS(mapping!$B:$B,BV$2,mapping!$D:$D,$B75)&gt;0,"X","")</f>
        <v/>
      </c>
      <c r="BW75" s="114" t="str">
        <f>IF(COUNTIFS(mapping!$B:$B,BW$2,mapping!$D:$D,$B75)&gt;0,"X","")</f>
        <v/>
      </c>
      <c r="BX75" s="114" t="str">
        <f>IF(COUNTIFS(mapping!$B:$B,BX$2,mapping!$D:$D,$B75)&gt;0,"X","")</f>
        <v/>
      </c>
      <c r="BY75" s="114" t="str">
        <f>IF(COUNTIFS(mapping!$B:$B,BY$2,mapping!$D:$D,$B75)&gt;0,"X","")</f>
        <v/>
      </c>
      <c r="BZ75" s="114" t="str">
        <f>IF(COUNTIFS(mapping!$B:$B,BZ$2,mapping!$D:$D,$B75)&gt;0,"X","")</f>
        <v/>
      </c>
      <c r="CA75" s="114" t="str">
        <f>IF(COUNTIFS(mapping!$B:$B,CA$2,mapping!$D:$D,$B75)&gt;0,"X","")</f>
        <v/>
      </c>
      <c r="CB75" s="114" t="str">
        <f>IF(COUNTIFS(mapping!$B:$B,CB$2,mapping!$D:$D,$B75)&gt;0,"X","")</f>
        <v/>
      </c>
      <c r="CC75" s="114" t="str">
        <f>IF(COUNTIFS(mapping!$B:$B,CC$2,mapping!$D:$D,$B75)&gt;0,"X","")</f>
        <v/>
      </c>
      <c r="CD75" s="114" t="str">
        <f>IF(COUNTIFS(mapping!$B:$B,CD$2,mapping!$D:$D,$B75)&gt;0,"X","")</f>
        <v/>
      </c>
      <c r="CE75" s="114" t="str">
        <f>IF(COUNTIFS(mapping!$B:$B,CE$2,mapping!$D:$D,$B75)&gt;0,"X","")</f>
        <v/>
      </c>
      <c r="CF75" s="114" t="str">
        <f>IF(COUNTIFS(mapping!$B:$B,CF$2,mapping!$D:$D,$B75)&gt;0,"X","")</f>
        <v/>
      </c>
      <c r="CG75" s="114" t="str">
        <f>IF(COUNTIFS(mapping!$B:$B,CG$2,mapping!$D:$D,$B75)&gt;0,"X","")</f>
        <v/>
      </c>
      <c r="CH75" s="114" t="str">
        <f>IF(COUNTIFS(mapping!$B:$B,CH$2,mapping!$D:$D,$B75)&gt;0,"X","")</f>
        <v/>
      </c>
    </row>
    <row r="76" spans="1:86" ht="16">
      <c r="A76" s="258"/>
      <c r="B76" s="122" t="s">
        <v>386</v>
      </c>
      <c r="C76" s="122" t="s">
        <v>385</v>
      </c>
      <c r="E76" s="114" t="str">
        <f>IF(COUNTIFS(mapping!$B:$B,E$2,mapping!$D:$D,$B76)&gt;0,"X","")</f>
        <v>X</v>
      </c>
      <c r="F76" s="114" t="str">
        <f>IF(COUNTIFS(mapping!$B:$B,F$2,mapping!$D:$D,$B76)&gt;0,"X","")</f>
        <v/>
      </c>
      <c r="G76" s="114" t="str">
        <f>IF(COUNTIFS(mapping!$B:$B,G$2,mapping!$D:$D,$B76)&gt;0,"X","")</f>
        <v/>
      </c>
      <c r="H76" s="114" t="str">
        <f>IF(COUNTIFS(mapping!$B:$B,H$2,mapping!$D:$D,$B76)&gt;0,"X","")</f>
        <v/>
      </c>
      <c r="I76" s="114" t="str">
        <f>IF(COUNTIFS(mapping!$B:$B,I$2,mapping!$D:$D,$B76)&gt;0,"X","")</f>
        <v/>
      </c>
      <c r="J76" s="114" t="str">
        <f>IF(COUNTIFS(mapping!$B:$B,J$2,mapping!$D:$D,$B76)&gt;0,"X","")</f>
        <v/>
      </c>
      <c r="K76" s="114" t="str">
        <f>IF(COUNTIFS(mapping!$B:$B,K$2,mapping!$D:$D,$B76)&gt;0,"X","")</f>
        <v/>
      </c>
      <c r="L76" s="114" t="str">
        <f>IF(COUNTIFS(mapping!$B:$B,L$2,mapping!$D:$D,$B76)&gt;0,"X","")</f>
        <v/>
      </c>
      <c r="M76" s="114" t="str">
        <f>IF(COUNTIFS(mapping!$B:$B,M$2,mapping!$D:$D,$B76)&gt;0,"X","")</f>
        <v/>
      </c>
      <c r="N76" s="114" t="str">
        <f>IF(COUNTIFS(mapping!$B:$B,N$2,mapping!$D:$D,$B76)&gt;0,"X","")</f>
        <v>X</v>
      </c>
      <c r="O76" s="114" t="str">
        <f>IF(COUNTIFS(mapping!$B:$B,O$2,mapping!$D:$D,$B76)&gt;0,"X","")</f>
        <v/>
      </c>
      <c r="P76" s="114" t="str">
        <f>IF(COUNTIFS(mapping!$B:$B,P$2,mapping!$D:$D,$B76)&gt;0,"X","")</f>
        <v/>
      </c>
      <c r="Q76" s="114" t="str">
        <f>IF(COUNTIFS(mapping!$B:$B,Q$2,mapping!$D:$D,$B76)&gt;0,"X","")</f>
        <v/>
      </c>
      <c r="R76" s="114" t="str">
        <f>IF(COUNTIFS(mapping!$B:$B,R$2,mapping!$D:$D,$B76)&gt;0,"X","")</f>
        <v/>
      </c>
      <c r="S76" s="114" t="str">
        <f>IF(COUNTIFS(mapping!$B:$B,S$2,mapping!$D:$D,$B76)&gt;0,"X","")</f>
        <v/>
      </c>
      <c r="T76" s="114" t="str">
        <f>IF(COUNTIFS(mapping!$B:$B,T$2,mapping!$D:$D,$B76)&gt;0,"X","")</f>
        <v/>
      </c>
      <c r="U76" s="114" t="str">
        <f>IF(COUNTIFS(mapping!$B:$B,U$2,mapping!$D:$D,$B76)&gt;0,"X","")</f>
        <v/>
      </c>
      <c r="V76" s="114" t="str">
        <f>IF(COUNTIFS(mapping!$B:$B,V$2,mapping!$D:$D,$B76)&gt;0,"X","")</f>
        <v/>
      </c>
      <c r="W76" s="114" t="str">
        <f>IF(COUNTIFS(mapping!$B:$B,W$2,mapping!$D:$D,$B76)&gt;0,"X","")</f>
        <v/>
      </c>
      <c r="X76" s="114" t="str">
        <f>IF(COUNTIFS(mapping!$B:$B,X$2,mapping!$D:$D,$B76)&gt;0,"X","")</f>
        <v/>
      </c>
      <c r="Y76" s="114" t="str">
        <f>IF(COUNTIFS(mapping!$B:$B,Y$2,mapping!$D:$D,$B76)&gt;0,"X","")</f>
        <v/>
      </c>
      <c r="Z76" s="114" t="str">
        <f>IF(COUNTIFS(mapping!$B:$B,Z$2,mapping!$D:$D,$B76)&gt;0,"X","")</f>
        <v/>
      </c>
      <c r="AA76" s="114" t="str">
        <f>IF(COUNTIFS(mapping!$B:$B,AA$2,mapping!$D:$D,$B76)&gt;0,"X","")</f>
        <v/>
      </c>
      <c r="AB76" s="114" t="str">
        <f>IF(COUNTIFS(mapping!$B:$B,AB$2,mapping!$D:$D,$B76)&gt;0,"X","")</f>
        <v/>
      </c>
      <c r="AC76" s="114" t="str">
        <f>IF(COUNTIFS(mapping!$B:$B,AC$2,mapping!$D:$D,$B76)&gt;0,"X","")</f>
        <v>X</v>
      </c>
      <c r="AD76" s="114" t="str">
        <f>IF(COUNTIFS(mapping!$B:$B,AD$2,mapping!$D:$D,$B76)&gt;0,"X","")</f>
        <v/>
      </c>
      <c r="AE76" s="114" t="str">
        <f>IF(COUNTIFS(mapping!$B:$B,AE$2,mapping!$D:$D,$B76)&gt;0,"X","")</f>
        <v/>
      </c>
      <c r="AF76" s="114" t="str">
        <f>IF(COUNTIFS(mapping!$B:$B,AF$2,mapping!$D:$D,$B76)&gt;0,"X","")</f>
        <v/>
      </c>
      <c r="AG76" s="114" t="str">
        <f>IF(COUNTIFS(mapping!$B:$B,AG$2,mapping!$D:$D,$B76)&gt;0,"X","")</f>
        <v/>
      </c>
      <c r="AH76" s="114" t="str">
        <f>IF(COUNTIFS(mapping!$B:$B,AH$2,mapping!$D:$D,$B76)&gt;0,"X","")</f>
        <v/>
      </c>
      <c r="AI76" s="114" t="str">
        <f>IF(COUNTIFS(mapping!$B:$B,AI$2,mapping!$D:$D,$B76)&gt;0,"X","")</f>
        <v>X</v>
      </c>
      <c r="AJ76" s="114" t="str">
        <f>IF(COUNTIFS(mapping!$B:$B,AJ$2,mapping!$D:$D,$B76)&gt;0,"X","")</f>
        <v/>
      </c>
      <c r="AK76" s="114" t="str">
        <f>IF(COUNTIFS(mapping!$B:$B,AK$2,mapping!$D:$D,$B76)&gt;0,"X","")</f>
        <v/>
      </c>
      <c r="AL76" s="114" t="str">
        <f>IF(COUNTIFS(mapping!$B:$B,AL$2,mapping!$D:$D,$B76)&gt;0,"X","")</f>
        <v/>
      </c>
      <c r="AM76" s="114" t="str">
        <f>IF(COUNTIFS(mapping!$B:$B,AM$2,mapping!$D:$D,$B76)&gt;0,"X","")</f>
        <v/>
      </c>
      <c r="AN76" s="114" t="str">
        <f>IF(COUNTIFS(mapping!$B:$B,AN$2,mapping!$D:$D,$B76)&gt;0,"X","")</f>
        <v/>
      </c>
      <c r="AO76" s="114" t="str">
        <f>IF(COUNTIFS(mapping!$B:$B,AO$2,mapping!$D:$D,$B76)&gt;0,"X","")</f>
        <v/>
      </c>
      <c r="AP76" s="114" t="str">
        <f>IF(COUNTIFS(mapping!$B:$B,AP$2,mapping!$D:$D,$B76)&gt;0,"X","")</f>
        <v/>
      </c>
      <c r="AQ76" s="114" t="str">
        <f>IF(COUNTIFS(mapping!$B:$B,AQ$2,mapping!$D:$D,$B76)&gt;0,"X","")</f>
        <v/>
      </c>
      <c r="AR76" s="114" t="str">
        <f>IF(COUNTIFS(mapping!$B:$B,AR$2,mapping!$D:$D,$B76)&gt;0,"X","")</f>
        <v/>
      </c>
      <c r="AS76" s="114" t="str">
        <f>IF(COUNTIFS(mapping!$B:$B,AS$2,mapping!$D:$D,$B76)&gt;0,"X","")</f>
        <v/>
      </c>
      <c r="AT76" s="114" t="str">
        <f>IF(COUNTIFS(mapping!$B:$B,AT$2,mapping!$D:$D,$B76)&gt;0,"X","")</f>
        <v/>
      </c>
      <c r="AU76" s="114" t="str">
        <f>IF(COUNTIFS(mapping!$B:$B,AU$2,mapping!$D:$D,$B76)&gt;0,"X","")</f>
        <v/>
      </c>
      <c r="AV76" s="114" t="str">
        <f>IF(COUNTIFS(mapping!$B:$B,AV$2,mapping!$D:$D,$B76)&gt;0,"X","")</f>
        <v/>
      </c>
      <c r="AW76" s="114" t="str">
        <f>IF(COUNTIFS(mapping!$B:$B,AW$2,mapping!$D:$D,$B76)&gt;0,"X","")</f>
        <v/>
      </c>
      <c r="AX76" s="114" t="str">
        <f>IF(COUNTIFS(mapping!$B:$B,AX$2,mapping!$D:$D,$B76)&gt;0,"X","")</f>
        <v/>
      </c>
      <c r="AY76" s="114" t="str">
        <f>IF(COUNTIFS(mapping!$B:$B,AY$2,mapping!$D:$D,$B76)&gt;0,"X","")</f>
        <v/>
      </c>
      <c r="AZ76" s="114" t="str">
        <f>IF(COUNTIFS(mapping!$B:$B,AZ$2,mapping!$D:$D,$B76)&gt;0,"X","")</f>
        <v/>
      </c>
      <c r="BA76" s="114" t="str">
        <f>IF(COUNTIFS(mapping!$B:$B,BA$2,mapping!$D:$D,$B76)&gt;0,"X","")</f>
        <v/>
      </c>
      <c r="BB76" s="114" t="str">
        <f>IF(COUNTIFS(mapping!$B:$B,BB$2,mapping!$D:$D,$B76)&gt;0,"X","")</f>
        <v/>
      </c>
      <c r="BC76" s="114" t="str">
        <f>IF(COUNTIFS(mapping!$B:$B,BC$2,mapping!$D:$D,$B76)&gt;0,"X","")</f>
        <v/>
      </c>
      <c r="BD76" s="114" t="str">
        <f>IF(COUNTIFS(mapping!$B:$B,BD$2,mapping!$D:$D,$B76)&gt;0,"X","")</f>
        <v/>
      </c>
      <c r="BE76" s="114" t="str">
        <f>IF(COUNTIFS(mapping!$B:$B,BE$2,mapping!$D:$D,$B76)&gt;0,"X","")</f>
        <v/>
      </c>
      <c r="BF76" s="114" t="str">
        <f>IF(COUNTIFS(mapping!$B:$B,BF$2,mapping!$D:$D,$B76)&gt;0,"X","")</f>
        <v/>
      </c>
      <c r="BG76" s="114" t="str">
        <f>IF(COUNTIFS(mapping!$B:$B,BG$2,mapping!$D:$D,$B76)&gt;0,"X","")</f>
        <v/>
      </c>
      <c r="BH76" s="114" t="str">
        <f>IF(COUNTIFS(mapping!$B:$B,BH$2,mapping!$D:$D,$B76)&gt;0,"X","")</f>
        <v/>
      </c>
      <c r="BI76" s="114" t="str">
        <f>IF(COUNTIFS(mapping!$B:$B,BI$2,mapping!$D:$D,$B76)&gt;0,"X","")</f>
        <v/>
      </c>
      <c r="BJ76" s="114" t="str">
        <f>IF(COUNTIFS(mapping!$B:$B,BJ$2,mapping!$D:$D,$B76)&gt;0,"X","")</f>
        <v>X</v>
      </c>
      <c r="BK76" s="114" t="str">
        <f>IF(COUNTIFS(mapping!$B:$B,BK$2,mapping!$D:$D,$B76)&gt;0,"X","")</f>
        <v/>
      </c>
      <c r="BL76" s="114" t="str">
        <f>IF(COUNTIFS(mapping!$B:$B,BL$2,mapping!$D:$D,$B76)&gt;0,"X","")</f>
        <v/>
      </c>
      <c r="BM76" s="114" t="str">
        <f>IF(COUNTIFS(mapping!$B:$B,BM$2,mapping!$D:$D,$B76)&gt;0,"X","")</f>
        <v/>
      </c>
      <c r="BN76" s="114" t="str">
        <f>IF(COUNTIFS(mapping!$B:$B,BN$2,mapping!$D:$D,$B76)&gt;0,"X","")</f>
        <v/>
      </c>
      <c r="BO76" s="114" t="str">
        <f>IF(COUNTIFS(mapping!$B:$B,BO$2,mapping!$D:$D,$B76)&gt;0,"X","")</f>
        <v/>
      </c>
      <c r="BP76" s="114" t="str">
        <f>IF(COUNTIFS(mapping!$B:$B,BP$2,mapping!$D:$D,$B76)&gt;0,"X","")</f>
        <v/>
      </c>
      <c r="BQ76" s="114" t="str">
        <f>IF(COUNTIFS(mapping!$B:$B,BQ$2,mapping!$D:$D,$B76)&gt;0,"X","")</f>
        <v>X</v>
      </c>
      <c r="BR76" s="114" t="str">
        <f>IF(COUNTIFS(mapping!$B:$B,BR$2,mapping!$D:$D,$B76)&gt;0,"X","")</f>
        <v/>
      </c>
      <c r="BS76" s="114" t="str">
        <f>IF(COUNTIFS(mapping!$B:$B,BS$2,mapping!$D:$D,$B76)&gt;0,"X","")</f>
        <v/>
      </c>
      <c r="BT76" s="114" t="str">
        <f>IF(COUNTIFS(mapping!$B:$B,BT$2,mapping!$D:$D,$B76)&gt;0,"X","")</f>
        <v/>
      </c>
      <c r="BU76" s="114" t="str">
        <f>IF(COUNTIFS(mapping!$B:$B,BU$2,mapping!$D:$D,$B76)&gt;0,"X","")</f>
        <v/>
      </c>
      <c r="BV76" s="114" t="str">
        <f>IF(COUNTIFS(mapping!$B:$B,BV$2,mapping!$D:$D,$B76)&gt;0,"X","")</f>
        <v/>
      </c>
      <c r="BW76" s="114" t="str">
        <f>IF(COUNTIFS(mapping!$B:$B,BW$2,mapping!$D:$D,$B76)&gt;0,"X","")</f>
        <v/>
      </c>
      <c r="BX76" s="114" t="str">
        <f>IF(COUNTIFS(mapping!$B:$B,BX$2,mapping!$D:$D,$B76)&gt;0,"X","")</f>
        <v/>
      </c>
      <c r="BY76" s="114" t="str">
        <f>IF(COUNTIFS(mapping!$B:$B,BY$2,mapping!$D:$D,$B76)&gt;0,"X","")</f>
        <v/>
      </c>
      <c r="BZ76" s="114" t="str">
        <f>IF(COUNTIFS(mapping!$B:$B,BZ$2,mapping!$D:$D,$B76)&gt;0,"X","")</f>
        <v/>
      </c>
      <c r="CA76" s="114" t="str">
        <f>IF(COUNTIFS(mapping!$B:$B,CA$2,mapping!$D:$D,$B76)&gt;0,"X","")</f>
        <v/>
      </c>
      <c r="CB76" s="114" t="str">
        <f>IF(COUNTIFS(mapping!$B:$B,CB$2,mapping!$D:$D,$B76)&gt;0,"X","")</f>
        <v/>
      </c>
      <c r="CC76" s="114" t="str">
        <f>IF(COUNTIFS(mapping!$B:$B,CC$2,mapping!$D:$D,$B76)&gt;0,"X","")</f>
        <v>X</v>
      </c>
      <c r="CD76" s="114" t="str">
        <f>IF(COUNTIFS(mapping!$B:$B,CD$2,mapping!$D:$D,$B76)&gt;0,"X","")</f>
        <v>X</v>
      </c>
      <c r="CE76" s="114" t="str">
        <f>IF(COUNTIFS(mapping!$B:$B,CE$2,mapping!$D:$D,$B76)&gt;0,"X","")</f>
        <v/>
      </c>
      <c r="CF76" s="114" t="str">
        <f>IF(COUNTIFS(mapping!$B:$B,CF$2,mapping!$D:$D,$B76)&gt;0,"X","")</f>
        <v/>
      </c>
      <c r="CG76" s="114" t="str">
        <f>IF(COUNTIFS(mapping!$B:$B,CG$2,mapping!$D:$D,$B76)&gt;0,"X","")</f>
        <v/>
      </c>
      <c r="CH76" s="114" t="str">
        <f>IF(COUNTIFS(mapping!$B:$B,CH$2,mapping!$D:$D,$B76)&gt;0,"X","")</f>
        <v/>
      </c>
    </row>
    <row r="77" spans="1:86" ht="16">
      <c r="A77" s="258"/>
      <c r="B77" s="122" t="s">
        <v>384</v>
      </c>
      <c r="C77" s="122" t="s">
        <v>383</v>
      </c>
      <c r="E77" s="114" t="str">
        <f>IF(COUNTIFS(mapping!$B:$B,E$2,mapping!$D:$D,$B77)&gt;0,"X","")</f>
        <v/>
      </c>
      <c r="F77" s="114" t="str">
        <f>IF(COUNTIFS(mapping!$B:$B,F$2,mapping!$D:$D,$B77)&gt;0,"X","")</f>
        <v/>
      </c>
      <c r="G77" s="114" t="str">
        <f>IF(COUNTIFS(mapping!$B:$B,G$2,mapping!$D:$D,$B77)&gt;0,"X","")</f>
        <v/>
      </c>
      <c r="H77" s="114" t="str">
        <f>IF(COUNTIFS(mapping!$B:$B,H$2,mapping!$D:$D,$B77)&gt;0,"X","")</f>
        <v/>
      </c>
      <c r="I77" s="114" t="str">
        <f>IF(COUNTIFS(mapping!$B:$B,I$2,mapping!$D:$D,$B77)&gt;0,"X","")</f>
        <v/>
      </c>
      <c r="J77" s="114" t="str">
        <f>IF(COUNTIFS(mapping!$B:$B,J$2,mapping!$D:$D,$B77)&gt;0,"X","")</f>
        <v>X</v>
      </c>
      <c r="K77" s="114" t="str">
        <f>IF(COUNTIFS(mapping!$B:$B,K$2,mapping!$D:$D,$B77)&gt;0,"X","")</f>
        <v/>
      </c>
      <c r="L77" s="114" t="str">
        <f>IF(COUNTIFS(mapping!$B:$B,L$2,mapping!$D:$D,$B77)&gt;0,"X","")</f>
        <v/>
      </c>
      <c r="M77" s="114" t="str">
        <f>IF(COUNTIFS(mapping!$B:$B,M$2,mapping!$D:$D,$B77)&gt;0,"X","")</f>
        <v/>
      </c>
      <c r="N77" s="114" t="str">
        <f>IF(COUNTIFS(mapping!$B:$B,N$2,mapping!$D:$D,$B77)&gt;0,"X","")</f>
        <v>X</v>
      </c>
      <c r="O77" s="114" t="str">
        <f>IF(COUNTIFS(mapping!$B:$B,O$2,mapping!$D:$D,$B77)&gt;0,"X","")</f>
        <v/>
      </c>
      <c r="P77" s="114" t="str">
        <f>IF(COUNTIFS(mapping!$B:$B,P$2,mapping!$D:$D,$B77)&gt;0,"X","")</f>
        <v/>
      </c>
      <c r="Q77" s="114" t="str">
        <f>IF(COUNTIFS(mapping!$B:$B,Q$2,mapping!$D:$D,$B77)&gt;0,"X","")</f>
        <v/>
      </c>
      <c r="R77" s="114" t="str">
        <f>IF(COUNTIFS(mapping!$B:$B,R$2,mapping!$D:$D,$B77)&gt;0,"X","")</f>
        <v/>
      </c>
      <c r="S77" s="114" t="str">
        <f>IF(COUNTIFS(mapping!$B:$B,S$2,mapping!$D:$D,$B77)&gt;0,"X","")</f>
        <v/>
      </c>
      <c r="T77" s="114" t="str">
        <f>IF(COUNTIFS(mapping!$B:$B,T$2,mapping!$D:$D,$B77)&gt;0,"X","")</f>
        <v/>
      </c>
      <c r="U77" s="114" t="str">
        <f>IF(COUNTIFS(mapping!$B:$B,U$2,mapping!$D:$D,$B77)&gt;0,"X","")</f>
        <v/>
      </c>
      <c r="V77" s="114" t="str">
        <f>IF(COUNTIFS(mapping!$B:$B,V$2,mapping!$D:$D,$B77)&gt;0,"X","")</f>
        <v/>
      </c>
      <c r="W77" s="114" t="str">
        <f>IF(COUNTIFS(mapping!$B:$B,W$2,mapping!$D:$D,$B77)&gt;0,"X","")</f>
        <v/>
      </c>
      <c r="X77" s="114" t="str">
        <f>IF(COUNTIFS(mapping!$B:$B,X$2,mapping!$D:$D,$B77)&gt;0,"X","")</f>
        <v/>
      </c>
      <c r="Y77" s="114" t="str">
        <f>IF(COUNTIFS(mapping!$B:$B,Y$2,mapping!$D:$D,$B77)&gt;0,"X","")</f>
        <v/>
      </c>
      <c r="Z77" s="114" t="str">
        <f>IF(COUNTIFS(mapping!$B:$B,Z$2,mapping!$D:$D,$B77)&gt;0,"X","")</f>
        <v/>
      </c>
      <c r="AA77" s="114" t="str">
        <f>IF(COUNTIFS(mapping!$B:$B,AA$2,mapping!$D:$D,$B77)&gt;0,"X","")</f>
        <v/>
      </c>
      <c r="AB77" s="114" t="str">
        <f>IF(COUNTIFS(mapping!$B:$B,AB$2,mapping!$D:$D,$B77)&gt;0,"X","")</f>
        <v/>
      </c>
      <c r="AC77" s="114" t="str">
        <f>IF(COUNTIFS(mapping!$B:$B,AC$2,mapping!$D:$D,$B77)&gt;0,"X","")</f>
        <v/>
      </c>
      <c r="AD77" s="114" t="str">
        <f>IF(COUNTIFS(mapping!$B:$B,AD$2,mapping!$D:$D,$B77)&gt;0,"X","")</f>
        <v/>
      </c>
      <c r="AE77" s="114" t="str">
        <f>IF(COUNTIFS(mapping!$B:$B,AE$2,mapping!$D:$D,$B77)&gt;0,"X","")</f>
        <v/>
      </c>
      <c r="AF77" s="114" t="str">
        <f>IF(COUNTIFS(mapping!$B:$B,AF$2,mapping!$D:$D,$B77)&gt;0,"X","")</f>
        <v/>
      </c>
      <c r="AG77" s="114" t="str">
        <f>IF(COUNTIFS(mapping!$B:$B,AG$2,mapping!$D:$D,$B77)&gt;0,"X","")</f>
        <v/>
      </c>
      <c r="AH77" s="114" t="str">
        <f>IF(COUNTIFS(mapping!$B:$B,AH$2,mapping!$D:$D,$B77)&gt;0,"X","")</f>
        <v/>
      </c>
      <c r="AI77" s="114" t="str">
        <f>IF(COUNTIFS(mapping!$B:$B,AI$2,mapping!$D:$D,$B77)&gt;0,"X","")</f>
        <v>X</v>
      </c>
      <c r="AJ77" s="114" t="str">
        <f>IF(COUNTIFS(mapping!$B:$B,AJ$2,mapping!$D:$D,$B77)&gt;0,"X","")</f>
        <v/>
      </c>
      <c r="AK77" s="114" t="str">
        <f>IF(COUNTIFS(mapping!$B:$B,AK$2,mapping!$D:$D,$B77)&gt;0,"X","")</f>
        <v/>
      </c>
      <c r="AL77" s="114" t="str">
        <f>IF(COUNTIFS(mapping!$B:$B,AL$2,mapping!$D:$D,$B77)&gt;0,"X","")</f>
        <v/>
      </c>
      <c r="AM77" s="114" t="str">
        <f>IF(COUNTIFS(mapping!$B:$B,AM$2,mapping!$D:$D,$B77)&gt;0,"X","")</f>
        <v/>
      </c>
      <c r="AN77" s="114" t="str">
        <f>IF(COUNTIFS(mapping!$B:$B,AN$2,mapping!$D:$D,$B77)&gt;0,"X","")</f>
        <v/>
      </c>
      <c r="AO77" s="114" t="str">
        <f>IF(COUNTIFS(mapping!$B:$B,AO$2,mapping!$D:$D,$B77)&gt;0,"X","")</f>
        <v/>
      </c>
      <c r="AP77" s="114" t="str">
        <f>IF(COUNTIFS(mapping!$B:$B,AP$2,mapping!$D:$D,$B77)&gt;0,"X","")</f>
        <v/>
      </c>
      <c r="AQ77" s="114" t="str">
        <f>IF(COUNTIFS(mapping!$B:$B,AQ$2,mapping!$D:$D,$B77)&gt;0,"X","")</f>
        <v/>
      </c>
      <c r="AR77" s="114" t="str">
        <f>IF(COUNTIFS(mapping!$B:$B,AR$2,mapping!$D:$D,$B77)&gt;0,"X","")</f>
        <v/>
      </c>
      <c r="AS77" s="114" t="str">
        <f>IF(COUNTIFS(mapping!$B:$B,AS$2,mapping!$D:$D,$B77)&gt;0,"X","")</f>
        <v/>
      </c>
      <c r="AT77" s="114" t="str">
        <f>IF(COUNTIFS(mapping!$B:$B,AT$2,mapping!$D:$D,$B77)&gt;0,"X","")</f>
        <v/>
      </c>
      <c r="AU77" s="114" t="str">
        <f>IF(COUNTIFS(mapping!$B:$B,AU$2,mapping!$D:$D,$B77)&gt;0,"X","")</f>
        <v/>
      </c>
      <c r="AV77" s="114" t="str">
        <f>IF(COUNTIFS(mapping!$B:$B,AV$2,mapping!$D:$D,$B77)&gt;0,"X","")</f>
        <v/>
      </c>
      <c r="AW77" s="114" t="str">
        <f>IF(COUNTIFS(mapping!$B:$B,AW$2,mapping!$D:$D,$B77)&gt;0,"X","")</f>
        <v/>
      </c>
      <c r="AX77" s="114" t="str">
        <f>IF(COUNTIFS(mapping!$B:$B,AX$2,mapping!$D:$D,$B77)&gt;0,"X","")</f>
        <v/>
      </c>
      <c r="AY77" s="114" t="str">
        <f>IF(COUNTIFS(mapping!$B:$B,AY$2,mapping!$D:$D,$B77)&gt;0,"X","")</f>
        <v/>
      </c>
      <c r="AZ77" s="114" t="str">
        <f>IF(COUNTIFS(mapping!$B:$B,AZ$2,mapping!$D:$D,$B77)&gt;0,"X","")</f>
        <v/>
      </c>
      <c r="BA77" s="114" t="str">
        <f>IF(COUNTIFS(mapping!$B:$B,BA$2,mapping!$D:$D,$B77)&gt;0,"X","")</f>
        <v/>
      </c>
      <c r="BB77" s="114" t="str">
        <f>IF(COUNTIFS(mapping!$B:$B,BB$2,mapping!$D:$D,$B77)&gt;0,"X","")</f>
        <v/>
      </c>
      <c r="BC77" s="114" t="str">
        <f>IF(COUNTIFS(mapping!$B:$B,BC$2,mapping!$D:$D,$B77)&gt;0,"X","")</f>
        <v/>
      </c>
      <c r="BD77" s="114" t="str">
        <f>IF(COUNTIFS(mapping!$B:$B,BD$2,mapping!$D:$D,$B77)&gt;0,"X","")</f>
        <v/>
      </c>
      <c r="BE77" s="114" t="str">
        <f>IF(COUNTIFS(mapping!$B:$B,BE$2,mapping!$D:$D,$B77)&gt;0,"X","")</f>
        <v/>
      </c>
      <c r="BF77" s="114" t="str">
        <f>IF(COUNTIFS(mapping!$B:$B,BF$2,mapping!$D:$D,$B77)&gt;0,"X","")</f>
        <v/>
      </c>
      <c r="BG77" s="114" t="str">
        <f>IF(COUNTIFS(mapping!$B:$B,BG$2,mapping!$D:$D,$B77)&gt;0,"X","")</f>
        <v/>
      </c>
      <c r="BH77" s="114" t="str">
        <f>IF(COUNTIFS(mapping!$B:$B,BH$2,mapping!$D:$D,$B77)&gt;0,"X","")</f>
        <v/>
      </c>
      <c r="BI77" s="114" t="str">
        <f>IF(COUNTIFS(mapping!$B:$B,BI$2,mapping!$D:$D,$B77)&gt;0,"X","")</f>
        <v/>
      </c>
      <c r="BJ77" s="114" t="str">
        <f>IF(COUNTIFS(mapping!$B:$B,BJ$2,mapping!$D:$D,$B77)&gt;0,"X","")</f>
        <v>X</v>
      </c>
      <c r="BK77" s="114" t="str">
        <f>IF(COUNTIFS(mapping!$B:$B,BK$2,mapping!$D:$D,$B77)&gt;0,"X","")</f>
        <v/>
      </c>
      <c r="BL77" s="114" t="str">
        <f>IF(COUNTIFS(mapping!$B:$B,BL$2,mapping!$D:$D,$B77)&gt;0,"X","")</f>
        <v/>
      </c>
      <c r="BM77" s="114" t="str">
        <f>IF(COUNTIFS(mapping!$B:$B,BM$2,mapping!$D:$D,$B77)&gt;0,"X","")</f>
        <v/>
      </c>
      <c r="BN77" s="114" t="str">
        <f>IF(COUNTIFS(mapping!$B:$B,BN$2,mapping!$D:$D,$B77)&gt;0,"X","")</f>
        <v/>
      </c>
      <c r="BO77" s="114" t="str">
        <f>IF(COUNTIFS(mapping!$B:$B,BO$2,mapping!$D:$D,$B77)&gt;0,"X","")</f>
        <v/>
      </c>
      <c r="BP77" s="114" t="str">
        <f>IF(COUNTIFS(mapping!$B:$B,BP$2,mapping!$D:$D,$B77)&gt;0,"X","")</f>
        <v/>
      </c>
      <c r="BQ77" s="114" t="str">
        <f>IF(COUNTIFS(mapping!$B:$B,BQ$2,mapping!$D:$D,$B77)&gt;0,"X","")</f>
        <v>X</v>
      </c>
      <c r="BR77" s="114" t="str">
        <f>IF(COUNTIFS(mapping!$B:$B,BR$2,mapping!$D:$D,$B77)&gt;0,"X","")</f>
        <v/>
      </c>
      <c r="BS77" s="114" t="str">
        <f>IF(COUNTIFS(mapping!$B:$B,BS$2,mapping!$D:$D,$B77)&gt;0,"X","")</f>
        <v/>
      </c>
      <c r="BT77" s="114" t="str">
        <f>IF(COUNTIFS(mapping!$B:$B,BT$2,mapping!$D:$D,$B77)&gt;0,"X","")</f>
        <v/>
      </c>
      <c r="BU77" s="114" t="str">
        <f>IF(COUNTIFS(mapping!$B:$B,BU$2,mapping!$D:$D,$B77)&gt;0,"X","")</f>
        <v/>
      </c>
      <c r="BV77" s="114" t="str">
        <f>IF(COUNTIFS(mapping!$B:$B,BV$2,mapping!$D:$D,$B77)&gt;0,"X","")</f>
        <v/>
      </c>
      <c r="BW77" s="114" t="str">
        <f>IF(COUNTIFS(mapping!$B:$B,BW$2,mapping!$D:$D,$B77)&gt;0,"X","")</f>
        <v/>
      </c>
      <c r="BX77" s="114" t="str">
        <f>IF(COUNTIFS(mapping!$B:$B,BX$2,mapping!$D:$D,$B77)&gt;0,"X","")</f>
        <v/>
      </c>
      <c r="BY77" s="114" t="str">
        <f>IF(COUNTIFS(mapping!$B:$B,BY$2,mapping!$D:$D,$B77)&gt;0,"X","")</f>
        <v>X</v>
      </c>
      <c r="BZ77" s="114" t="str">
        <f>IF(COUNTIFS(mapping!$B:$B,BZ$2,mapping!$D:$D,$B77)&gt;0,"X","")</f>
        <v/>
      </c>
      <c r="CA77" s="114" t="str">
        <f>IF(COUNTIFS(mapping!$B:$B,CA$2,mapping!$D:$D,$B77)&gt;0,"X","")</f>
        <v/>
      </c>
      <c r="CB77" s="114" t="str">
        <f>IF(COUNTIFS(mapping!$B:$B,CB$2,mapping!$D:$D,$B77)&gt;0,"X","")</f>
        <v/>
      </c>
      <c r="CC77" s="114" t="str">
        <f>IF(COUNTIFS(mapping!$B:$B,CC$2,mapping!$D:$D,$B77)&gt;0,"X","")</f>
        <v>X</v>
      </c>
      <c r="CD77" s="114" t="str">
        <f>IF(COUNTIFS(mapping!$B:$B,CD$2,mapping!$D:$D,$B77)&gt;0,"X","")</f>
        <v>X</v>
      </c>
      <c r="CE77" s="114" t="str">
        <f>IF(COUNTIFS(mapping!$B:$B,CE$2,mapping!$D:$D,$B77)&gt;0,"X","")</f>
        <v/>
      </c>
      <c r="CF77" s="114" t="str">
        <f>IF(COUNTIFS(mapping!$B:$B,CF$2,mapping!$D:$D,$B77)&gt;0,"X","")</f>
        <v/>
      </c>
      <c r="CG77" s="114" t="str">
        <f>IF(COUNTIFS(mapping!$B:$B,CG$2,mapping!$D:$D,$B77)&gt;0,"X","")</f>
        <v/>
      </c>
      <c r="CH77" s="114" t="str">
        <f>IF(COUNTIFS(mapping!$B:$B,CH$2,mapping!$D:$D,$B77)&gt;0,"X","")</f>
        <v/>
      </c>
    </row>
    <row r="78" spans="1:86" ht="16">
      <c r="A78" s="258"/>
      <c r="B78" s="122" t="s">
        <v>382</v>
      </c>
      <c r="C78" s="122" t="s">
        <v>381</v>
      </c>
      <c r="E78" s="114" t="str">
        <f>IF(COUNTIFS(mapping!$B:$B,E$2,mapping!$D:$D,$B78)&gt;0,"X","")</f>
        <v/>
      </c>
      <c r="F78" s="114" t="str">
        <f>IF(COUNTIFS(mapping!$B:$B,F$2,mapping!$D:$D,$B78)&gt;0,"X","")</f>
        <v/>
      </c>
      <c r="G78" s="114" t="str">
        <f>IF(COUNTIFS(mapping!$B:$B,G$2,mapping!$D:$D,$B78)&gt;0,"X","")</f>
        <v/>
      </c>
      <c r="H78" s="114" t="str">
        <f>IF(COUNTIFS(mapping!$B:$B,H$2,mapping!$D:$D,$B78)&gt;0,"X","")</f>
        <v/>
      </c>
      <c r="I78" s="114" t="str">
        <f>IF(COUNTIFS(mapping!$B:$B,I$2,mapping!$D:$D,$B78)&gt;0,"X","")</f>
        <v/>
      </c>
      <c r="J78" s="114" t="str">
        <f>IF(COUNTIFS(mapping!$B:$B,J$2,mapping!$D:$D,$B78)&gt;0,"X","")</f>
        <v>X</v>
      </c>
      <c r="K78" s="114" t="str">
        <f>IF(COUNTIFS(mapping!$B:$B,K$2,mapping!$D:$D,$B78)&gt;0,"X","")</f>
        <v>X</v>
      </c>
      <c r="L78" s="114" t="str">
        <f>IF(COUNTIFS(mapping!$B:$B,L$2,mapping!$D:$D,$B78)&gt;0,"X","")</f>
        <v/>
      </c>
      <c r="M78" s="114" t="str">
        <f>IF(COUNTIFS(mapping!$B:$B,M$2,mapping!$D:$D,$B78)&gt;0,"X","")</f>
        <v/>
      </c>
      <c r="N78" s="114" t="str">
        <f>IF(COUNTIFS(mapping!$B:$B,N$2,mapping!$D:$D,$B78)&gt;0,"X","")</f>
        <v/>
      </c>
      <c r="O78" s="114" t="str">
        <f>IF(COUNTIFS(mapping!$B:$B,O$2,mapping!$D:$D,$B78)&gt;0,"X","")</f>
        <v/>
      </c>
      <c r="P78" s="114" t="str">
        <f>IF(COUNTIFS(mapping!$B:$B,P$2,mapping!$D:$D,$B78)&gt;0,"X","")</f>
        <v/>
      </c>
      <c r="Q78" s="114" t="str">
        <f>IF(COUNTIFS(mapping!$B:$B,Q$2,mapping!$D:$D,$B78)&gt;0,"X","")</f>
        <v/>
      </c>
      <c r="R78" s="114" t="str">
        <f>IF(COUNTIFS(mapping!$B:$B,R$2,mapping!$D:$D,$B78)&gt;0,"X","")</f>
        <v/>
      </c>
      <c r="S78" s="114" t="str">
        <f>IF(COUNTIFS(mapping!$B:$B,S$2,mapping!$D:$D,$B78)&gt;0,"X","")</f>
        <v/>
      </c>
      <c r="T78" s="114" t="str">
        <f>IF(COUNTIFS(mapping!$B:$B,T$2,mapping!$D:$D,$B78)&gt;0,"X","")</f>
        <v/>
      </c>
      <c r="U78" s="114" t="str">
        <f>IF(COUNTIFS(mapping!$B:$B,U$2,mapping!$D:$D,$B78)&gt;0,"X","")</f>
        <v/>
      </c>
      <c r="V78" s="114" t="str">
        <f>IF(COUNTIFS(mapping!$B:$B,V$2,mapping!$D:$D,$B78)&gt;0,"X","")</f>
        <v/>
      </c>
      <c r="W78" s="114" t="str">
        <f>IF(COUNTIFS(mapping!$B:$B,W$2,mapping!$D:$D,$B78)&gt;0,"X","")</f>
        <v/>
      </c>
      <c r="X78" s="114" t="str">
        <f>IF(COUNTIFS(mapping!$B:$B,X$2,mapping!$D:$D,$B78)&gt;0,"X","")</f>
        <v/>
      </c>
      <c r="Y78" s="114" t="str">
        <f>IF(COUNTIFS(mapping!$B:$B,Y$2,mapping!$D:$D,$B78)&gt;0,"X","")</f>
        <v/>
      </c>
      <c r="Z78" s="114" t="str">
        <f>IF(COUNTIFS(mapping!$B:$B,Z$2,mapping!$D:$D,$B78)&gt;0,"X","")</f>
        <v/>
      </c>
      <c r="AA78" s="114" t="str">
        <f>IF(COUNTIFS(mapping!$B:$B,AA$2,mapping!$D:$D,$B78)&gt;0,"X","")</f>
        <v/>
      </c>
      <c r="AB78" s="114" t="str">
        <f>IF(COUNTIFS(mapping!$B:$B,AB$2,mapping!$D:$D,$B78)&gt;0,"X","")</f>
        <v/>
      </c>
      <c r="AC78" s="114" t="str">
        <f>IF(COUNTIFS(mapping!$B:$B,AC$2,mapping!$D:$D,$B78)&gt;0,"X","")</f>
        <v/>
      </c>
      <c r="AD78" s="114" t="str">
        <f>IF(COUNTIFS(mapping!$B:$B,AD$2,mapping!$D:$D,$B78)&gt;0,"X","")</f>
        <v/>
      </c>
      <c r="AE78" s="114" t="str">
        <f>IF(COUNTIFS(mapping!$B:$B,AE$2,mapping!$D:$D,$B78)&gt;0,"X","")</f>
        <v/>
      </c>
      <c r="AF78" s="114" t="str">
        <f>IF(COUNTIFS(mapping!$B:$B,AF$2,mapping!$D:$D,$B78)&gt;0,"X","")</f>
        <v/>
      </c>
      <c r="AG78" s="114" t="str">
        <f>IF(COUNTIFS(mapping!$B:$B,AG$2,mapping!$D:$D,$B78)&gt;0,"X","")</f>
        <v/>
      </c>
      <c r="AH78" s="114" t="str">
        <f>IF(COUNTIFS(mapping!$B:$B,AH$2,mapping!$D:$D,$B78)&gt;0,"X","")</f>
        <v/>
      </c>
      <c r="AI78" s="114" t="str">
        <f>IF(COUNTIFS(mapping!$B:$B,AI$2,mapping!$D:$D,$B78)&gt;0,"X","")</f>
        <v/>
      </c>
      <c r="AJ78" s="114" t="str">
        <f>IF(COUNTIFS(mapping!$B:$B,AJ$2,mapping!$D:$D,$B78)&gt;0,"X","")</f>
        <v/>
      </c>
      <c r="AK78" s="114" t="str">
        <f>IF(COUNTIFS(mapping!$B:$B,AK$2,mapping!$D:$D,$B78)&gt;0,"X","")</f>
        <v/>
      </c>
      <c r="AL78" s="114" t="str">
        <f>IF(COUNTIFS(mapping!$B:$B,AL$2,mapping!$D:$D,$B78)&gt;0,"X","")</f>
        <v/>
      </c>
      <c r="AM78" s="114" t="str">
        <f>IF(COUNTIFS(mapping!$B:$B,AM$2,mapping!$D:$D,$B78)&gt;0,"X","")</f>
        <v/>
      </c>
      <c r="AN78" s="114" t="str">
        <f>IF(COUNTIFS(mapping!$B:$B,AN$2,mapping!$D:$D,$B78)&gt;0,"X","")</f>
        <v/>
      </c>
      <c r="AO78" s="114" t="str">
        <f>IF(COUNTIFS(mapping!$B:$B,AO$2,mapping!$D:$D,$B78)&gt;0,"X","")</f>
        <v/>
      </c>
      <c r="AP78" s="114" t="str">
        <f>IF(COUNTIFS(mapping!$B:$B,AP$2,mapping!$D:$D,$B78)&gt;0,"X","")</f>
        <v/>
      </c>
      <c r="AQ78" s="114" t="str">
        <f>IF(COUNTIFS(mapping!$B:$B,AQ$2,mapping!$D:$D,$B78)&gt;0,"X","")</f>
        <v/>
      </c>
      <c r="AR78" s="114" t="str">
        <f>IF(COUNTIFS(mapping!$B:$B,AR$2,mapping!$D:$D,$B78)&gt;0,"X","")</f>
        <v/>
      </c>
      <c r="AS78" s="114" t="str">
        <f>IF(COUNTIFS(mapping!$B:$B,AS$2,mapping!$D:$D,$B78)&gt;0,"X","")</f>
        <v/>
      </c>
      <c r="AT78" s="114" t="str">
        <f>IF(COUNTIFS(mapping!$B:$B,AT$2,mapping!$D:$D,$B78)&gt;0,"X","")</f>
        <v/>
      </c>
      <c r="AU78" s="114" t="str">
        <f>IF(COUNTIFS(mapping!$B:$B,AU$2,mapping!$D:$D,$B78)&gt;0,"X","")</f>
        <v/>
      </c>
      <c r="AV78" s="114" t="str">
        <f>IF(COUNTIFS(mapping!$B:$B,AV$2,mapping!$D:$D,$B78)&gt;0,"X","")</f>
        <v/>
      </c>
      <c r="AW78" s="114" t="str">
        <f>IF(COUNTIFS(mapping!$B:$B,AW$2,mapping!$D:$D,$B78)&gt;0,"X","")</f>
        <v/>
      </c>
      <c r="AX78" s="114" t="str">
        <f>IF(COUNTIFS(mapping!$B:$B,AX$2,mapping!$D:$D,$B78)&gt;0,"X","")</f>
        <v/>
      </c>
      <c r="AY78" s="114" t="str">
        <f>IF(COUNTIFS(mapping!$B:$B,AY$2,mapping!$D:$D,$B78)&gt;0,"X","")</f>
        <v/>
      </c>
      <c r="AZ78" s="114" t="str">
        <f>IF(COUNTIFS(mapping!$B:$B,AZ$2,mapping!$D:$D,$B78)&gt;0,"X","")</f>
        <v/>
      </c>
      <c r="BA78" s="114" t="str">
        <f>IF(COUNTIFS(mapping!$B:$B,BA$2,mapping!$D:$D,$B78)&gt;0,"X","")</f>
        <v/>
      </c>
      <c r="BB78" s="114" t="str">
        <f>IF(COUNTIFS(mapping!$B:$B,BB$2,mapping!$D:$D,$B78)&gt;0,"X","")</f>
        <v/>
      </c>
      <c r="BC78" s="114" t="str">
        <f>IF(COUNTIFS(mapping!$B:$B,BC$2,mapping!$D:$D,$B78)&gt;0,"X","")</f>
        <v/>
      </c>
      <c r="BD78" s="114" t="str">
        <f>IF(COUNTIFS(mapping!$B:$B,BD$2,mapping!$D:$D,$B78)&gt;0,"X","")</f>
        <v/>
      </c>
      <c r="BE78" s="114" t="str">
        <f>IF(COUNTIFS(mapping!$B:$B,BE$2,mapping!$D:$D,$B78)&gt;0,"X","")</f>
        <v/>
      </c>
      <c r="BF78" s="114" t="str">
        <f>IF(COUNTIFS(mapping!$B:$B,BF$2,mapping!$D:$D,$B78)&gt;0,"X","")</f>
        <v/>
      </c>
      <c r="BG78" s="114" t="str">
        <f>IF(COUNTIFS(mapping!$B:$B,BG$2,mapping!$D:$D,$B78)&gt;0,"X","")</f>
        <v/>
      </c>
      <c r="BH78" s="114" t="str">
        <f>IF(COUNTIFS(mapping!$B:$B,BH$2,mapping!$D:$D,$B78)&gt;0,"X","")</f>
        <v/>
      </c>
      <c r="BI78" s="114" t="str">
        <f>IF(COUNTIFS(mapping!$B:$B,BI$2,mapping!$D:$D,$B78)&gt;0,"X","")</f>
        <v/>
      </c>
      <c r="BJ78" s="114" t="str">
        <f>IF(COUNTIFS(mapping!$B:$B,BJ$2,mapping!$D:$D,$B78)&gt;0,"X","")</f>
        <v/>
      </c>
      <c r="BK78" s="114" t="str">
        <f>IF(COUNTIFS(mapping!$B:$B,BK$2,mapping!$D:$D,$B78)&gt;0,"X","")</f>
        <v/>
      </c>
      <c r="BL78" s="114" t="str">
        <f>IF(COUNTIFS(mapping!$B:$B,BL$2,mapping!$D:$D,$B78)&gt;0,"X","")</f>
        <v/>
      </c>
      <c r="BM78" s="114" t="str">
        <f>IF(COUNTIFS(mapping!$B:$B,BM$2,mapping!$D:$D,$B78)&gt;0,"X","")</f>
        <v/>
      </c>
      <c r="BN78" s="114" t="str">
        <f>IF(COUNTIFS(mapping!$B:$B,BN$2,mapping!$D:$D,$B78)&gt;0,"X","")</f>
        <v/>
      </c>
      <c r="BO78" s="114" t="str">
        <f>IF(COUNTIFS(mapping!$B:$B,BO$2,mapping!$D:$D,$B78)&gt;0,"X","")</f>
        <v/>
      </c>
      <c r="BP78" s="114" t="str">
        <f>IF(COUNTIFS(mapping!$B:$B,BP$2,mapping!$D:$D,$B78)&gt;0,"X","")</f>
        <v/>
      </c>
      <c r="BQ78" s="114" t="str">
        <f>IF(COUNTIFS(mapping!$B:$B,BQ$2,mapping!$D:$D,$B78)&gt;0,"X","")</f>
        <v/>
      </c>
      <c r="BR78" s="114" t="str">
        <f>IF(COUNTIFS(mapping!$B:$B,BR$2,mapping!$D:$D,$B78)&gt;0,"X","")</f>
        <v/>
      </c>
      <c r="BS78" s="114" t="str">
        <f>IF(COUNTIFS(mapping!$B:$B,BS$2,mapping!$D:$D,$B78)&gt;0,"X","")</f>
        <v/>
      </c>
      <c r="BT78" s="114" t="str">
        <f>IF(COUNTIFS(mapping!$B:$B,BT$2,mapping!$D:$D,$B78)&gt;0,"X","")</f>
        <v/>
      </c>
      <c r="BU78" s="114" t="str">
        <f>IF(COUNTIFS(mapping!$B:$B,BU$2,mapping!$D:$D,$B78)&gt;0,"X","")</f>
        <v/>
      </c>
      <c r="BV78" s="114" t="str">
        <f>IF(COUNTIFS(mapping!$B:$B,BV$2,mapping!$D:$D,$B78)&gt;0,"X","")</f>
        <v/>
      </c>
      <c r="BW78" s="114" t="str">
        <f>IF(COUNTIFS(mapping!$B:$B,BW$2,mapping!$D:$D,$B78)&gt;0,"X","")</f>
        <v/>
      </c>
      <c r="BX78" s="114" t="str">
        <f>IF(COUNTIFS(mapping!$B:$B,BX$2,mapping!$D:$D,$B78)&gt;0,"X","")</f>
        <v/>
      </c>
      <c r="BY78" s="114" t="str">
        <f>IF(COUNTIFS(mapping!$B:$B,BY$2,mapping!$D:$D,$B78)&gt;0,"X","")</f>
        <v>X</v>
      </c>
      <c r="BZ78" s="114" t="str">
        <f>IF(COUNTIFS(mapping!$B:$B,BZ$2,mapping!$D:$D,$B78)&gt;0,"X","")</f>
        <v>X</v>
      </c>
      <c r="CA78" s="114" t="str">
        <f>IF(COUNTIFS(mapping!$B:$B,CA$2,mapping!$D:$D,$B78)&gt;0,"X","")</f>
        <v>X</v>
      </c>
      <c r="CB78" s="114" t="str">
        <f>IF(COUNTIFS(mapping!$B:$B,CB$2,mapping!$D:$D,$B78)&gt;0,"X","")</f>
        <v/>
      </c>
      <c r="CC78" s="114" t="str">
        <f>IF(COUNTIFS(mapping!$B:$B,CC$2,mapping!$D:$D,$B78)&gt;0,"X","")</f>
        <v/>
      </c>
      <c r="CD78" s="114" t="str">
        <f>IF(COUNTIFS(mapping!$B:$B,CD$2,mapping!$D:$D,$B78)&gt;0,"X","")</f>
        <v/>
      </c>
      <c r="CE78" s="114" t="str">
        <f>IF(COUNTIFS(mapping!$B:$B,CE$2,mapping!$D:$D,$B78)&gt;0,"X","")</f>
        <v/>
      </c>
      <c r="CF78" s="114" t="str">
        <f>IF(COUNTIFS(mapping!$B:$B,CF$2,mapping!$D:$D,$B78)&gt;0,"X","")</f>
        <v/>
      </c>
      <c r="CG78" s="114" t="str">
        <f>IF(COUNTIFS(mapping!$B:$B,CG$2,mapping!$D:$D,$B78)&gt;0,"X","")</f>
        <v/>
      </c>
      <c r="CH78" s="114" t="str">
        <f>IF(COUNTIFS(mapping!$B:$B,CH$2,mapping!$D:$D,$B78)&gt;0,"X","")</f>
        <v/>
      </c>
    </row>
    <row r="79" spans="1:86" ht="16">
      <c r="A79" s="258"/>
      <c r="B79" s="122" t="s">
        <v>380</v>
      </c>
      <c r="C79" s="122" t="s">
        <v>379</v>
      </c>
      <c r="E79" s="114" t="str">
        <f>IF(COUNTIFS(mapping!$B:$B,E$2,mapping!$D:$D,$B79)&gt;0,"X","")</f>
        <v/>
      </c>
      <c r="F79" s="114" t="str">
        <f>IF(COUNTIFS(mapping!$B:$B,F$2,mapping!$D:$D,$B79)&gt;0,"X","")</f>
        <v/>
      </c>
      <c r="G79" s="114" t="str">
        <f>IF(COUNTIFS(mapping!$B:$B,G$2,mapping!$D:$D,$B79)&gt;0,"X","")</f>
        <v/>
      </c>
      <c r="H79" s="114" t="str">
        <f>IF(COUNTIFS(mapping!$B:$B,H$2,mapping!$D:$D,$B79)&gt;0,"X","")</f>
        <v/>
      </c>
      <c r="I79" s="114" t="str">
        <f>IF(COUNTIFS(mapping!$B:$B,I$2,mapping!$D:$D,$B79)&gt;0,"X","")</f>
        <v/>
      </c>
      <c r="J79" s="114" t="str">
        <f>IF(COUNTIFS(mapping!$B:$B,J$2,mapping!$D:$D,$B79)&gt;0,"X","")</f>
        <v/>
      </c>
      <c r="K79" s="114" t="str">
        <f>IF(COUNTIFS(mapping!$B:$B,K$2,mapping!$D:$D,$B79)&gt;0,"X","")</f>
        <v/>
      </c>
      <c r="L79" s="114" t="str">
        <f>IF(COUNTIFS(mapping!$B:$B,L$2,mapping!$D:$D,$B79)&gt;0,"X","")</f>
        <v/>
      </c>
      <c r="M79" s="114" t="str">
        <f>IF(COUNTIFS(mapping!$B:$B,M$2,mapping!$D:$D,$B79)&gt;0,"X","")</f>
        <v/>
      </c>
      <c r="N79" s="114" t="str">
        <f>IF(COUNTIFS(mapping!$B:$B,N$2,mapping!$D:$D,$B79)&gt;0,"X","")</f>
        <v/>
      </c>
      <c r="O79" s="114" t="str">
        <f>IF(COUNTIFS(mapping!$B:$B,O$2,mapping!$D:$D,$B79)&gt;0,"X","")</f>
        <v/>
      </c>
      <c r="P79" s="114" t="str">
        <f>IF(COUNTIFS(mapping!$B:$B,P$2,mapping!$D:$D,$B79)&gt;0,"X","")</f>
        <v/>
      </c>
      <c r="Q79" s="114" t="str">
        <f>IF(COUNTIFS(mapping!$B:$B,Q$2,mapping!$D:$D,$B79)&gt;0,"X","")</f>
        <v/>
      </c>
      <c r="R79" s="114" t="str">
        <f>IF(COUNTIFS(mapping!$B:$B,R$2,mapping!$D:$D,$B79)&gt;0,"X","")</f>
        <v/>
      </c>
      <c r="S79" s="114" t="str">
        <f>IF(COUNTIFS(mapping!$B:$B,S$2,mapping!$D:$D,$B79)&gt;0,"X","")</f>
        <v/>
      </c>
      <c r="T79" s="114" t="str">
        <f>IF(COUNTIFS(mapping!$B:$B,T$2,mapping!$D:$D,$B79)&gt;0,"X","")</f>
        <v/>
      </c>
      <c r="U79" s="114" t="str">
        <f>IF(COUNTIFS(mapping!$B:$B,U$2,mapping!$D:$D,$B79)&gt;0,"X","")</f>
        <v/>
      </c>
      <c r="V79" s="114" t="str">
        <f>IF(COUNTIFS(mapping!$B:$B,V$2,mapping!$D:$D,$B79)&gt;0,"X","")</f>
        <v/>
      </c>
      <c r="W79" s="114" t="str">
        <f>IF(COUNTIFS(mapping!$B:$B,W$2,mapping!$D:$D,$B79)&gt;0,"X","")</f>
        <v/>
      </c>
      <c r="X79" s="114" t="str">
        <f>IF(COUNTIFS(mapping!$B:$B,X$2,mapping!$D:$D,$B79)&gt;0,"X","")</f>
        <v/>
      </c>
      <c r="Y79" s="114" t="str">
        <f>IF(COUNTIFS(mapping!$B:$B,Y$2,mapping!$D:$D,$B79)&gt;0,"X","")</f>
        <v/>
      </c>
      <c r="Z79" s="114" t="str">
        <f>IF(COUNTIFS(mapping!$B:$B,Z$2,mapping!$D:$D,$B79)&gt;0,"X","")</f>
        <v/>
      </c>
      <c r="AA79" s="114" t="str">
        <f>IF(COUNTIFS(mapping!$B:$B,AA$2,mapping!$D:$D,$B79)&gt;0,"X","")</f>
        <v/>
      </c>
      <c r="AB79" s="114" t="str">
        <f>IF(COUNTIFS(mapping!$B:$B,AB$2,mapping!$D:$D,$B79)&gt;0,"X","")</f>
        <v/>
      </c>
      <c r="AC79" s="114" t="str">
        <f>IF(COUNTIFS(mapping!$B:$B,AC$2,mapping!$D:$D,$B79)&gt;0,"X","")</f>
        <v/>
      </c>
      <c r="AD79" s="114" t="str">
        <f>IF(COUNTIFS(mapping!$B:$B,AD$2,mapping!$D:$D,$B79)&gt;0,"X","")</f>
        <v/>
      </c>
      <c r="AE79" s="114" t="str">
        <f>IF(COUNTIFS(mapping!$B:$B,AE$2,mapping!$D:$D,$B79)&gt;0,"X","")</f>
        <v/>
      </c>
      <c r="AF79" s="114" t="str">
        <f>IF(COUNTIFS(mapping!$B:$B,AF$2,mapping!$D:$D,$B79)&gt;0,"X","")</f>
        <v/>
      </c>
      <c r="AG79" s="114" t="str">
        <f>IF(COUNTIFS(mapping!$B:$B,AG$2,mapping!$D:$D,$B79)&gt;0,"X","")</f>
        <v/>
      </c>
      <c r="AH79" s="114" t="str">
        <f>IF(COUNTIFS(mapping!$B:$B,AH$2,mapping!$D:$D,$B79)&gt;0,"X","")</f>
        <v/>
      </c>
      <c r="AI79" s="114" t="str">
        <f>IF(COUNTIFS(mapping!$B:$B,AI$2,mapping!$D:$D,$B79)&gt;0,"X","")</f>
        <v/>
      </c>
      <c r="AJ79" s="114" t="str">
        <f>IF(COUNTIFS(mapping!$B:$B,AJ$2,mapping!$D:$D,$B79)&gt;0,"X","")</f>
        <v/>
      </c>
      <c r="AK79" s="114" t="str">
        <f>IF(COUNTIFS(mapping!$B:$B,AK$2,mapping!$D:$D,$B79)&gt;0,"X","")</f>
        <v/>
      </c>
      <c r="AL79" s="114" t="str">
        <f>IF(COUNTIFS(mapping!$B:$B,AL$2,mapping!$D:$D,$B79)&gt;0,"X","")</f>
        <v/>
      </c>
      <c r="AM79" s="114" t="str">
        <f>IF(COUNTIFS(mapping!$B:$B,AM$2,mapping!$D:$D,$B79)&gt;0,"X","")</f>
        <v/>
      </c>
      <c r="AN79" s="114" t="str">
        <f>IF(COUNTIFS(mapping!$B:$B,AN$2,mapping!$D:$D,$B79)&gt;0,"X","")</f>
        <v/>
      </c>
      <c r="AO79" s="114" t="str">
        <f>IF(COUNTIFS(mapping!$B:$B,AO$2,mapping!$D:$D,$B79)&gt;0,"X","")</f>
        <v/>
      </c>
      <c r="AP79" s="114" t="str">
        <f>IF(COUNTIFS(mapping!$B:$B,AP$2,mapping!$D:$D,$B79)&gt;0,"X","")</f>
        <v/>
      </c>
      <c r="AQ79" s="114" t="str">
        <f>IF(COUNTIFS(mapping!$B:$B,AQ$2,mapping!$D:$D,$B79)&gt;0,"X","")</f>
        <v/>
      </c>
      <c r="AR79" s="114" t="str">
        <f>IF(COUNTIFS(mapping!$B:$B,AR$2,mapping!$D:$D,$B79)&gt;0,"X","")</f>
        <v/>
      </c>
      <c r="AS79" s="114" t="str">
        <f>IF(COUNTIFS(mapping!$B:$B,AS$2,mapping!$D:$D,$B79)&gt;0,"X","")</f>
        <v/>
      </c>
      <c r="AT79" s="114" t="str">
        <f>IF(COUNTIFS(mapping!$B:$B,AT$2,mapping!$D:$D,$B79)&gt;0,"X","")</f>
        <v/>
      </c>
      <c r="AU79" s="114" t="str">
        <f>IF(COUNTIFS(mapping!$B:$B,AU$2,mapping!$D:$D,$B79)&gt;0,"X","")</f>
        <v/>
      </c>
      <c r="AV79" s="114" t="str">
        <f>IF(COUNTIFS(mapping!$B:$B,AV$2,mapping!$D:$D,$B79)&gt;0,"X","")</f>
        <v>X</v>
      </c>
      <c r="AW79" s="114" t="str">
        <f>IF(COUNTIFS(mapping!$B:$B,AW$2,mapping!$D:$D,$B79)&gt;0,"X","")</f>
        <v>X</v>
      </c>
      <c r="AX79" s="114" t="str">
        <f>IF(COUNTIFS(mapping!$B:$B,AX$2,mapping!$D:$D,$B79)&gt;0,"X","")</f>
        <v/>
      </c>
      <c r="AY79" s="114" t="str">
        <f>IF(COUNTIFS(mapping!$B:$B,AY$2,mapping!$D:$D,$B79)&gt;0,"X","")</f>
        <v/>
      </c>
      <c r="AZ79" s="114" t="str">
        <f>IF(COUNTIFS(mapping!$B:$B,AZ$2,mapping!$D:$D,$B79)&gt;0,"X","")</f>
        <v/>
      </c>
      <c r="BA79" s="114" t="str">
        <f>IF(COUNTIFS(mapping!$B:$B,BA$2,mapping!$D:$D,$B79)&gt;0,"X","")</f>
        <v/>
      </c>
      <c r="BB79" s="114" t="str">
        <f>IF(COUNTIFS(mapping!$B:$B,BB$2,mapping!$D:$D,$B79)&gt;0,"X","")</f>
        <v>X</v>
      </c>
      <c r="BC79" s="114" t="str">
        <f>IF(COUNTIFS(mapping!$B:$B,BC$2,mapping!$D:$D,$B79)&gt;0,"X","")</f>
        <v>X</v>
      </c>
      <c r="BD79" s="114" t="str">
        <f>IF(COUNTIFS(mapping!$B:$B,BD$2,mapping!$D:$D,$B79)&gt;0,"X","")</f>
        <v/>
      </c>
      <c r="BE79" s="114" t="str">
        <f>IF(COUNTIFS(mapping!$B:$B,BE$2,mapping!$D:$D,$B79)&gt;0,"X","")</f>
        <v/>
      </c>
      <c r="BF79" s="114" t="str">
        <f>IF(COUNTIFS(mapping!$B:$B,BF$2,mapping!$D:$D,$B79)&gt;0,"X","")</f>
        <v/>
      </c>
      <c r="BG79" s="114" t="str">
        <f>IF(COUNTIFS(mapping!$B:$B,BG$2,mapping!$D:$D,$B79)&gt;0,"X","")</f>
        <v/>
      </c>
      <c r="BH79" s="114" t="str">
        <f>IF(COUNTIFS(mapping!$B:$B,BH$2,mapping!$D:$D,$B79)&gt;0,"X","")</f>
        <v/>
      </c>
      <c r="BI79" s="114" t="str">
        <f>IF(COUNTIFS(mapping!$B:$B,BI$2,mapping!$D:$D,$B79)&gt;0,"X","")</f>
        <v>X</v>
      </c>
      <c r="BJ79" s="114" t="str">
        <f>IF(COUNTIFS(mapping!$B:$B,BJ$2,mapping!$D:$D,$B79)&gt;0,"X","")</f>
        <v/>
      </c>
      <c r="BK79" s="114" t="str">
        <f>IF(COUNTIFS(mapping!$B:$B,BK$2,mapping!$D:$D,$B79)&gt;0,"X","")</f>
        <v/>
      </c>
      <c r="BL79" s="114" t="str">
        <f>IF(COUNTIFS(mapping!$B:$B,BL$2,mapping!$D:$D,$B79)&gt;0,"X","")</f>
        <v/>
      </c>
      <c r="BM79" s="114" t="str">
        <f>IF(COUNTIFS(mapping!$B:$B,BM$2,mapping!$D:$D,$B79)&gt;0,"X","")</f>
        <v/>
      </c>
      <c r="BN79" s="114" t="str">
        <f>IF(COUNTIFS(mapping!$B:$B,BN$2,mapping!$D:$D,$B79)&gt;0,"X","")</f>
        <v/>
      </c>
      <c r="BO79" s="114" t="str">
        <f>IF(COUNTIFS(mapping!$B:$B,BO$2,mapping!$D:$D,$B79)&gt;0,"X","")</f>
        <v/>
      </c>
      <c r="BP79" s="114" t="str">
        <f>IF(COUNTIFS(mapping!$B:$B,BP$2,mapping!$D:$D,$B79)&gt;0,"X","")</f>
        <v/>
      </c>
      <c r="BQ79" s="114" t="str">
        <f>IF(COUNTIFS(mapping!$B:$B,BQ$2,mapping!$D:$D,$B79)&gt;0,"X","")</f>
        <v/>
      </c>
      <c r="BR79" s="114" t="str">
        <f>IF(COUNTIFS(mapping!$B:$B,BR$2,mapping!$D:$D,$B79)&gt;0,"X","")</f>
        <v/>
      </c>
      <c r="BS79" s="114" t="str">
        <f>IF(COUNTIFS(mapping!$B:$B,BS$2,mapping!$D:$D,$B79)&gt;0,"X","")</f>
        <v/>
      </c>
      <c r="BT79" s="114" t="str">
        <f>IF(COUNTIFS(mapping!$B:$B,BT$2,mapping!$D:$D,$B79)&gt;0,"X","")</f>
        <v/>
      </c>
      <c r="BU79" s="114" t="str">
        <f>IF(COUNTIFS(mapping!$B:$B,BU$2,mapping!$D:$D,$B79)&gt;0,"X","")</f>
        <v>X</v>
      </c>
      <c r="BV79" s="114" t="str">
        <f>IF(COUNTIFS(mapping!$B:$B,BV$2,mapping!$D:$D,$B79)&gt;0,"X","")</f>
        <v/>
      </c>
      <c r="BW79" s="114" t="str">
        <f>IF(COUNTIFS(mapping!$B:$B,BW$2,mapping!$D:$D,$B79)&gt;0,"X","")</f>
        <v/>
      </c>
      <c r="BX79" s="114" t="str">
        <f>IF(COUNTIFS(mapping!$B:$B,BX$2,mapping!$D:$D,$B79)&gt;0,"X","")</f>
        <v/>
      </c>
      <c r="BY79" s="114" t="str">
        <f>IF(COUNTIFS(mapping!$B:$B,BY$2,mapping!$D:$D,$B79)&gt;0,"X","")</f>
        <v/>
      </c>
      <c r="BZ79" s="114" t="str">
        <f>IF(COUNTIFS(mapping!$B:$B,BZ$2,mapping!$D:$D,$B79)&gt;0,"X","")</f>
        <v/>
      </c>
      <c r="CA79" s="114" t="str">
        <f>IF(COUNTIFS(mapping!$B:$B,CA$2,mapping!$D:$D,$B79)&gt;0,"X","")</f>
        <v/>
      </c>
      <c r="CB79" s="114" t="str">
        <f>IF(COUNTIFS(mapping!$B:$B,CB$2,mapping!$D:$D,$B79)&gt;0,"X","")</f>
        <v/>
      </c>
      <c r="CC79" s="114" t="str">
        <f>IF(COUNTIFS(mapping!$B:$B,CC$2,mapping!$D:$D,$B79)&gt;0,"X","")</f>
        <v/>
      </c>
      <c r="CD79" s="114" t="str">
        <f>IF(COUNTIFS(mapping!$B:$B,CD$2,mapping!$D:$D,$B79)&gt;0,"X","")</f>
        <v/>
      </c>
      <c r="CE79" s="114" t="str">
        <f>IF(COUNTIFS(mapping!$B:$B,CE$2,mapping!$D:$D,$B79)&gt;0,"X","")</f>
        <v/>
      </c>
      <c r="CF79" s="114" t="str">
        <f>IF(COUNTIFS(mapping!$B:$B,CF$2,mapping!$D:$D,$B79)&gt;0,"X","")</f>
        <v>X</v>
      </c>
      <c r="CG79" s="114" t="str">
        <f>IF(COUNTIFS(mapping!$B:$B,CG$2,mapping!$D:$D,$B79)&gt;0,"X","")</f>
        <v/>
      </c>
      <c r="CH79" s="114" t="str">
        <f>IF(COUNTIFS(mapping!$B:$B,CH$2,mapping!$D:$D,$B79)&gt;0,"X","")</f>
        <v/>
      </c>
    </row>
    <row r="80" spans="1:86" ht="16">
      <c r="A80" s="258"/>
      <c r="B80" s="122" t="s">
        <v>378</v>
      </c>
      <c r="C80" s="122" t="s">
        <v>377</v>
      </c>
      <c r="E80" s="114" t="str">
        <f>IF(COUNTIFS(mapping!$B:$B,E$2,mapping!$D:$D,$B80)&gt;0,"X","")</f>
        <v/>
      </c>
      <c r="F80" s="114" t="str">
        <f>IF(COUNTIFS(mapping!$B:$B,F$2,mapping!$D:$D,$B80)&gt;0,"X","")</f>
        <v/>
      </c>
      <c r="G80" s="114" t="str">
        <f>IF(COUNTIFS(mapping!$B:$B,G$2,mapping!$D:$D,$B80)&gt;0,"X","")</f>
        <v/>
      </c>
      <c r="H80" s="114" t="str">
        <f>IF(COUNTIFS(mapping!$B:$B,H$2,mapping!$D:$D,$B80)&gt;0,"X","")</f>
        <v/>
      </c>
      <c r="I80" s="114" t="str">
        <f>IF(COUNTIFS(mapping!$B:$B,I$2,mapping!$D:$D,$B80)&gt;0,"X","")</f>
        <v/>
      </c>
      <c r="J80" s="114" t="str">
        <f>IF(COUNTIFS(mapping!$B:$B,J$2,mapping!$D:$D,$B80)&gt;0,"X","")</f>
        <v/>
      </c>
      <c r="K80" s="114" t="str">
        <f>IF(COUNTIFS(mapping!$B:$B,K$2,mapping!$D:$D,$B80)&gt;0,"X","")</f>
        <v/>
      </c>
      <c r="L80" s="114" t="str">
        <f>IF(COUNTIFS(mapping!$B:$B,L$2,mapping!$D:$D,$B80)&gt;0,"X","")</f>
        <v/>
      </c>
      <c r="M80" s="114" t="str">
        <f>IF(COUNTIFS(mapping!$B:$B,M$2,mapping!$D:$D,$B80)&gt;0,"X","")</f>
        <v/>
      </c>
      <c r="N80" s="114" t="str">
        <f>IF(COUNTIFS(mapping!$B:$B,N$2,mapping!$D:$D,$B80)&gt;0,"X","")</f>
        <v/>
      </c>
      <c r="O80" s="114" t="str">
        <f>IF(COUNTIFS(mapping!$B:$B,O$2,mapping!$D:$D,$B80)&gt;0,"X","")</f>
        <v/>
      </c>
      <c r="P80" s="114" t="str">
        <f>IF(COUNTIFS(mapping!$B:$B,P$2,mapping!$D:$D,$B80)&gt;0,"X","")</f>
        <v/>
      </c>
      <c r="Q80" s="114" t="str">
        <f>IF(COUNTIFS(mapping!$B:$B,Q$2,mapping!$D:$D,$B80)&gt;0,"X","")</f>
        <v/>
      </c>
      <c r="R80" s="114" t="str">
        <f>IF(COUNTIFS(mapping!$B:$B,R$2,mapping!$D:$D,$B80)&gt;0,"X","")</f>
        <v/>
      </c>
      <c r="S80" s="114" t="str">
        <f>IF(COUNTIFS(mapping!$B:$B,S$2,mapping!$D:$D,$B80)&gt;0,"X","")</f>
        <v/>
      </c>
      <c r="T80" s="114" t="str">
        <f>IF(COUNTIFS(mapping!$B:$B,T$2,mapping!$D:$D,$B80)&gt;0,"X","")</f>
        <v/>
      </c>
      <c r="U80" s="114" t="str">
        <f>IF(COUNTIFS(mapping!$B:$B,U$2,mapping!$D:$D,$B80)&gt;0,"X","")</f>
        <v/>
      </c>
      <c r="V80" s="114" t="str">
        <f>IF(COUNTIFS(mapping!$B:$B,V$2,mapping!$D:$D,$B80)&gt;0,"X","")</f>
        <v/>
      </c>
      <c r="W80" s="114" t="str">
        <f>IF(COUNTIFS(mapping!$B:$B,W$2,mapping!$D:$D,$B80)&gt;0,"X","")</f>
        <v/>
      </c>
      <c r="X80" s="114" t="str">
        <f>IF(COUNTIFS(mapping!$B:$B,X$2,mapping!$D:$D,$B80)&gt;0,"X","")</f>
        <v/>
      </c>
      <c r="Y80" s="114" t="str">
        <f>IF(COUNTIFS(mapping!$B:$B,Y$2,mapping!$D:$D,$B80)&gt;0,"X","")</f>
        <v/>
      </c>
      <c r="Z80" s="114" t="str">
        <f>IF(COUNTIFS(mapping!$B:$B,Z$2,mapping!$D:$D,$B80)&gt;0,"X","")</f>
        <v/>
      </c>
      <c r="AA80" s="114" t="str">
        <f>IF(COUNTIFS(mapping!$B:$B,AA$2,mapping!$D:$D,$B80)&gt;0,"X","")</f>
        <v/>
      </c>
      <c r="AB80" s="114" t="str">
        <f>IF(COUNTIFS(mapping!$B:$B,AB$2,mapping!$D:$D,$B80)&gt;0,"X","")</f>
        <v/>
      </c>
      <c r="AC80" s="114" t="str">
        <f>IF(COUNTIFS(mapping!$B:$B,AC$2,mapping!$D:$D,$B80)&gt;0,"X","")</f>
        <v/>
      </c>
      <c r="AD80" s="114" t="str">
        <f>IF(COUNTIFS(mapping!$B:$B,AD$2,mapping!$D:$D,$B80)&gt;0,"X","")</f>
        <v/>
      </c>
      <c r="AE80" s="114" t="str">
        <f>IF(COUNTIFS(mapping!$B:$B,AE$2,mapping!$D:$D,$B80)&gt;0,"X","")</f>
        <v/>
      </c>
      <c r="AF80" s="114" t="str">
        <f>IF(COUNTIFS(mapping!$B:$B,AF$2,mapping!$D:$D,$B80)&gt;0,"X","")</f>
        <v/>
      </c>
      <c r="AG80" s="114" t="str">
        <f>IF(COUNTIFS(mapping!$B:$B,AG$2,mapping!$D:$D,$B80)&gt;0,"X","")</f>
        <v/>
      </c>
      <c r="AH80" s="114" t="str">
        <f>IF(COUNTIFS(mapping!$B:$B,AH$2,mapping!$D:$D,$B80)&gt;0,"X","")</f>
        <v/>
      </c>
      <c r="AI80" s="114" t="str">
        <f>IF(COUNTIFS(mapping!$B:$B,AI$2,mapping!$D:$D,$B80)&gt;0,"X","")</f>
        <v/>
      </c>
      <c r="AJ80" s="114" t="str">
        <f>IF(COUNTIFS(mapping!$B:$B,AJ$2,mapping!$D:$D,$B80)&gt;0,"X","")</f>
        <v/>
      </c>
      <c r="AK80" s="114" t="str">
        <f>IF(COUNTIFS(mapping!$B:$B,AK$2,mapping!$D:$D,$B80)&gt;0,"X","")</f>
        <v/>
      </c>
      <c r="AL80" s="114" t="str">
        <f>IF(COUNTIFS(mapping!$B:$B,AL$2,mapping!$D:$D,$B80)&gt;0,"X","")</f>
        <v/>
      </c>
      <c r="AM80" s="114" t="str">
        <f>IF(COUNTIFS(mapping!$B:$B,AM$2,mapping!$D:$D,$B80)&gt;0,"X","")</f>
        <v/>
      </c>
      <c r="AN80" s="114" t="str">
        <f>IF(COUNTIFS(mapping!$B:$B,AN$2,mapping!$D:$D,$B80)&gt;0,"X","")</f>
        <v/>
      </c>
      <c r="AO80" s="114" t="str">
        <f>IF(COUNTIFS(mapping!$B:$B,AO$2,mapping!$D:$D,$B80)&gt;0,"X","")</f>
        <v/>
      </c>
      <c r="AP80" s="114" t="str">
        <f>IF(COUNTIFS(mapping!$B:$B,AP$2,mapping!$D:$D,$B80)&gt;0,"X","")</f>
        <v/>
      </c>
      <c r="AQ80" s="114" t="str">
        <f>IF(COUNTIFS(mapping!$B:$B,AQ$2,mapping!$D:$D,$B80)&gt;0,"X","")</f>
        <v/>
      </c>
      <c r="AR80" s="114" t="str">
        <f>IF(COUNTIFS(mapping!$B:$B,AR$2,mapping!$D:$D,$B80)&gt;0,"X","")</f>
        <v/>
      </c>
      <c r="AS80" s="114" t="str">
        <f>IF(COUNTIFS(mapping!$B:$B,AS$2,mapping!$D:$D,$B80)&gt;0,"X","")</f>
        <v/>
      </c>
      <c r="AT80" s="114" t="str">
        <f>IF(COUNTIFS(mapping!$B:$B,AT$2,mapping!$D:$D,$B80)&gt;0,"X","")</f>
        <v/>
      </c>
      <c r="AU80" s="114" t="str">
        <f>IF(COUNTIFS(mapping!$B:$B,AU$2,mapping!$D:$D,$B80)&gt;0,"X","")</f>
        <v/>
      </c>
      <c r="AV80" s="114" t="str">
        <f>IF(COUNTIFS(mapping!$B:$B,AV$2,mapping!$D:$D,$B80)&gt;0,"X","")</f>
        <v/>
      </c>
      <c r="AW80" s="114" t="str">
        <f>IF(COUNTIFS(mapping!$B:$B,AW$2,mapping!$D:$D,$B80)&gt;0,"X","")</f>
        <v>X</v>
      </c>
      <c r="AX80" s="114" t="str">
        <f>IF(COUNTIFS(mapping!$B:$B,AX$2,mapping!$D:$D,$B80)&gt;0,"X","")</f>
        <v/>
      </c>
      <c r="AY80" s="114" t="str">
        <f>IF(COUNTIFS(mapping!$B:$B,AY$2,mapping!$D:$D,$B80)&gt;0,"X","")</f>
        <v/>
      </c>
      <c r="AZ80" s="114" t="str">
        <f>IF(COUNTIFS(mapping!$B:$B,AZ$2,mapping!$D:$D,$B80)&gt;0,"X","")</f>
        <v/>
      </c>
      <c r="BA80" s="114" t="str">
        <f>IF(COUNTIFS(mapping!$B:$B,BA$2,mapping!$D:$D,$B80)&gt;0,"X","")</f>
        <v/>
      </c>
      <c r="BB80" s="114" t="str">
        <f>IF(COUNTIFS(mapping!$B:$B,BB$2,mapping!$D:$D,$B80)&gt;0,"X","")</f>
        <v/>
      </c>
      <c r="BC80" s="114" t="str">
        <f>IF(COUNTIFS(mapping!$B:$B,BC$2,mapping!$D:$D,$B80)&gt;0,"X","")</f>
        <v>X</v>
      </c>
      <c r="BD80" s="114" t="str">
        <f>IF(COUNTIFS(mapping!$B:$B,BD$2,mapping!$D:$D,$B80)&gt;0,"X","")</f>
        <v/>
      </c>
      <c r="BE80" s="114" t="str">
        <f>IF(COUNTIFS(mapping!$B:$B,BE$2,mapping!$D:$D,$B80)&gt;0,"X","")</f>
        <v/>
      </c>
      <c r="BF80" s="114" t="str">
        <f>IF(COUNTIFS(mapping!$B:$B,BF$2,mapping!$D:$D,$B80)&gt;0,"X","")</f>
        <v/>
      </c>
      <c r="BG80" s="114" t="str">
        <f>IF(COUNTIFS(mapping!$B:$B,BG$2,mapping!$D:$D,$B80)&gt;0,"X","")</f>
        <v/>
      </c>
      <c r="BH80" s="114" t="str">
        <f>IF(COUNTIFS(mapping!$B:$B,BH$2,mapping!$D:$D,$B80)&gt;0,"X","")</f>
        <v/>
      </c>
      <c r="BI80" s="114" t="str">
        <f>IF(COUNTIFS(mapping!$B:$B,BI$2,mapping!$D:$D,$B80)&gt;0,"X","")</f>
        <v/>
      </c>
      <c r="BJ80" s="114" t="str">
        <f>IF(COUNTIFS(mapping!$B:$B,BJ$2,mapping!$D:$D,$B80)&gt;0,"X","")</f>
        <v/>
      </c>
      <c r="BK80" s="114" t="str">
        <f>IF(COUNTIFS(mapping!$B:$B,BK$2,mapping!$D:$D,$B80)&gt;0,"X","")</f>
        <v>X</v>
      </c>
      <c r="BL80" s="114" t="str">
        <f>IF(COUNTIFS(mapping!$B:$B,BL$2,mapping!$D:$D,$B80)&gt;0,"X","")</f>
        <v/>
      </c>
      <c r="BM80" s="114" t="str">
        <f>IF(COUNTIFS(mapping!$B:$B,BM$2,mapping!$D:$D,$B80)&gt;0,"X","")</f>
        <v/>
      </c>
      <c r="BN80" s="114" t="str">
        <f>IF(COUNTIFS(mapping!$B:$B,BN$2,mapping!$D:$D,$B80)&gt;0,"X","")</f>
        <v/>
      </c>
      <c r="BO80" s="114" t="str">
        <f>IF(COUNTIFS(mapping!$B:$B,BO$2,mapping!$D:$D,$B80)&gt;0,"X","")</f>
        <v/>
      </c>
      <c r="BP80" s="114" t="str">
        <f>IF(COUNTIFS(mapping!$B:$B,BP$2,mapping!$D:$D,$B80)&gt;0,"X","")</f>
        <v/>
      </c>
      <c r="BQ80" s="114" t="str">
        <f>IF(COUNTIFS(mapping!$B:$B,BQ$2,mapping!$D:$D,$B80)&gt;0,"X","")</f>
        <v/>
      </c>
      <c r="BR80" s="114" t="str">
        <f>IF(COUNTIFS(mapping!$B:$B,BR$2,mapping!$D:$D,$B80)&gt;0,"X","")</f>
        <v/>
      </c>
      <c r="BS80" s="114" t="str">
        <f>IF(COUNTIFS(mapping!$B:$B,BS$2,mapping!$D:$D,$B80)&gt;0,"X","")</f>
        <v/>
      </c>
      <c r="BT80" s="114" t="str">
        <f>IF(COUNTIFS(mapping!$B:$B,BT$2,mapping!$D:$D,$B80)&gt;0,"X","")</f>
        <v/>
      </c>
      <c r="BU80" s="114" t="str">
        <f>IF(COUNTIFS(mapping!$B:$B,BU$2,mapping!$D:$D,$B80)&gt;0,"X","")</f>
        <v/>
      </c>
      <c r="BV80" s="114" t="str">
        <f>IF(COUNTIFS(mapping!$B:$B,BV$2,mapping!$D:$D,$B80)&gt;0,"X","")</f>
        <v/>
      </c>
      <c r="BW80" s="114" t="str">
        <f>IF(COUNTIFS(mapping!$B:$B,BW$2,mapping!$D:$D,$B80)&gt;0,"X","")</f>
        <v>X</v>
      </c>
      <c r="BX80" s="114" t="str">
        <f>IF(COUNTIFS(mapping!$B:$B,BX$2,mapping!$D:$D,$B80)&gt;0,"X","")</f>
        <v/>
      </c>
      <c r="BY80" s="114" t="str">
        <f>IF(COUNTIFS(mapping!$B:$B,BY$2,mapping!$D:$D,$B80)&gt;0,"X","")</f>
        <v/>
      </c>
      <c r="BZ80" s="114" t="str">
        <f>IF(COUNTIFS(mapping!$B:$B,BZ$2,mapping!$D:$D,$B80)&gt;0,"X","")</f>
        <v/>
      </c>
      <c r="CA80" s="114" t="str">
        <f>IF(COUNTIFS(mapping!$B:$B,CA$2,mapping!$D:$D,$B80)&gt;0,"X","")</f>
        <v/>
      </c>
      <c r="CB80" s="114" t="str">
        <f>IF(COUNTIFS(mapping!$B:$B,CB$2,mapping!$D:$D,$B80)&gt;0,"X","")</f>
        <v/>
      </c>
      <c r="CC80" s="114" t="str">
        <f>IF(COUNTIFS(mapping!$B:$B,CC$2,mapping!$D:$D,$B80)&gt;0,"X","")</f>
        <v/>
      </c>
      <c r="CD80" s="114" t="str">
        <f>IF(COUNTIFS(mapping!$B:$B,CD$2,mapping!$D:$D,$B80)&gt;0,"X","")</f>
        <v/>
      </c>
      <c r="CE80" s="114" t="str">
        <f>IF(COUNTIFS(mapping!$B:$B,CE$2,mapping!$D:$D,$B80)&gt;0,"X","")</f>
        <v/>
      </c>
      <c r="CF80" s="114" t="str">
        <f>IF(COUNTIFS(mapping!$B:$B,CF$2,mapping!$D:$D,$B80)&gt;0,"X","")</f>
        <v>X</v>
      </c>
      <c r="CG80" s="114" t="str">
        <f>IF(COUNTIFS(mapping!$B:$B,CG$2,mapping!$D:$D,$B80)&gt;0,"X","")</f>
        <v/>
      </c>
      <c r="CH80" s="114" t="str">
        <f>IF(COUNTIFS(mapping!$B:$B,CH$2,mapping!$D:$D,$B80)&gt;0,"X","")</f>
        <v/>
      </c>
    </row>
    <row r="81" spans="1:86" ht="16">
      <c r="A81" s="258"/>
      <c r="B81" s="125" t="s">
        <v>376</v>
      </c>
      <c r="C81" s="125" t="s">
        <v>375</v>
      </c>
      <c r="E81" s="114" t="str">
        <f>IF(COUNTIFS(mapping!$B:$B,E$2,mapping!$D:$D,$B81)&gt;0,"X","")</f>
        <v/>
      </c>
      <c r="F81" s="114" t="str">
        <f>IF(COUNTIFS(mapping!$B:$B,F$2,mapping!$D:$D,$B81)&gt;0,"X","")</f>
        <v/>
      </c>
      <c r="G81" s="114" t="str">
        <f>IF(COUNTIFS(mapping!$B:$B,G$2,mapping!$D:$D,$B81)&gt;0,"X","")</f>
        <v/>
      </c>
      <c r="H81" s="114" t="str">
        <f>IF(COUNTIFS(mapping!$B:$B,H$2,mapping!$D:$D,$B81)&gt;0,"X","")</f>
        <v/>
      </c>
      <c r="I81" s="114" t="str">
        <f>IF(COUNTIFS(mapping!$B:$B,I$2,mapping!$D:$D,$B81)&gt;0,"X","")</f>
        <v/>
      </c>
      <c r="J81" s="114" t="str">
        <f>IF(COUNTIFS(mapping!$B:$B,J$2,mapping!$D:$D,$B81)&gt;0,"X","")</f>
        <v/>
      </c>
      <c r="K81" s="114" t="str">
        <f>IF(COUNTIFS(mapping!$B:$B,K$2,mapping!$D:$D,$B81)&gt;0,"X","")</f>
        <v/>
      </c>
      <c r="L81" s="114" t="str">
        <f>IF(COUNTIFS(mapping!$B:$B,L$2,mapping!$D:$D,$B81)&gt;0,"X","")</f>
        <v/>
      </c>
      <c r="M81" s="114" t="str">
        <f>IF(COUNTIFS(mapping!$B:$B,M$2,mapping!$D:$D,$B81)&gt;0,"X","")</f>
        <v>X</v>
      </c>
      <c r="N81" s="114" t="str">
        <f>IF(COUNTIFS(mapping!$B:$B,N$2,mapping!$D:$D,$B81)&gt;0,"X","")</f>
        <v/>
      </c>
      <c r="O81" s="114" t="str">
        <f>IF(COUNTIFS(mapping!$B:$B,O$2,mapping!$D:$D,$B81)&gt;0,"X","")</f>
        <v/>
      </c>
      <c r="P81" s="114" t="str">
        <f>IF(COUNTIFS(mapping!$B:$B,P$2,mapping!$D:$D,$B81)&gt;0,"X","")</f>
        <v/>
      </c>
      <c r="Q81" s="114" t="str">
        <f>IF(COUNTIFS(mapping!$B:$B,Q$2,mapping!$D:$D,$B81)&gt;0,"X","")</f>
        <v/>
      </c>
      <c r="R81" s="114" t="str">
        <f>IF(COUNTIFS(mapping!$B:$B,R$2,mapping!$D:$D,$B81)&gt;0,"X","")</f>
        <v/>
      </c>
      <c r="S81" s="114" t="str">
        <f>IF(COUNTIFS(mapping!$B:$B,S$2,mapping!$D:$D,$B81)&gt;0,"X","")</f>
        <v/>
      </c>
      <c r="T81" s="114" t="str">
        <f>IF(COUNTIFS(mapping!$B:$B,T$2,mapping!$D:$D,$B81)&gt;0,"X","")</f>
        <v/>
      </c>
      <c r="U81" s="114" t="str">
        <f>IF(COUNTIFS(mapping!$B:$B,U$2,mapping!$D:$D,$B81)&gt;0,"X","")</f>
        <v/>
      </c>
      <c r="V81" s="114" t="str">
        <f>IF(COUNTIFS(mapping!$B:$B,V$2,mapping!$D:$D,$B81)&gt;0,"X","")</f>
        <v/>
      </c>
      <c r="W81" s="114" t="str">
        <f>IF(COUNTIFS(mapping!$B:$B,W$2,mapping!$D:$D,$B81)&gt;0,"X","")</f>
        <v/>
      </c>
      <c r="X81" s="114" t="str">
        <f>IF(COUNTIFS(mapping!$B:$B,X$2,mapping!$D:$D,$B81)&gt;0,"X","")</f>
        <v/>
      </c>
      <c r="Y81" s="114" t="str">
        <f>IF(COUNTIFS(mapping!$B:$B,Y$2,mapping!$D:$D,$B81)&gt;0,"X","")</f>
        <v/>
      </c>
      <c r="Z81" s="114" t="str">
        <f>IF(COUNTIFS(mapping!$B:$B,Z$2,mapping!$D:$D,$B81)&gt;0,"X","")</f>
        <v/>
      </c>
      <c r="AA81" s="114" t="str">
        <f>IF(COUNTIFS(mapping!$B:$B,AA$2,mapping!$D:$D,$B81)&gt;0,"X","")</f>
        <v/>
      </c>
      <c r="AB81" s="114" t="str">
        <f>IF(COUNTIFS(mapping!$B:$B,AB$2,mapping!$D:$D,$B81)&gt;0,"X","")</f>
        <v/>
      </c>
      <c r="AC81" s="114" t="str">
        <f>IF(COUNTIFS(mapping!$B:$B,AC$2,mapping!$D:$D,$B81)&gt;0,"X","")</f>
        <v/>
      </c>
      <c r="AD81" s="114" t="str">
        <f>IF(COUNTIFS(mapping!$B:$B,AD$2,mapping!$D:$D,$B81)&gt;0,"X","")</f>
        <v/>
      </c>
      <c r="AE81" s="114" t="str">
        <f>IF(COUNTIFS(mapping!$B:$B,AE$2,mapping!$D:$D,$B81)&gt;0,"X","")</f>
        <v/>
      </c>
      <c r="AF81" s="114" t="str">
        <f>IF(COUNTIFS(mapping!$B:$B,AF$2,mapping!$D:$D,$B81)&gt;0,"X","")</f>
        <v/>
      </c>
      <c r="AG81" s="114" t="str">
        <f>IF(COUNTIFS(mapping!$B:$B,AG$2,mapping!$D:$D,$B81)&gt;0,"X","")</f>
        <v/>
      </c>
      <c r="AH81" s="114" t="str">
        <f>IF(COUNTIFS(mapping!$B:$B,AH$2,mapping!$D:$D,$B81)&gt;0,"X","")</f>
        <v/>
      </c>
      <c r="AI81" s="114" t="str">
        <f>IF(COUNTIFS(mapping!$B:$B,AI$2,mapping!$D:$D,$B81)&gt;0,"X","")</f>
        <v/>
      </c>
      <c r="AJ81" s="114" t="str">
        <f>IF(COUNTIFS(mapping!$B:$B,AJ$2,mapping!$D:$D,$B81)&gt;0,"X","")</f>
        <v/>
      </c>
      <c r="AK81" s="114" t="str">
        <f>IF(COUNTIFS(mapping!$B:$B,AK$2,mapping!$D:$D,$B81)&gt;0,"X","")</f>
        <v/>
      </c>
      <c r="AL81" s="114" t="str">
        <f>IF(COUNTIFS(mapping!$B:$B,AL$2,mapping!$D:$D,$B81)&gt;0,"X","")</f>
        <v/>
      </c>
      <c r="AM81" s="114" t="str">
        <f>IF(COUNTIFS(mapping!$B:$B,AM$2,mapping!$D:$D,$B81)&gt;0,"X","")</f>
        <v/>
      </c>
      <c r="AN81" s="114" t="str">
        <f>IF(COUNTIFS(mapping!$B:$B,AN$2,mapping!$D:$D,$B81)&gt;0,"X","")</f>
        <v/>
      </c>
      <c r="AO81" s="114" t="str">
        <f>IF(COUNTIFS(mapping!$B:$B,AO$2,mapping!$D:$D,$B81)&gt;0,"X","")</f>
        <v/>
      </c>
      <c r="AP81" s="114" t="str">
        <f>IF(COUNTIFS(mapping!$B:$B,AP$2,mapping!$D:$D,$B81)&gt;0,"X","")</f>
        <v/>
      </c>
      <c r="AQ81" s="114" t="str">
        <f>IF(COUNTIFS(mapping!$B:$B,AQ$2,mapping!$D:$D,$B81)&gt;0,"X","")</f>
        <v/>
      </c>
      <c r="AR81" s="114" t="str">
        <f>IF(COUNTIFS(mapping!$B:$B,AR$2,mapping!$D:$D,$B81)&gt;0,"X","")</f>
        <v/>
      </c>
      <c r="AS81" s="114" t="str">
        <f>IF(COUNTIFS(mapping!$B:$B,AS$2,mapping!$D:$D,$B81)&gt;0,"X","")</f>
        <v/>
      </c>
      <c r="AT81" s="114" t="str">
        <f>IF(COUNTIFS(mapping!$B:$B,AT$2,mapping!$D:$D,$B81)&gt;0,"X","")</f>
        <v/>
      </c>
      <c r="AU81" s="114" t="str">
        <f>IF(COUNTIFS(mapping!$B:$B,AU$2,mapping!$D:$D,$B81)&gt;0,"X","")</f>
        <v/>
      </c>
      <c r="AV81" s="114" t="str">
        <f>IF(COUNTIFS(mapping!$B:$B,AV$2,mapping!$D:$D,$B81)&gt;0,"X","")</f>
        <v/>
      </c>
      <c r="AW81" s="114" t="str">
        <f>IF(COUNTIFS(mapping!$B:$B,AW$2,mapping!$D:$D,$B81)&gt;0,"X","")</f>
        <v/>
      </c>
      <c r="AX81" s="114" t="str">
        <f>IF(COUNTIFS(mapping!$B:$B,AX$2,mapping!$D:$D,$B81)&gt;0,"X","")</f>
        <v/>
      </c>
      <c r="AY81" s="114" t="str">
        <f>IF(COUNTIFS(mapping!$B:$B,AY$2,mapping!$D:$D,$B81)&gt;0,"X","")</f>
        <v/>
      </c>
      <c r="AZ81" s="114" t="str">
        <f>IF(COUNTIFS(mapping!$B:$B,AZ$2,mapping!$D:$D,$B81)&gt;0,"X","")</f>
        <v/>
      </c>
      <c r="BA81" s="114" t="str">
        <f>IF(COUNTIFS(mapping!$B:$B,BA$2,mapping!$D:$D,$B81)&gt;0,"X","")</f>
        <v/>
      </c>
      <c r="BB81" s="114" t="str">
        <f>IF(COUNTIFS(mapping!$B:$B,BB$2,mapping!$D:$D,$B81)&gt;0,"X","")</f>
        <v/>
      </c>
      <c r="BC81" s="114" t="str">
        <f>IF(COUNTIFS(mapping!$B:$B,BC$2,mapping!$D:$D,$B81)&gt;0,"X","")</f>
        <v/>
      </c>
      <c r="BD81" s="114" t="str">
        <f>IF(COUNTIFS(mapping!$B:$B,BD$2,mapping!$D:$D,$B81)&gt;0,"X","")</f>
        <v/>
      </c>
      <c r="BE81" s="114" t="str">
        <f>IF(COUNTIFS(mapping!$B:$B,BE$2,mapping!$D:$D,$B81)&gt;0,"X","")</f>
        <v/>
      </c>
      <c r="BF81" s="114" t="str">
        <f>IF(COUNTIFS(mapping!$B:$B,BF$2,mapping!$D:$D,$B81)&gt;0,"X","")</f>
        <v/>
      </c>
      <c r="BG81" s="114" t="str">
        <f>IF(COUNTIFS(mapping!$B:$B,BG$2,mapping!$D:$D,$B81)&gt;0,"X","")</f>
        <v/>
      </c>
      <c r="BH81" s="114" t="str">
        <f>IF(COUNTIFS(mapping!$B:$B,BH$2,mapping!$D:$D,$B81)&gt;0,"X","")</f>
        <v/>
      </c>
      <c r="BI81" s="114" t="str">
        <f>IF(COUNTIFS(mapping!$B:$B,BI$2,mapping!$D:$D,$B81)&gt;0,"X","")</f>
        <v/>
      </c>
      <c r="BJ81" s="114" t="str">
        <f>IF(COUNTIFS(mapping!$B:$B,BJ$2,mapping!$D:$D,$B81)&gt;0,"X","")</f>
        <v/>
      </c>
      <c r="BK81" s="114" t="str">
        <f>IF(COUNTIFS(mapping!$B:$B,BK$2,mapping!$D:$D,$B81)&gt;0,"X","")</f>
        <v/>
      </c>
      <c r="BL81" s="114" t="str">
        <f>IF(COUNTIFS(mapping!$B:$B,BL$2,mapping!$D:$D,$B81)&gt;0,"X","")</f>
        <v>X</v>
      </c>
      <c r="BM81" s="114" t="str">
        <f>IF(COUNTIFS(mapping!$B:$B,BM$2,mapping!$D:$D,$B81)&gt;0,"X","")</f>
        <v/>
      </c>
      <c r="BN81" s="114" t="str">
        <f>IF(COUNTIFS(mapping!$B:$B,BN$2,mapping!$D:$D,$B81)&gt;0,"X","")</f>
        <v/>
      </c>
      <c r="BO81" s="114" t="str">
        <f>IF(COUNTIFS(mapping!$B:$B,BO$2,mapping!$D:$D,$B81)&gt;0,"X","")</f>
        <v/>
      </c>
      <c r="BP81" s="114" t="str">
        <f>IF(COUNTIFS(mapping!$B:$B,BP$2,mapping!$D:$D,$B81)&gt;0,"X","")</f>
        <v/>
      </c>
      <c r="BQ81" s="114" t="str">
        <f>IF(COUNTIFS(mapping!$B:$B,BQ$2,mapping!$D:$D,$B81)&gt;0,"X","")</f>
        <v/>
      </c>
      <c r="BR81" s="114" t="str">
        <f>IF(COUNTIFS(mapping!$B:$B,BR$2,mapping!$D:$D,$B81)&gt;0,"X","")</f>
        <v/>
      </c>
      <c r="BS81" s="114" t="str">
        <f>IF(COUNTIFS(mapping!$B:$B,BS$2,mapping!$D:$D,$B81)&gt;0,"X","")</f>
        <v/>
      </c>
      <c r="BT81" s="114" t="str">
        <f>IF(COUNTIFS(mapping!$B:$B,BT$2,mapping!$D:$D,$B81)&gt;0,"X","")</f>
        <v/>
      </c>
      <c r="BU81" s="114" t="str">
        <f>IF(COUNTIFS(mapping!$B:$B,BU$2,mapping!$D:$D,$B81)&gt;0,"X","")</f>
        <v/>
      </c>
      <c r="BV81" s="114" t="str">
        <f>IF(COUNTIFS(mapping!$B:$B,BV$2,mapping!$D:$D,$B81)&gt;0,"X","")</f>
        <v/>
      </c>
      <c r="BW81" s="114" t="str">
        <f>IF(COUNTIFS(mapping!$B:$B,BW$2,mapping!$D:$D,$B81)&gt;0,"X","")</f>
        <v/>
      </c>
      <c r="BX81" s="114" t="str">
        <f>IF(COUNTIFS(mapping!$B:$B,BX$2,mapping!$D:$D,$B81)&gt;0,"X","")</f>
        <v/>
      </c>
      <c r="BY81" s="114" t="str">
        <f>IF(COUNTIFS(mapping!$B:$B,BY$2,mapping!$D:$D,$B81)&gt;0,"X","")</f>
        <v/>
      </c>
      <c r="BZ81" s="114" t="str">
        <f>IF(COUNTIFS(mapping!$B:$B,BZ$2,mapping!$D:$D,$B81)&gt;0,"X","")</f>
        <v/>
      </c>
      <c r="CA81" s="114" t="str">
        <f>IF(COUNTIFS(mapping!$B:$B,CA$2,mapping!$D:$D,$B81)&gt;0,"X","")</f>
        <v/>
      </c>
      <c r="CB81" s="114" t="str">
        <f>IF(COUNTIFS(mapping!$B:$B,CB$2,mapping!$D:$D,$B81)&gt;0,"X","")</f>
        <v/>
      </c>
      <c r="CC81" s="114" t="str">
        <f>IF(COUNTIFS(mapping!$B:$B,CC$2,mapping!$D:$D,$B81)&gt;0,"X","")</f>
        <v/>
      </c>
      <c r="CD81" s="114" t="str">
        <f>IF(COUNTIFS(mapping!$B:$B,CD$2,mapping!$D:$D,$B81)&gt;0,"X","")</f>
        <v/>
      </c>
      <c r="CE81" s="114" t="str">
        <f>IF(COUNTIFS(mapping!$B:$B,CE$2,mapping!$D:$D,$B81)&gt;0,"X","")</f>
        <v/>
      </c>
      <c r="CF81" s="114" t="str">
        <f>IF(COUNTIFS(mapping!$B:$B,CF$2,mapping!$D:$D,$B81)&gt;0,"X","")</f>
        <v/>
      </c>
      <c r="CG81" s="114" t="str">
        <f>IF(COUNTIFS(mapping!$B:$B,CG$2,mapping!$D:$D,$B81)&gt;0,"X","")</f>
        <v/>
      </c>
      <c r="CH81" s="114" t="str">
        <f>IF(COUNTIFS(mapping!$B:$B,CH$2,mapping!$D:$D,$B81)&gt;0,"X","")</f>
        <v/>
      </c>
    </row>
    <row r="82" spans="1:86">
      <c r="D82" s="135" t="s">
        <v>632</v>
      </c>
      <c r="E82" s="114">
        <f t="array" ref="E82">SUMPRODUCT(--(E$5:E$81&lt;&gt;""))</f>
        <v>3</v>
      </c>
      <c r="F82" s="114">
        <f t="array" ref="F82">SUMPRODUCT(--(F$5:F$81&lt;&gt;""))</f>
        <v>5</v>
      </c>
      <c r="G82" s="114">
        <f t="array" ref="G82">SUMPRODUCT(--(G$5:G$81&lt;&gt;""))</f>
        <v>5</v>
      </c>
      <c r="H82" s="114">
        <f t="array" ref="H82">SUMPRODUCT(--(H$5:H$81&lt;&gt;""))</f>
        <v>5</v>
      </c>
      <c r="I82" s="114">
        <f t="array" ref="I82">SUMPRODUCT(--(I$5:I$81&lt;&gt;""))</f>
        <v>5</v>
      </c>
      <c r="J82" s="114">
        <f t="array" ref="J82">SUMPRODUCT(--(J$5:J$81&lt;&gt;""))</f>
        <v>4</v>
      </c>
      <c r="K82" s="114">
        <f t="array" ref="K82">SUMPRODUCT(--(K$5:K$81&lt;&gt;""))</f>
        <v>4</v>
      </c>
      <c r="L82" s="114">
        <f t="array" ref="L82">SUMPRODUCT(--(L$5:L$81&lt;&gt;""))</f>
        <v>3</v>
      </c>
      <c r="M82" s="114">
        <f t="array" ref="M82">SUMPRODUCT(--(M$5:M$81&lt;&gt;""))</f>
        <v>5</v>
      </c>
      <c r="N82" s="114">
        <f t="array" ref="N82">SUMPRODUCT(--(N$5:N$81&lt;&gt;""))</f>
        <v>5</v>
      </c>
      <c r="O82" s="114">
        <f t="array" ref="O82">SUMPRODUCT(--(O$5:O$81&lt;&gt;""))</f>
        <v>4</v>
      </c>
      <c r="P82" s="114">
        <f t="array" ref="P82">SUMPRODUCT(--(P$5:P$81&lt;&gt;""))</f>
        <v>4</v>
      </c>
      <c r="Q82" s="114">
        <f t="array" ref="Q82">SUMPRODUCT(--(Q$5:Q$81&lt;&gt;""))</f>
        <v>4</v>
      </c>
      <c r="R82" s="114">
        <f t="array" ref="R82">SUMPRODUCT(--(R$5:R$81&lt;&gt;""))</f>
        <v>4</v>
      </c>
      <c r="S82" s="114">
        <f t="array" ref="S82">SUMPRODUCT(--(S$5:S$81&lt;&gt;""))</f>
        <v>3</v>
      </c>
      <c r="T82" s="114">
        <f t="array" ref="T82">SUMPRODUCT(--(T$5:T$81&lt;&gt;""))</f>
        <v>3</v>
      </c>
      <c r="U82" s="114">
        <f t="array" ref="U82">SUMPRODUCT(--(U$5:U$81&lt;&gt;""))</f>
        <v>3</v>
      </c>
      <c r="V82" s="114">
        <f t="array" ref="V82">SUMPRODUCT(--(V$5:V$81&lt;&gt;""))</f>
        <v>4</v>
      </c>
      <c r="W82" s="114">
        <f t="array" ref="W82">SUMPRODUCT(--(W$5:W$81&lt;&gt;""))</f>
        <v>5</v>
      </c>
      <c r="X82" s="114">
        <f t="array" ref="X82">SUMPRODUCT(--(X$5:X$81&lt;&gt;""))</f>
        <v>4</v>
      </c>
      <c r="Y82" s="114">
        <f t="array" ref="Y82">SUMPRODUCT(--(Y$5:Y$81&lt;&gt;""))</f>
        <v>4</v>
      </c>
      <c r="Z82" s="114">
        <f t="array" ref="Z82">SUMPRODUCT(--(Z$5:Z$81&lt;&gt;""))</f>
        <v>4</v>
      </c>
      <c r="AA82" s="114">
        <f t="array" ref="AA82">SUMPRODUCT(--(AA$5:AA$81&lt;&gt;""))</f>
        <v>4</v>
      </c>
      <c r="AB82" s="114">
        <f t="array" ref="AB82">SUMPRODUCT(--(AB$5:AB$81&lt;&gt;""))</f>
        <v>5</v>
      </c>
      <c r="AC82" s="114">
        <f t="array" ref="AC82">SUMPRODUCT(--(AC$5:AC$81&lt;&gt;""))</f>
        <v>3</v>
      </c>
      <c r="AD82" s="114">
        <f t="array" ref="AD82">SUMPRODUCT(--(AD$5:AD$81&lt;&gt;""))</f>
        <v>6</v>
      </c>
      <c r="AE82" s="114">
        <f t="array" ref="AE82">SUMPRODUCT(--(AE$5:AE$81&lt;&gt;""))</f>
        <v>5</v>
      </c>
      <c r="AF82" s="114">
        <f t="array" ref="AF82">SUMPRODUCT(--(AF$5:AF$81&lt;&gt;""))</f>
        <v>6</v>
      </c>
      <c r="AG82" s="114">
        <f t="array" ref="AG82">SUMPRODUCT(--(AG$5:AG$81&lt;&gt;""))</f>
        <v>5</v>
      </c>
      <c r="AH82" s="114">
        <f t="array" ref="AH82">SUMPRODUCT(--(AH$5:AH$81&lt;&gt;""))</f>
        <v>3</v>
      </c>
      <c r="AI82" s="114">
        <f t="array" ref="AI82">SUMPRODUCT(--(AI$5:AI$81&lt;&gt;""))</f>
        <v>5</v>
      </c>
      <c r="AJ82" s="114">
        <f t="array" ref="AJ82">SUMPRODUCT(--(AJ$5:AJ$81&lt;&gt;""))</f>
        <v>5</v>
      </c>
      <c r="AK82" s="114">
        <f t="array" ref="AK82">SUMPRODUCT(--(AK$5:AK$81&lt;&gt;""))</f>
        <v>6</v>
      </c>
      <c r="AL82" s="114">
        <f t="array" ref="AL82">SUMPRODUCT(--(AL$5:AL$81&lt;&gt;""))</f>
        <v>5</v>
      </c>
      <c r="AM82" s="114">
        <f t="array" ref="AM82">SUMPRODUCT(--(AM$5:AM$81&lt;&gt;""))</f>
        <v>5</v>
      </c>
      <c r="AN82" s="114">
        <f t="array" ref="AN82">SUMPRODUCT(--(AN$5:AN$81&lt;&gt;""))</f>
        <v>5</v>
      </c>
      <c r="AO82" s="114">
        <f t="array" ref="AO82">SUMPRODUCT(--(AO$5:AO$81&lt;&gt;""))</f>
        <v>5</v>
      </c>
      <c r="AP82" s="114">
        <f t="array" ref="AP82">SUMPRODUCT(--(AP$5:AP$81&lt;&gt;""))</f>
        <v>4</v>
      </c>
      <c r="AQ82" s="114">
        <f t="array" ref="AQ82">SUMPRODUCT(--(AQ$5:AQ$81&lt;&gt;""))</f>
        <v>5</v>
      </c>
      <c r="AR82" s="114">
        <f t="array" ref="AR82">SUMPRODUCT(--(AR$5:AR$81&lt;&gt;""))</f>
        <v>4</v>
      </c>
      <c r="AS82" s="114">
        <f t="array" ref="AS82">SUMPRODUCT(--(AS$5:AS$81&lt;&gt;""))</f>
        <v>3</v>
      </c>
      <c r="AT82" s="114">
        <f t="array" ref="AT82">SUMPRODUCT(--(AT$5:AT$81&lt;&gt;""))</f>
        <v>6</v>
      </c>
      <c r="AU82" s="114">
        <f t="array" ref="AU82">SUMPRODUCT(--(AU$5:AU$81&lt;&gt;""))</f>
        <v>4</v>
      </c>
      <c r="AV82" s="114">
        <f t="array" ref="AV82">SUMPRODUCT(--(AV$5:AV$81&lt;&gt;""))</f>
        <v>4</v>
      </c>
      <c r="AW82" s="114">
        <f t="array" ref="AW82">SUMPRODUCT(--(AW$5:AW$81&lt;&gt;""))</f>
        <v>4</v>
      </c>
      <c r="AX82" s="114">
        <f t="array" ref="AX82">SUMPRODUCT(--(AX$5:AX$81&lt;&gt;""))</f>
        <v>5</v>
      </c>
      <c r="AY82" s="114">
        <f t="array" ref="AY82">SUMPRODUCT(--(AY$5:AY$81&lt;&gt;""))</f>
        <v>5</v>
      </c>
      <c r="AZ82" s="114">
        <f t="array" ref="AZ82">SUMPRODUCT(--(AZ$5:AZ$81&lt;&gt;""))</f>
        <v>4</v>
      </c>
      <c r="BA82" s="114">
        <f t="array" ref="BA82">SUMPRODUCT(--(BA$5:BA$81&lt;&gt;""))</f>
        <v>4</v>
      </c>
      <c r="BB82" s="114">
        <f t="array" ref="BB82">SUMPRODUCT(--(BB$5:BB$81&lt;&gt;""))</f>
        <v>4</v>
      </c>
      <c r="BC82" s="114">
        <f t="array" ref="BC82">SUMPRODUCT(--(BC$5:BC$81&lt;&gt;""))</f>
        <v>4</v>
      </c>
      <c r="BD82" s="114">
        <f t="array" ref="BD82">SUMPRODUCT(--(BD$5:BD$81&lt;&gt;""))</f>
        <v>5</v>
      </c>
      <c r="BE82" s="114">
        <f t="array" ref="BE82">SUMPRODUCT(--(BE$5:BE$81&lt;&gt;""))</f>
        <v>4</v>
      </c>
      <c r="BF82" s="114">
        <f t="array" ref="BF82">SUMPRODUCT(--(BF$5:BF$81&lt;&gt;""))</f>
        <v>5</v>
      </c>
      <c r="BG82" s="114">
        <f t="array" ref="BG82">SUMPRODUCT(--(BG$5:BG$81&lt;&gt;""))</f>
        <v>5</v>
      </c>
      <c r="BH82" s="114">
        <f t="array" ref="BH82">SUMPRODUCT(--(BH$5:BH$81&lt;&gt;""))</f>
        <v>5</v>
      </c>
      <c r="BI82" s="114">
        <f t="array" ref="BI82">SUMPRODUCT(--(BI$5:BI$81&lt;&gt;""))</f>
        <v>4</v>
      </c>
      <c r="BJ82" s="114">
        <f t="array" ref="BJ82">SUMPRODUCT(--(BJ$5:BJ$81&lt;&gt;""))</f>
        <v>5</v>
      </c>
      <c r="BK82" s="114">
        <f t="array" ref="BK82">SUMPRODUCT(--(BK$5:BK$81&lt;&gt;""))</f>
        <v>4</v>
      </c>
      <c r="BL82" s="114">
        <f t="array" ref="BL82">SUMPRODUCT(--(BL$5:BL$81&lt;&gt;""))</f>
        <v>5</v>
      </c>
      <c r="BM82" s="114">
        <f t="array" ref="BM82">SUMPRODUCT(--(BM$5:BM$81&lt;&gt;""))</f>
        <v>5</v>
      </c>
      <c r="BN82" s="114">
        <f t="array" ref="BN82">SUMPRODUCT(--(BN$5:BN$81&lt;&gt;""))</f>
        <v>5</v>
      </c>
      <c r="BO82" s="114">
        <f t="array" ref="BO82">SUMPRODUCT(--(BO$5:BO$81&lt;&gt;""))</f>
        <v>5</v>
      </c>
      <c r="BP82" s="114">
        <f t="array" ref="BP82">SUMPRODUCT(--(BP$5:BP$81&lt;&gt;""))</f>
        <v>5</v>
      </c>
      <c r="BQ82" s="114">
        <f t="array" ref="BQ82">SUMPRODUCT(--(BQ$5:BQ$81&lt;&gt;""))</f>
        <v>5</v>
      </c>
      <c r="BR82" s="114">
        <f t="array" ref="BR82">SUMPRODUCT(--(BR$5:BR$81&lt;&gt;""))</f>
        <v>5</v>
      </c>
      <c r="BS82" s="114">
        <f t="array" ref="BS82">SUMPRODUCT(--(BS$5:BS$81&lt;&gt;""))</f>
        <v>4</v>
      </c>
      <c r="BT82" s="114">
        <f t="array" ref="BT82">SUMPRODUCT(--(BT$5:BT$81&lt;&gt;""))</f>
        <v>5</v>
      </c>
      <c r="BU82" s="114">
        <f t="array" ref="BU82">SUMPRODUCT(--(BU$5:BU$81&lt;&gt;""))</f>
        <v>4</v>
      </c>
      <c r="BV82" s="114">
        <f t="array" ref="BV82">SUMPRODUCT(--(BV$5:BV$81&lt;&gt;""))</f>
        <v>5</v>
      </c>
      <c r="BW82" s="114">
        <f t="array" ref="BW82">SUMPRODUCT(--(BW$5:BW$81&lt;&gt;""))</f>
        <v>4</v>
      </c>
      <c r="BX82" s="114">
        <f t="array" ref="BX82">SUMPRODUCT(--(BX$5:BX$81&lt;&gt;""))</f>
        <v>5</v>
      </c>
      <c r="BY82" s="114">
        <f t="array" ref="BY82">SUMPRODUCT(--(BY$5:BY$81&lt;&gt;""))</f>
        <v>4</v>
      </c>
      <c r="BZ82" s="114">
        <f t="array" ref="BZ82">SUMPRODUCT(--(BZ$5:BZ$81&lt;&gt;""))</f>
        <v>4</v>
      </c>
      <c r="CA82" s="114">
        <f t="array" ref="CA82">SUMPRODUCT(--(CA$5:CA$81&lt;&gt;""))</f>
        <v>4</v>
      </c>
      <c r="CB82" s="114">
        <f t="array" ref="CB82">SUMPRODUCT(--(CB$5:CB$81&lt;&gt;""))</f>
        <v>3</v>
      </c>
      <c r="CC82" s="114">
        <f t="array" ref="CC82">SUMPRODUCT(--(CC$5:CC$81&lt;&gt;""))</f>
        <v>5</v>
      </c>
      <c r="CD82" s="114">
        <f t="array" ref="CD82">SUMPRODUCT(--(CD$5:CD$81&lt;&gt;""))</f>
        <v>5</v>
      </c>
      <c r="CE82" s="114">
        <f t="array" ref="CE82">SUMPRODUCT(--(CE$5:CE$81&lt;&gt;""))</f>
        <v>5</v>
      </c>
      <c r="CF82" s="114">
        <f t="array" ref="CF82">SUMPRODUCT(--(CF$5:CF$81&lt;&gt;""))</f>
        <v>5</v>
      </c>
      <c r="CG82" s="114">
        <f t="array" ref="CG82">SUMPRODUCT(--(CG$5:CG$81&lt;&gt;""))</f>
        <v>5</v>
      </c>
      <c r="CH82" s="114">
        <f t="array" ref="CH82">SUMPRODUCT(--(CH$5:CH$81&lt;&gt;""))</f>
        <v>3</v>
      </c>
    </row>
    <row r="83" spans="1:86">
      <c r="D83" s="136" t="s">
        <v>631</v>
      </c>
      <c r="E83" s="135">
        <f t="shared" ref="E83:AJ83" si="0">IF(E82=0,0,IF(E82&lt;=4,1,IF(E82&lt;=8,2,3)))</f>
        <v>1</v>
      </c>
      <c r="F83" s="135">
        <f t="shared" si="0"/>
        <v>2</v>
      </c>
      <c r="G83" s="135">
        <f t="shared" si="0"/>
        <v>2</v>
      </c>
      <c r="H83" s="135">
        <f t="shared" si="0"/>
        <v>2</v>
      </c>
      <c r="I83" s="135">
        <f t="shared" si="0"/>
        <v>2</v>
      </c>
      <c r="J83" s="135">
        <f t="shared" si="0"/>
        <v>1</v>
      </c>
      <c r="K83" s="135">
        <f t="shared" si="0"/>
        <v>1</v>
      </c>
      <c r="L83" s="135">
        <f t="shared" si="0"/>
        <v>1</v>
      </c>
      <c r="M83" s="135">
        <f t="shared" si="0"/>
        <v>2</v>
      </c>
      <c r="N83" s="135">
        <f t="shared" si="0"/>
        <v>2</v>
      </c>
      <c r="O83" s="135">
        <f t="shared" si="0"/>
        <v>1</v>
      </c>
      <c r="P83" s="135">
        <f t="shared" si="0"/>
        <v>1</v>
      </c>
      <c r="Q83" s="135">
        <f t="shared" si="0"/>
        <v>1</v>
      </c>
      <c r="R83" s="135">
        <f t="shared" si="0"/>
        <v>1</v>
      </c>
      <c r="S83" s="135">
        <f t="shared" si="0"/>
        <v>1</v>
      </c>
      <c r="T83" s="135">
        <f t="shared" si="0"/>
        <v>1</v>
      </c>
      <c r="U83" s="135">
        <f t="shared" si="0"/>
        <v>1</v>
      </c>
      <c r="V83" s="135">
        <f t="shared" si="0"/>
        <v>1</v>
      </c>
      <c r="W83" s="135">
        <f t="shared" si="0"/>
        <v>2</v>
      </c>
      <c r="X83" s="135">
        <f t="shared" si="0"/>
        <v>1</v>
      </c>
      <c r="Y83" s="135">
        <f t="shared" si="0"/>
        <v>1</v>
      </c>
      <c r="Z83" s="135">
        <f t="shared" si="0"/>
        <v>1</v>
      </c>
      <c r="AA83" s="135">
        <f t="shared" si="0"/>
        <v>1</v>
      </c>
      <c r="AB83" s="135">
        <f t="shared" si="0"/>
        <v>2</v>
      </c>
      <c r="AC83" s="135">
        <f t="shared" si="0"/>
        <v>1</v>
      </c>
      <c r="AD83" s="135">
        <f t="shared" si="0"/>
        <v>2</v>
      </c>
      <c r="AE83" s="135">
        <f t="shared" si="0"/>
        <v>2</v>
      </c>
      <c r="AF83" s="135">
        <f t="shared" si="0"/>
        <v>2</v>
      </c>
      <c r="AG83" s="135">
        <f t="shared" si="0"/>
        <v>2</v>
      </c>
      <c r="AH83" s="135">
        <f t="shared" si="0"/>
        <v>1</v>
      </c>
      <c r="AI83" s="135">
        <f t="shared" si="0"/>
        <v>2</v>
      </c>
      <c r="AJ83" s="135">
        <f t="shared" si="0"/>
        <v>2</v>
      </c>
      <c r="AK83" s="135">
        <f t="shared" ref="AK83:BP83" si="1">IF(AK82=0,0,IF(AK82&lt;=4,1,IF(AK82&lt;=8,2,3)))</f>
        <v>2</v>
      </c>
      <c r="AL83" s="135">
        <f t="shared" si="1"/>
        <v>2</v>
      </c>
      <c r="AM83" s="135">
        <f t="shared" si="1"/>
        <v>2</v>
      </c>
      <c r="AN83" s="135">
        <f t="shared" si="1"/>
        <v>2</v>
      </c>
      <c r="AO83" s="135">
        <f t="shared" si="1"/>
        <v>2</v>
      </c>
      <c r="AP83" s="135">
        <f t="shared" si="1"/>
        <v>1</v>
      </c>
      <c r="AQ83" s="135">
        <f t="shared" si="1"/>
        <v>2</v>
      </c>
      <c r="AR83" s="135">
        <f t="shared" si="1"/>
        <v>1</v>
      </c>
      <c r="AS83" s="135">
        <f t="shared" si="1"/>
        <v>1</v>
      </c>
      <c r="AT83" s="135">
        <f t="shared" si="1"/>
        <v>2</v>
      </c>
      <c r="AU83" s="135">
        <f t="shared" si="1"/>
        <v>1</v>
      </c>
      <c r="AV83" s="135">
        <f t="shared" si="1"/>
        <v>1</v>
      </c>
      <c r="AW83" s="135">
        <f t="shared" si="1"/>
        <v>1</v>
      </c>
      <c r="AX83" s="135">
        <f t="shared" si="1"/>
        <v>2</v>
      </c>
      <c r="AY83" s="135">
        <f t="shared" si="1"/>
        <v>2</v>
      </c>
      <c r="AZ83" s="135">
        <f t="shared" si="1"/>
        <v>1</v>
      </c>
      <c r="BA83" s="135">
        <f t="shared" si="1"/>
        <v>1</v>
      </c>
      <c r="BB83" s="135">
        <f t="shared" si="1"/>
        <v>1</v>
      </c>
      <c r="BC83" s="135">
        <f t="shared" si="1"/>
        <v>1</v>
      </c>
      <c r="BD83" s="135">
        <f t="shared" si="1"/>
        <v>2</v>
      </c>
      <c r="BE83" s="135">
        <f t="shared" si="1"/>
        <v>1</v>
      </c>
      <c r="BF83" s="135">
        <f t="shared" si="1"/>
        <v>2</v>
      </c>
      <c r="BG83" s="135">
        <f t="shared" si="1"/>
        <v>2</v>
      </c>
      <c r="BH83" s="135">
        <f t="shared" si="1"/>
        <v>2</v>
      </c>
      <c r="BI83" s="135">
        <f t="shared" si="1"/>
        <v>1</v>
      </c>
      <c r="BJ83" s="135">
        <f t="shared" si="1"/>
        <v>2</v>
      </c>
      <c r="BK83" s="135">
        <f t="shared" si="1"/>
        <v>1</v>
      </c>
      <c r="BL83" s="135">
        <f t="shared" si="1"/>
        <v>2</v>
      </c>
      <c r="BM83" s="135">
        <f t="shared" si="1"/>
        <v>2</v>
      </c>
      <c r="BN83" s="135">
        <f t="shared" si="1"/>
        <v>2</v>
      </c>
      <c r="BO83" s="135">
        <f t="shared" si="1"/>
        <v>2</v>
      </c>
      <c r="BP83" s="135">
        <f t="shared" si="1"/>
        <v>2</v>
      </c>
      <c r="BQ83" s="135">
        <f t="shared" ref="BQ83:CH83" si="2">IF(BQ82=0,0,IF(BQ82&lt;=4,1,IF(BQ82&lt;=8,2,3)))</f>
        <v>2</v>
      </c>
      <c r="BR83" s="135">
        <f t="shared" si="2"/>
        <v>2</v>
      </c>
      <c r="BS83" s="135">
        <f t="shared" si="2"/>
        <v>1</v>
      </c>
      <c r="BT83" s="135">
        <f t="shared" si="2"/>
        <v>2</v>
      </c>
      <c r="BU83" s="135">
        <f t="shared" si="2"/>
        <v>1</v>
      </c>
      <c r="BV83" s="135">
        <f t="shared" si="2"/>
        <v>2</v>
      </c>
      <c r="BW83" s="135">
        <f t="shared" si="2"/>
        <v>1</v>
      </c>
      <c r="BX83" s="135">
        <f t="shared" si="2"/>
        <v>2</v>
      </c>
      <c r="BY83" s="135">
        <f t="shared" si="2"/>
        <v>1</v>
      </c>
      <c r="BZ83" s="135">
        <f t="shared" si="2"/>
        <v>1</v>
      </c>
      <c r="CA83" s="135">
        <f t="shared" si="2"/>
        <v>1</v>
      </c>
      <c r="CB83" s="135">
        <f t="shared" si="2"/>
        <v>1</v>
      </c>
      <c r="CC83" s="135">
        <f t="shared" si="2"/>
        <v>2</v>
      </c>
      <c r="CD83" s="135">
        <f t="shared" si="2"/>
        <v>2</v>
      </c>
      <c r="CE83" s="135">
        <f t="shared" si="2"/>
        <v>2</v>
      </c>
      <c r="CF83" s="135">
        <f t="shared" si="2"/>
        <v>2</v>
      </c>
      <c r="CG83" s="135">
        <f t="shared" si="2"/>
        <v>2</v>
      </c>
      <c r="CH83" s="135">
        <f t="shared" si="2"/>
        <v>1</v>
      </c>
    </row>
  </sheetData>
  <mergeCells count="15">
    <mergeCell ref="BY1:CH1"/>
    <mergeCell ref="A5:A14"/>
    <mergeCell ref="A15:A38"/>
    <mergeCell ref="A39:A48"/>
    <mergeCell ref="D1:D2"/>
    <mergeCell ref="E1:N1"/>
    <mergeCell ref="O1:T1"/>
    <mergeCell ref="U1:AD1"/>
    <mergeCell ref="AE1:AN1"/>
    <mergeCell ref="AO1:AX1"/>
    <mergeCell ref="A49:A56"/>
    <mergeCell ref="A57:A63"/>
    <mergeCell ref="A64:A81"/>
    <mergeCell ref="AY1:BK1"/>
    <mergeCell ref="BL1:BX1"/>
  </mergeCells>
  <dataValidations count="2">
    <dataValidation type="list" allowBlank="1" showInputMessage="1" showErrorMessage="1" sqref="A4" xr:uid="{80E7E43B-3638-F240-8B49-16909070C181}">
      <formula1>$A$1:$C$1</formula1>
    </dataValidation>
    <dataValidation type="list" allowBlank="1" showInputMessage="1" showErrorMessage="1" sqref="B4" xr:uid="{635FA105-4502-454A-9683-4EFB082B18C9}">
      <formula1>$B$1</formula1>
    </dataValidation>
  </dataValidations>
  <pageMargins left="0.70000000000000007" right="0.70000000000000007" top="0.75" bottom="0.75" header="0.30000000000000004" footer="0.3000000000000000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E8EC5-B954-4349-8949-D39D5E97C111}">
  <dimension ref="A1:E93"/>
  <sheetViews>
    <sheetView zoomScale="161" zoomScaleNormal="87" workbookViewId="0">
      <pane ySplit="1" topLeftCell="A31" activePane="bottomLeft" state="frozen"/>
      <selection pane="bottomLeft" activeCell="B30" sqref="B30"/>
    </sheetView>
  </sheetViews>
  <sheetFormatPr baseColWidth="10" defaultRowHeight="16"/>
  <cols>
    <col min="1" max="1" width="29.1640625" customWidth="1"/>
    <col min="2" max="2" width="71.6640625" customWidth="1"/>
    <col min="3" max="3" width="55" customWidth="1"/>
  </cols>
  <sheetData>
    <row r="1" spans="1:3" ht="22">
      <c r="A1" s="270"/>
      <c r="B1" s="270"/>
      <c r="C1" s="270"/>
    </row>
    <row r="2" spans="1:3">
      <c r="A2" s="62"/>
      <c r="B2" s="62"/>
      <c r="C2" s="62"/>
    </row>
    <row r="3" spans="1:3">
      <c r="A3" s="271"/>
      <c r="B3" s="271"/>
      <c r="C3" s="271"/>
    </row>
    <row r="4" spans="1:3">
      <c r="A4" s="63" t="s">
        <v>224</v>
      </c>
      <c r="B4" s="63" t="s">
        <v>225</v>
      </c>
      <c r="C4" s="62"/>
    </row>
    <row r="5" spans="1:3">
      <c r="A5" s="62"/>
      <c r="B5" s="62"/>
      <c r="C5" s="62"/>
    </row>
    <row r="6" spans="1:3" ht="32">
      <c r="A6" s="62" t="s">
        <v>760</v>
      </c>
      <c r="B6" s="62" t="s">
        <v>226</v>
      </c>
      <c r="C6" s="62"/>
    </row>
    <row r="7" spans="1:3" ht="32">
      <c r="A7" s="62" t="s">
        <v>227</v>
      </c>
      <c r="B7" s="62" t="s">
        <v>228</v>
      </c>
      <c r="C7" s="62"/>
    </row>
    <row r="8" spans="1:3" ht="32">
      <c r="A8" s="62" t="s">
        <v>229</v>
      </c>
      <c r="B8" s="62" t="s">
        <v>230</v>
      </c>
      <c r="C8" s="62"/>
    </row>
    <row r="9" spans="1:3" ht="32">
      <c r="A9" s="62" t="s">
        <v>740</v>
      </c>
      <c r="B9" s="62" t="s">
        <v>741</v>
      </c>
      <c r="C9" s="62"/>
    </row>
    <row r="10" spans="1:3">
      <c r="A10" s="62"/>
      <c r="B10" s="62"/>
      <c r="C10" s="62"/>
    </row>
    <row r="11" spans="1:3">
      <c r="A11" s="271" t="s">
        <v>268</v>
      </c>
      <c r="B11" s="271"/>
      <c r="C11" s="271"/>
    </row>
    <row r="12" spans="1:3">
      <c r="A12" s="63" t="s">
        <v>231</v>
      </c>
      <c r="B12" s="63" t="s">
        <v>232</v>
      </c>
      <c r="C12" s="63" t="s">
        <v>233</v>
      </c>
    </row>
    <row r="13" spans="1:3">
      <c r="A13" s="62">
        <v>1</v>
      </c>
      <c r="B13" s="64" t="s">
        <v>234</v>
      </c>
      <c r="C13" s="64" t="s">
        <v>235</v>
      </c>
    </row>
    <row r="14" spans="1:3">
      <c r="A14" s="62">
        <v>2</v>
      </c>
      <c r="B14" s="64" t="s">
        <v>236</v>
      </c>
      <c r="C14" s="64" t="s">
        <v>237</v>
      </c>
    </row>
    <row r="15" spans="1:3">
      <c r="A15" s="62">
        <v>3</v>
      </c>
      <c r="B15" s="64" t="s">
        <v>238</v>
      </c>
      <c r="C15" s="64" t="s">
        <v>239</v>
      </c>
    </row>
    <row r="16" spans="1:3" ht="32">
      <c r="A16" s="62">
        <v>4</v>
      </c>
      <c r="B16" s="64" t="s">
        <v>240</v>
      </c>
      <c r="C16" s="64" t="s">
        <v>241</v>
      </c>
    </row>
    <row r="17" spans="1:3" ht="32">
      <c r="A17" s="62">
        <v>5</v>
      </c>
      <c r="B17" s="64" t="s">
        <v>242</v>
      </c>
      <c r="C17" s="64" t="s">
        <v>243</v>
      </c>
    </row>
    <row r="18" spans="1:3">
      <c r="A18" s="65"/>
      <c r="B18" s="62"/>
      <c r="C18" s="62"/>
    </row>
    <row r="19" spans="1:3">
      <c r="A19" s="62"/>
      <c r="B19" s="62"/>
      <c r="C19" s="62"/>
    </row>
    <row r="20" spans="1:3">
      <c r="A20" s="70" t="s">
        <v>244</v>
      </c>
      <c r="B20" s="70"/>
      <c r="C20" s="95"/>
    </row>
    <row r="21" spans="1:3">
      <c r="A21" s="63" t="s">
        <v>245</v>
      </c>
      <c r="B21" s="63" t="s">
        <v>246</v>
      </c>
      <c r="C21" s="74"/>
    </row>
    <row r="22" spans="1:3">
      <c r="A22" s="71" t="s">
        <v>259</v>
      </c>
      <c r="B22" s="66" t="s">
        <v>248</v>
      </c>
      <c r="C22" s="62"/>
    </row>
    <row r="23" spans="1:3">
      <c r="A23" s="71" t="s">
        <v>260</v>
      </c>
      <c r="B23" s="67" t="s">
        <v>249</v>
      </c>
      <c r="C23" s="62"/>
    </row>
    <row r="24" spans="1:3">
      <c r="A24" s="71" t="s">
        <v>261</v>
      </c>
      <c r="B24" s="68" t="s">
        <v>250</v>
      </c>
      <c r="C24" s="62"/>
    </row>
    <row r="25" spans="1:3">
      <c r="A25" s="71" t="s">
        <v>262</v>
      </c>
      <c r="B25" s="69" t="s">
        <v>251</v>
      </c>
      <c r="C25" s="62"/>
    </row>
    <row r="26" spans="1:3">
      <c r="A26" s="65"/>
      <c r="B26" s="62"/>
      <c r="C26" s="62"/>
    </row>
    <row r="27" spans="1:3">
      <c r="A27" s="62"/>
      <c r="B27" s="62"/>
      <c r="C27" s="62"/>
    </row>
    <row r="28" spans="1:3" ht="16" customHeight="1">
      <c r="A28" s="70" t="s">
        <v>252</v>
      </c>
      <c r="B28" s="70"/>
      <c r="C28" s="95"/>
    </row>
    <row r="29" spans="1:3">
      <c r="A29" s="63" t="s">
        <v>253</v>
      </c>
      <c r="B29" s="63" t="s">
        <v>254</v>
      </c>
      <c r="C29" s="247" t="s">
        <v>638</v>
      </c>
    </row>
    <row r="30" spans="1:3" ht="128">
      <c r="A30" s="62" t="s">
        <v>89</v>
      </c>
      <c r="B30" s="62" t="s">
        <v>274</v>
      </c>
      <c r="C30" s="248" t="s">
        <v>783</v>
      </c>
    </row>
    <row r="31" spans="1:3" ht="80">
      <c r="A31" s="62" t="s">
        <v>90</v>
      </c>
      <c r="B31" s="62" t="s">
        <v>275</v>
      </c>
      <c r="C31" s="248" t="s">
        <v>742</v>
      </c>
    </row>
    <row r="32" spans="1:3" ht="32">
      <c r="A32" s="62" t="s">
        <v>91</v>
      </c>
      <c r="B32" s="62" t="s">
        <v>635</v>
      </c>
      <c r="C32" s="248" t="s">
        <v>636</v>
      </c>
    </row>
    <row r="33" spans="1:5" ht="32">
      <c r="A33" s="62" t="s">
        <v>218</v>
      </c>
      <c r="B33" s="62" t="s">
        <v>255</v>
      </c>
      <c r="C33" s="249"/>
    </row>
    <row r="34" spans="1:5" ht="32">
      <c r="A34" s="62" t="s">
        <v>219</v>
      </c>
      <c r="B34" s="62" t="s">
        <v>256</v>
      </c>
      <c r="C34" s="250"/>
    </row>
    <row r="35" spans="1:5" ht="64">
      <c r="A35" s="62" t="s">
        <v>83</v>
      </c>
      <c r="B35" s="62" t="s">
        <v>637</v>
      </c>
      <c r="C35" s="248" t="s">
        <v>761</v>
      </c>
    </row>
    <row r="36" spans="1:5">
      <c r="A36" s="62"/>
      <c r="B36" s="62"/>
      <c r="C36" s="62"/>
    </row>
    <row r="37" spans="1:5" ht="16" customHeight="1">
      <c r="A37" s="70" t="s">
        <v>257</v>
      </c>
      <c r="B37" s="70"/>
      <c r="C37" s="95"/>
    </row>
    <row r="38" spans="1:5">
      <c r="A38" s="63" t="s">
        <v>218</v>
      </c>
      <c r="B38" s="63" t="s">
        <v>254</v>
      </c>
      <c r="C38" s="74"/>
    </row>
    <row r="39" spans="1:5" ht="32">
      <c r="A39" s="62" t="s">
        <v>220</v>
      </c>
      <c r="B39" s="62" t="s">
        <v>263</v>
      </c>
      <c r="C39" s="62"/>
      <c r="E39" s="72"/>
    </row>
    <row r="40" spans="1:5" ht="25">
      <c r="A40" s="62" t="s">
        <v>221</v>
      </c>
      <c r="B40" s="62" t="s">
        <v>264</v>
      </c>
      <c r="C40" s="99"/>
      <c r="E40" s="73"/>
    </row>
    <row r="41" spans="1:5" ht="48">
      <c r="A41" s="62" t="s">
        <v>222</v>
      </c>
      <c r="B41" s="62" t="s">
        <v>265</v>
      </c>
      <c r="C41" s="100"/>
    </row>
    <row r="42" spans="1:5" ht="32">
      <c r="A42" s="65" t="s">
        <v>787</v>
      </c>
      <c r="B42" s="62" t="s">
        <v>788</v>
      </c>
      <c r="C42" s="62"/>
    </row>
    <row r="43" spans="1:5" ht="144">
      <c r="A43" s="65" t="s">
        <v>821</v>
      </c>
      <c r="B43" s="62" t="s">
        <v>824</v>
      </c>
      <c r="C43" s="62"/>
    </row>
    <row r="44" spans="1:5" ht="16" customHeight="1">
      <c r="A44" s="70" t="s">
        <v>778</v>
      </c>
      <c r="B44" s="70"/>
      <c r="C44" s="70"/>
    </row>
    <row r="45" spans="1:5">
      <c r="A45" s="63" t="s">
        <v>657</v>
      </c>
      <c r="B45" s="63" t="s">
        <v>247</v>
      </c>
      <c r="C45" s="63" t="s">
        <v>258</v>
      </c>
    </row>
    <row r="46" spans="1:5">
      <c r="A46" s="62" t="s">
        <v>658</v>
      </c>
      <c r="B46" s="62" t="s">
        <v>639</v>
      </c>
      <c r="C46" s="62" t="s">
        <v>763</v>
      </c>
    </row>
    <row r="47" spans="1:5">
      <c r="A47" s="62" t="s">
        <v>659</v>
      </c>
      <c r="B47" s="62" t="s">
        <v>640</v>
      </c>
      <c r="C47" s="62" t="s">
        <v>764</v>
      </c>
    </row>
    <row r="48" spans="1:5" ht="48">
      <c r="A48" s="62" t="s">
        <v>660</v>
      </c>
      <c r="B48" s="62" t="s">
        <v>661</v>
      </c>
      <c r="C48" s="62" t="s">
        <v>765</v>
      </c>
    </row>
    <row r="49" spans="1:3">
      <c r="A49" s="62" t="s">
        <v>662</v>
      </c>
      <c r="B49" s="62" t="s">
        <v>663</v>
      </c>
      <c r="C49" s="62" t="s">
        <v>641</v>
      </c>
    </row>
    <row r="50" spans="1:3" ht="48">
      <c r="A50" s="62" t="s">
        <v>642</v>
      </c>
      <c r="B50" s="62" t="s">
        <v>779</v>
      </c>
      <c r="C50" s="62"/>
    </row>
    <row r="51" spans="1:3" ht="64">
      <c r="A51" s="62" t="s">
        <v>766</v>
      </c>
      <c r="B51" s="62" t="s">
        <v>767</v>
      </c>
      <c r="C51" s="62"/>
    </row>
    <row r="52" spans="1:3" ht="16" customHeight="1">
      <c r="A52" s="70" t="s">
        <v>643</v>
      </c>
      <c r="B52" s="70"/>
      <c r="C52" s="70"/>
    </row>
    <row r="53" spans="1:3">
      <c r="A53" s="63" t="s">
        <v>644</v>
      </c>
      <c r="B53" s="63" t="s">
        <v>645</v>
      </c>
      <c r="C53" s="63" t="s">
        <v>247</v>
      </c>
    </row>
    <row r="54" spans="1:3">
      <c r="A54" s="62" t="s">
        <v>646</v>
      </c>
      <c r="B54" s="62" t="s">
        <v>647</v>
      </c>
      <c r="C54" s="62" t="s">
        <v>648</v>
      </c>
    </row>
    <row r="55" spans="1:3">
      <c r="A55" s="62" t="s">
        <v>649</v>
      </c>
      <c r="B55" s="62" t="s">
        <v>650</v>
      </c>
      <c r="C55" s="62" t="s">
        <v>651</v>
      </c>
    </row>
    <row r="56" spans="1:3" ht="112">
      <c r="A56" s="62" t="s">
        <v>652</v>
      </c>
      <c r="B56" s="62" t="s">
        <v>714</v>
      </c>
      <c r="C56" s="62" t="s">
        <v>825</v>
      </c>
    </row>
    <row r="57" spans="1:3" ht="80">
      <c r="A57" s="62" t="s">
        <v>642</v>
      </c>
      <c r="B57" s="62" t="s">
        <v>790</v>
      </c>
      <c r="C57" s="62"/>
    </row>
    <row r="58" spans="1:3" ht="32">
      <c r="A58" s="62" t="s">
        <v>642</v>
      </c>
      <c r="B58" s="62" t="s">
        <v>653</v>
      </c>
      <c r="C58" s="62"/>
    </row>
    <row r="59" spans="1:3" ht="16" customHeight="1">
      <c r="A59" s="233" t="s">
        <v>692</v>
      </c>
      <c r="B59" s="233"/>
      <c r="C59" s="95"/>
    </row>
    <row r="60" spans="1:3">
      <c r="A60" s="139" t="s">
        <v>693</v>
      </c>
      <c r="B60" s="140" t="s">
        <v>247</v>
      </c>
    </row>
    <row r="61" spans="1:3">
      <c r="A61" s="75" t="s">
        <v>694</v>
      </c>
      <c r="B61" s="62" t="s">
        <v>695</v>
      </c>
    </row>
    <row r="62" spans="1:3" ht="32">
      <c r="A62" s="76" t="s">
        <v>696</v>
      </c>
      <c r="B62" s="62" t="s">
        <v>697</v>
      </c>
    </row>
    <row r="63" spans="1:3" ht="32">
      <c r="A63" s="141" t="s">
        <v>698</v>
      </c>
      <c r="B63" s="62" t="s">
        <v>699</v>
      </c>
    </row>
    <row r="64" spans="1:3" ht="32">
      <c r="A64" s="95" t="s">
        <v>642</v>
      </c>
      <c r="B64" s="95" t="s">
        <v>700</v>
      </c>
      <c r="C64" s="95"/>
    </row>
    <row r="65" spans="1:3" ht="224">
      <c r="A65" s="74" t="s">
        <v>642</v>
      </c>
      <c r="B65" s="74" t="s">
        <v>820</v>
      </c>
      <c r="C65" s="62"/>
    </row>
    <row r="66" spans="1:3" ht="64">
      <c r="A66" s="231" t="s">
        <v>762</v>
      </c>
      <c r="B66" s="232"/>
      <c r="C66" s="232"/>
    </row>
    <row r="67" spans="1:3">
      <c r="A67" s="181" t="s">
        <v>726</v>
      </c>
      <c r="B67" s="181" t="s">
        <v>247</v>
      </c>
      <c r="C67" s="181" t="s">
        <v>727</v>
      </c>
    </row>
    <row r="68" spans="1:3" ht="32">
      <c r="A68" s="182" t="s">
        <v>724</v>
      </c>
      <c r="B68" s="62" t="s">
        <v>728</v>
      </c>
      <c r="C68" s="62" t="s">
        <v>743</v>
      </c>
    </row>
    <row r="69" spans="1:3" ht="32">
      <c r="A69" s="183" t="s">
        <v>716</v>
      </c>
      <c r="B69" s="62" t="s">
        <v>729</v>
      </c>
      <c r="C69" s="62" t="s">
        <v>744</v>
      </c>
    </row>
    <row r="70" spans="1:3" ht="48">
      <c r="A70" s="184" t="s">
        <v>719</v>
      </c>
      <c r="B70" s="62" t="s">
        <v>730</v>
      </c>
      <c r="C70" s="62" t="s">
        <v>747</v>
      </c>
    </row>
    <row r="71" spans="1:3" ht="48">
      <c r="A71" s="185" t="s">
        <v>717</v>
      </c>
      <c r="B71" s="62" t="s">
        <v>731</v>
      </c>
      <c r="C71" s="62" t="s">
        <v>748</v>
      </c>
    </row>
    <row r="72" spans="1:3" ht="32">
      <c r="A72" s="186" t="s">
        <v>725</v>
      </c>
      <c r="B72" s="62" t="s">
        <v>732</v>
      </c>
      <c r="C72" s="62" t="s">
        <v>745</v>
      </c>
    </row>
    <row r="73" spans="1:3" ht="32">
      <c r="A73" s="187" t="s">
        <v>718</v>
      </c>
      <c r="B73" s="62" t="s">
        <v>733</v>
      </c>
      <c r="C73" s="62" t="s">
        <v>746</v>
      </c>
    </row>
    <row r="74" spans="1:3">
      <c r="A74" s="62"/>
      <c r="B74" s="62"/>
      <c r="C74" s="62"/>
    </row>
    <row r="75" spans="1:3">
      <c r="A75" s="62"/>
      <c r="B75" s="62"/>
      <c r="C75" s="62"/>
    </row>
    <row r="76" spans="1:3">
      <c r="A76" s="62"/>
      <c r="B76" s="62"/>
      <c r="C76" s="62"/>
    </row>
    <row r="77" spans="1:3">
      <c r="A77" s="65"/>
      <c r="B77" s="62"/>
      <c r="C77" s="62"/>
    </row>
    <row r="78" spans="1:3">
      <c r="A78" s="62"/>
      <c r="B78" s="62"/>
      <c r="C78" s="62"/>
    </row>
    <row r="79" spans="1:3">
      <c r="A79" s="95"/>
      <c r="B79" s="95"/>
      <c r="C79" s="95"/>
    </row>
    <row r="80" spans="1:3">
      <c r="A80" s="234" t="s">
        <v>780</v>
      </c>
      <c r="B80" s="234">
        <v>0.4</v>
      </c>
      <c r="C80" s="62"/>
    </row>
    <row r="81" spans="1:3">
      <c r="A81" s="235" t="s">
        <v>781</v>
      </c>
      <c r="B81" s="235">
        <v>5</v>
      </c>
      <c r="C81" s="62"/>
    </row>
    <row r="82" spans="1:3">
      <c r="A82" s="62"/>
      <c r="B82" s="62"/>
      <c r="C82" s="62"/>
    </row>
    <row r="83" spans="1:3">
      <c r="A83" s="62"/>
      <c r="B83" s="62"/>
      <c r="C83" s="62"/>
    </row>
    <row r="84" spans="1:3">
      <c r="A84" s="62"/>
      <c r="B84" s="62"/>
      <c r="C84" s="62"/>
    </row>
    <row r="85" spans="1:3">
      <c r="A85" s="62"/>
      <c r="B85" s="62"/>
      <c r="C85" s="62"/>
    </row>
    <row r="86" spans="1:3">
      <c r="A86" s="62"/>
      <c r="B86" s="62"/>
      <c r="C86" s="62"/>
    </row>
    <row r="87" spans="1:3">
      <c r="A87" s="62"/>
      <c r="B87" s="62"/>
      <c r="C87" s="62"/>
    </row>
    <row r="88" spans="1:3">
      <c r="A88" s="62"/>
      <c r="B88" s="62"/>
      <c r="C88" s="62"/>
    </row>
    <row r="89" spans="1:3">
      <c r="A89" s="269"/>
      <c r="B89" s="269"/>
      <c r="C89" s="269"/>
    </row>
    <row r="90" spans="1:3">
      <c r="A90" s="77"/>
      <c r="B90" s="62"/>
      <c r="C90" s="62"/>
    </row>
    <row r="91" spans="1:3">
      <c r="A91" s="78"/>
      <c r="B91" s="62"/>
      <c r="C91" s="62"/>
    </row>
    <row r="92" spans="1:3">
      <c r="A92" s="79"/>
      <c r="B92" s="62"/>
      <c r="C92" s="62"/>
    </row>
    <row r="93" spans="1:3">
      <c r="A93" s="74"/>
      <c r="B93" s="62"/>
      <c r="C93" s="62"/>
    </row>
  </sheetData>
  <mergeCells count="4">
    <mergeCell ref="A89:C89"/>
    <mergeCell ref="A1:C1"/>
    <mergeCell ref="A3:C3"/>
    <mergeCell ref="A11:C11"/>
  </mergeCells>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A5B4-66BC-894F-BA37-5478E4E22A82}">
  <dimension ref="A1:I122"/>
  <sheetViews>
    <sheetView zoomScale="10" zoomScaleNormal="125" workbookViewId="0">
      <pane ySplit="11" topLeftCell="A49" activePane="bottomLeft" state="frozen"/>
      <selection pane="bottomLeft" activeCell="EQ95" sqref="EQ95"/>
    </sheetView>
  </sheetViews>
  <sheetFormatPr baseColWidth="10" defaultRowHeight="16"/>
  <cols>
    <col min="1" max="1" width="25" customWidth="1"/>
    <col min="2" max="2" width="17.5" customWidth="1"/>
    <col min="3" max="3" width="14.6640625" customWidth="1"/>
    <col min="4" max="5" width="7.6640625" customWidth="1"/>
    <col min="6" max="6" width="8.33203125" customWidth="1"/>
    <col min="7" max="7" width="55" customWidth="1"/>
    <col min="8" max="8" width="48.33203125" customWidth="1"/>
    <col min="9" max="9" width="55" customWidth="1"/>
  </cols>
  <sheetData>
    <row r="1" spans="1:9" ht="18">
      <c r="A1" s="188" t="s">
        <v>738</v>
      </c>
    </row>
    <row r="2" spans="1:9">
      <c r="A2" s="171"/>
    </row>
    <row r="3" spans="1:9">
      <c r="A3" s="171"/>
    </row>
    <row r="4" spans="1:9">
      <c r="A4" s="171"/>
    </row>
    <row r="6" spans="1:9">
      <c r="A6" s="220"/>
      <c r="B6" s="221"/>
      <c r="C6" s="221"/>
      <c r="D6" s="222"/>
      <c r="E6" s="221"/>
      <c r="F6" s="236"/>
      <c r="G6" s="221"/>
      <c r="H6" s="221"/>
      <c r="I6" s="221"/>
    </row>
    <row r="7" spans="1:9">
      <c r="A7" s="223"/>
      <c r="B7" s="220"/>
      <c r="C7" s="221"/>
      <c r="D7" s="225"/>
      <c r="E7" s="225"/>
      <c r="F7" s="225"/>
      <c r="G7" s="221"/>
      <c r="H7" s="221"/>
      <c r="I7" s="221"/>
    </row>
    <row r="8" spans="1:9">
      <c r="A8" s="223"/>
      <c r="B8" s="220"/>
      <c r="C8" s="221"/>
      <c r="D8" s="225"/>
      <c r="E8" s="225"/>
      <c r="F8" s="225"/>
      <c r="G8" s="221"/>
      <c r="H8" s="221"/>
      <c r="I8" s="221"/>
    </row>
    <row r="9" spans="1:9">
      <c r="A9" s="223"/>
      <c r="B9" s="220"/>
      <c r="C9" s="221"/>
      <c r="D9" s="224"/>
      <c r="E9" s="221"/>
      <c r="F9" s="221"/>
      <c r="G9" s="221"/>
      <c r="H9" s="221"/>
      <c r="I9" s="221"/>
    </row>
    <row r="10" spans="1:9">
      <c r="A10" s="223"/>
      <c r="B10" s="220"/>
      <c r="C10" s="221"/>
      <c r="D10" s="221"/>
      <c r="E10" s="221"/>
      <c r="F10" s="221"/>
      <c r="G10" s="221"/>
      <c r="H10" s="221"/>
      <c r="I10" s="221"/>
    </row>
    <row r="11" spans="1:9" ht="17">
      <c r="A11" s="172" t="s">
        <v>87</v>
      </c>
      <c r="B11" s="172" t="s">
        <v>726</v>
      </c>
      <c r="C11" s="172" t="s">
        <v>218</v>
      </c>
      <c r="D11" s="172" t="s">
        <v>734</v>
      </c>
      <c r="E11" s="172" t="s">
        <v>735</v>
      </c>
      <c r="F11" s="172" t="s">
        <v>736</v>
      </c>
      <c r="G11" s="172" t="s">
        <v>739</v>
      </c>
      <c r="H11" s="172" t="s">
        <v>737</v>
      </c>
      <c r="I11" s="172" t="s">
        <v>775</v>
      </c>
    </row>
    <row r="12" spans="1:9" ht="30">
      <c r="A12" s="189" t="str">
        <f>"RISCHIO "&amp;Tabella!A2&amp;" — "&amp;Tabella!B2</f>
        <v>RISCHIO 1 — DEV-CHANGE-INTEGRITY_ISO</v>
      </c>
      <c r="B12" s="190"/>
      <c r="C12" s="190"/>
      <c r="D12" s="191"/>
      <c r="E12" s="191"/>
      <c r="F12" s="216"/>
      <c r="G12" s="190"/>
      <c r="H12" s="190"/>
      <c r="I12" s="192"/>
    </row>
    <row r="13" spans="1:9" ht="60">
      <c r="A13" s="193" t="s">
        <v>92</v>
      </c>
      <c r="B13" s="194" t="s">
        <v>724</v>
      </c>
      <c r="C13" s="195" t="str">
        <f>Controlli!H2</f>
        <v>Primario</v>
      </c>
      <c r="D13" s="218">
        <f>Controlli!E2</f>
        <v>0.85</v>
      </c>
      <c r="E13" s="218">
        <f>Controlli!F2</f>
        <v>0.95</v>
      </c>
      <c r="F13" s="218">
        <f>Controlli!G2</f>
        <v>0.8075</v>
      </c>
      <c r="G13" s="196" t="str">
        <f>"Copre: Ogni modifica a codice, modelli, dataset e configurazioni passata dal repository.   Non copre: Le modifiche fatte a mano direttamente in esercizio.   →  copertura "&amp;TEXT(D13,"0%")</f>
        <v>Copre: Ogni modifica a codice, modelli, dataset e configurazioni passata dal repository.   Non copre: Le modifiche fatte a mano direttamente in esercizio.   →  copertura 85%</v>
      </c>
      <c r="H13" s="196" t="str">
        <f>"Su 10 casi in cui serve funziona ~"&amp;ROUND(E13*10,0)&amp;" volte su 10 ("&amp;TEXT(E13,"0%")&amp;").   "&amp;IF(E13&gt;=0.95,"Deterministico o proprietà dell'architettura: nei casi coperti funziona sempre",IF(E13&gt;=0.85,"Automatico, ma dipende da configurazione e soglie tarate correttamente",IF(E13&gt;=0.7,"Procedurale: funziona se la procedura è seguita, e lascia evidenza documentale",IF(E13&gt;=0.5,"Dipende dall'attenzione o dalla decisione di una persona nel momento dell'evento","Dipende dalla volontà di un terzo di segnalare o dichiarare"))))</f>
        <v>Su 10 casi in cui serve funziona ~10 volte su 10 (95%).   Deterministico o proprietà dell'architettura: nei casi coperti funziona sempre</v>
      </c>
      <c r="I13" s="197" t="str">
        <f>"Blocca, previene o mitiga direttamente il rischio nel flusso operativo?   →   "&amp;C13&amp;CHAR(10)&amp;"Se lo togliessi: Nessuna modifica sarebbe più reversibile: il rischio torna scoperto quasi come prima"</f>
        <v>Blocca, previene o mitiga direttamente il rischio nel flusso operativo?   →   Primario
Se lo togliessi: Nessuna modifica sarebbe più reversibile: il rischio torna scoperto quasi come prima</v>
      </c>
    </row>
    <row r="14" spans="1:9" ht="60">
      <c r="A14" s="193" t="s">
        <v>94</v>
      </c>
      <c r="B14" s="198" t="s">
        <v>716</v>
      </c>
      <c r="C14" s="195" t="str">
        <f>Controlli!H3</f>
        <v>Primario</v>
      </c>
      <c r="D14" s="218">
        <f>Controlli!E3</f>
        <v>0.85</v>
      </c>
      <c r="E14" s="218">
        <f>Controlli!F3</f>
        <v>0.7</v>
      </c>
      <c r="F14" s="218">
        <f>Controlli!G3</f>
        <v>0.59499999999999997</v>
      </c>
      <c r="G14" s="196" t="str">
        <f>"Copre: Tutti i rilasci pianificati, con test, backup e rollback.   Non copre: Gli interventi d'emergenza fuori processo.   →  copertura "&amp;TEXT(D14,"0%")</f>
        <v>Copre: Tutti i rilasci pianificati, con test, backup e rollback.   Non copre: Gli interventi d'emergenza fuori processo.   →  copertura 85%</v>
      </c>
      <c r="H14" s="196" t="str">
        <f>"Su 10 casi in cui serve funziona ~"&amp;ROUND(E14*10,0)&amp;" volte su 10 ("&amp;TEXT(E14,"0%")&amp;").   "&amp;IF(E14&gt;=0.95,"Deterministico o proprietà dell'architettura: nei casi coperti funziona sempre",IF(E14&gt;=0.85,"Automatico, ma dipende da configurazione e soglie tarate correttamente",IF(E14&gt;=0.7,"Procedurale: funziona se la procedura è seguita, e lascia evidenza documentale",IF(E14&gt;=0.5,"Dipende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14" s="197" t="str">
        <f>"Blocca, previene o mitiga direttamente il rischio nel flusso operativo?   →   "&amp;C14&amp;CHAR(10)&amp;"Se lo togliessi: Le modifiche entrerebbero in esercizio senza test, backup né rollback"</f>
        <v>Blocca, previene o mitiga direttamente il rischio nel flusso operativo?   →   Primario
Se lo togliessi: Le modifiche entrerebbero in esercizio senza test, backup né rollback</v>
      </c>
    </row>
    <row r="15" spans="1:9" ht="60">
      <c r="A15" s="193" t="s">
        <v>96</v>
      </c>
      <c r="B15" s="194" t="s">
        <v>724</v>
      </c>
      <c r="C15" s="199" t="str">
        <f>Controlli!H4</f>
        <v>Secondario</v>
      </c>
      <c r="D15" s="218">
        <f>Controlli!E4</f>
        <v>0.95</v>
      </c>
      <c r="E15" s="218">
        <f>Controlli!F4</f>
        <v>0.95</v>
      </c>
      <c r="F15" s="218">
        <f>Controlli!G4</f>
        <v>0.90249999999999997</v>
      </c>
      <c r="G15" s="196" t="str">
        <f>"Copre: Qualunque alterazione del modello rilasciato.   Non copre: Le modifiche autorizzate ma sbagliate.   →  copertura "&amp;TEXT(D15,"0%")</f>
        <v>Copre: Qualunque alterazione del modello rilasciato.   Non copre: Le modifiche autorizzate ma sbagliate.   →  copertura 95%</v>
      </c>
      <c r="H15" s="196" t="str">
        <f>"Su 10 casi in cui serve funziona ~"&amp;ROUND(E15*10,0)&amp;" volte su 10 ("&amp;TEXT(E15,"0%")&amp;").   "&amp;IF(E15&gt;=0.95,"Deterministico o proprietà dell'architettura: nei casi coperti funziona sempre",IF(E15&gt;=0.85,"Automatico, ma dipende da configurazione e soglie tarate correttamente",IF(E15&gt;=0.7,"Procedurale: funziona se la procedura è seguita, e lascia evidenza documentale",IF(E15&gt;=0.5,"Dipende dall'attenzione o dalla decisione di una persona nel momento dell'evento","Dipende dalla volontà di un terzo di segnalare o dichiarare"))))</f>
        <v>Su 10 casi in cui serve funziona ~10 volte su 10 (95%).   Deterministico o proprietà dell'architettura: nei casi coperti funziona sempre</v>
      </c>
      <c r="I15" s="197" t="str">
        <f>"Rileva i guasti, monitora l'efficacia dei primari, garantisce ripristino o correzione?   →   "&amp;C15&amp;CHAR(10)&amp;"Se lo togliessi: L'alterazione del modello resterebbe invisibile, ma il processo di rilascio regge"</f>
        <v>Rileva i guasti, monitora l'efficacia dei primari, garantisce ripristino o correzione?   →   Secondario
Se lo togliessi: L'alterazione del modello resterebbe invisibile, ma il processo di rilascio regge</v>
      </c>
    </row>
    <row r="16" spans="1:9" ht="45">
      <c r="A16" s="193" t="s">
        <v>98</v>
      </c>
      <c r="B16" s="198" t="s">
        <v>716</v>
      </c>
      <c r="C16" s="199" t="str">
        <f>Controlli!H5</f>
        <v>Secondario</v>
      </c>
      <c r="D16" s="218">
        <f>Controlli!E5</f>
        <v>0.7</v>
      </c>
      <c r="E16" s="218">
        <f>Controlli!F5</f>
        <v>0.7</v>
      </c>
      <c r="F16" s="218">
        <f>Controlli!G5</f>
        <v>0.48999999999999994</v>
      </c>
      <c r="G16" s="196" t="str">
        <f>"Copre: Gli errori che si riproducono in ambiente di test.   Non copre: Gli errori che emergono solo in condizioni reali.   →  copertura "&amp;TEXT(D16,"0%")</f>
        <v>Copre: Gli errori che si riproducono in ambiente di test.   Non copre: Gli errori che emergono solo in condizioni reali.   →  copertura 70%</v>
      </c>
      <c r="H16" s="196" t="str">
        <f>"Su 10 casi in cui serve funziona ~"&amp;ROUND(E16*10,0)&amp;" volte su 10 ("&amp;TEXT(E16,"0%")&amp;").   "&amp;IF(E16&gt;=0.95,"Deterministico o proprietà dell'architettura: nei casi coperti funziona sempre",IF(E16&gt;=0.85,"Automatico, ma dipende da configurazione e soglie tarate correttamente",IF(E16&gt;=0.7,"Procedurale: funziona se la procedura è seguita, e lascia evidenza documentale",IF(E16&gt;=0.5,"Dipende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16" s="197" t="str">
        <f>"Rileva i guasti, monitora l'efficacia dei primari, garantisce ripristino o correzione?   →   "&amp;C16&amp;CHAR(10)</f>
        <v xml:space="preserve">Rileva i guasti, monitora l'efficacia dei primari, garantisce ripristino o correzione?   →   Secondario
</v>
      </c>
    </row>
    <row r="17" spans="1:9" ht="30">
      <c r="A17" s="200" t="str">
        <f>"RISCHIO "&amp;Tabella!A3&amp;" — "&amp;Tabella!B3</f>
        <v>RISCHIO 2 — DEV-SCALABILITY-LATENCY</v>
      </c>
      <c r="B17" s="201"/>
      <c r="C17" s="201"/>
      <c r="D17" s="202"/>
      <c r="E17" s="202"/>
      <c r="F17" s="217"/>
      <c r="G17" s="201"/>
      <c r="H17" s="201"/>
      <c r="I17" s="203"/>
    </row>
    <row r="18" spans="1:9" ht="45">
      <c r="A18" s="193" t="s">
        <v>100</v>
      </c>
      <c r="B18" s="194" t="s">
        <v>724</v>
      </c>
      <c r="C18" s="195" t="str">
        <f>Controlli!H6</f>
        <v>Primario</v>
      </c>
      <c r="D18" s="218">
        <f>Controlli!E6</f>
        <v>0.85</v>
      </c>
      <c r="E18" s="218">
        <f>Controlli!F6</f>
        <v>0.95</v>
      </c>
      <c r="F18" s="218">
        <f>Controlli!G6</f>
        <v>0.8075</v>
      </c>
      <c r="G18" s="196" t="str">
        <f>"Copre: Latenza e consumo di banda, risolti dall'elaborazione locale.   Non copre: I limiti di capacità della componente Core.   →  copertura "&amp;TEXT(D18,"0%")</f>
        <v>Copre: Latenza e consumo di banda, risolti dall'elaborazione locale.   Non copre: I limiti di capacità della componente Core.   →  copertura 85%</v>
      </c>
      <c r="H18" s="196" t="str">
        <f>"Su 10 casi in cui serve funziona ~"&amp;ROUND(E18*10,0)&amp;" volte su 10 ("&amp;TEXT(E18,"0%")&amp;").   "&amp;IF(E18&gt;=0.95,"Deterministico o proprietà dell'architettura: nei casi coperti funziona sempre",IF(E18&gt;=0.85,"Automatico, ma dipende da configurazione e soglie tarate correttamente",IF(E18&gt;=0.7,"Procedurale: funziona se la procedura è seguita, e lascia evidenza documentale",IF(E18&gt;=0.5,"Dipende dall'attenzione o dalla decisione di una persona nel momento dell'evento","Dipende dalla volontà di un terzo di segnalare o dichiarare"))))</f>
        <v>Su 10 casi in cui serve funziona ~10 volte su 10 (95%).   Deterministico o proprietà dell'architettura: nei casi coperti funziona sempre</v>
      </c>
      <c r="I18" s="197" t="str">
        <f>"Blocca, previene o mitiga direttamente il rischio nel flusso operativo?   →   "&amp;C18&amp;CHAR(10)&amp;"Se lo togliessi: La latenza tornerebbe tutta a carico della rete: rischio scoperto"</f>
        <v>Blocca, previene o mitiga direttamente il rischio nel flusso operativo?   →   Primario
Se lo togliessi: La latenza tornerebbe tutta a carico della rete: rischio scoperto</v>
      </c>
    </row>
    <row r="19" spans="1:9" ht="60">
      <c r="A19" s="193" t="s">
        <v>102</v>
      </c>
      <c r="B19" s="194" t="s">
        <v>724</v>
      </c>
      <c r="C19" s="199" t="str">
        <f>Controlli!H7</f>
        <v>Secondario</v>
      </c>
      <c r="D19" s="218">
        <f>Controlli!E7</f>
        <v>0.7</v>
      </c>
      <c r="E19" s="218">
        <f>Controlli!F7</f>
        <v>0.85</v>
      </c>
      <c r="F19" s="218">
        <f>Controlli!G7</f>
        <v>0.59499999999999997</v>
      </c>
      <c r="G19" s="196" t="str">
        <f>"Copre: I degradi misurabili di prestazioni e latenza.   Non copre: Il degrado che non supera le soglie impostate.   →  copertura "&amp;TEXT(D19,"0%")</f>
        <v>Copre: I degradi misurabili di prestazioni e latenza.   Non copre: Il degrado che non supera le soglie impostate.   →  copertura 70%</v>
      </c>
      <c r="H19" s="196" t="str">
        <f>"Su 10 casi in cui serve funziona ~"&amp;ROUND(E19*10,0)&amp;" volte su 10 ("&amp;TEXT(E19,"0%")&amp;").   "&amp;IF(E19&gt;=0.95,"Deterministico o proprietà dell'architettura: nei casi coperti funziona sempre",IF(E19&gt;=0.85,"Automatico, ma dipende da configurazione e soglie tarate correttamente",IF(E19&gt;=0.7,"Procedurale: funziona se la procedura è seguita, e lascia evidenza documentale",IF(E19&gt;=0.5,"Dipende dall'attenzione o dalla decisione di una persona nel momento dell'evento","Dipende dalla volontà di un terzo di segnalare o dichiarare"))))</f>
        <v>Su 10 casi in cui serve funziona ~9 volte su 10 (85%).   Automatico, ma dipende da configurazione e soglie tarate correttamente</v>
      </c>
      <c r="I19" s="197" t="str">
        <f>"Rileva i guasti, monitora l'efficacia dei primari, garantisce ripristino o correzione?   →   "&amp;C19&amp;CHAR(10)&amp;"Se lo togliessi: Il degrado non verrebbe rilevato, ma l'architettura continua a contenerlo"</f>
        <v>Rileva i guasti, monitora l'efficacia dei primari, garantisce ripristino o correzione?   →   Secondario
Se lo togliessi: Il degrado non verrebbe rilevato, ma l'architettura continua a contenerlo</v>
      </c>
    </row>
    <row r="20" spans="1:9" ht="30">
      <c r="A20" s="200" t="str">
        <f>"RISCHIO "&amp;Tabella!A4&amp;" — "&amp;Tabella!B4</f>
        <v>RISCHIO 3 — DATA-DATASET-POISONING</v>
      </c>
      <c r="B20" s="201"/>
      <c r="C20" s="201"/>
      <c r="D20" s="202"/>
      <c r="E20" s="202"/>
      <c r="F20" s="217"/>
      <c r="G20" s="201"/>
      <c r="H20" s="201"/>
      <c r="I20" s="203"/>
    </row>
    <row r="21" spans="1:9" ht="60">
      <c r="A21" s="193" t="s">
        <v>104</v>
      </c>
      <c r="B21" s="198" t="s">
        <v>716</v>
      </c>
      <c r="C21" s="195" t="str">
        <f>Controlli!H8</f>
        <v>Primario</v>
      </c>
      <c r="D21" s="218">
        <f>Controlli!E8</f>
        <v>0.85</v>
      </c>
      <c r="E21" s="218">
        <f>Controlli!F8</f>
        <v>0.7</v>
      </c>
      <c r="F21" s="218">
        <f>Controlli!G8</f>
        <v>0.59499999999999997</v>
      </c>
      <c r="G21" s="196" t="str">
        <f>"Copre: Ogni aggiornamento del modello, che richiede autorizzazione.   Non copre: La contaminazione del dataset prima del gate.   →  copertura "&amp;TEXT(D21,"0%")</f>
        <v>Copre: Ogni aggiornamento del modello, che richiede autorizzazione.   Non copre: La contaminazione del dataset prima del gate.   →  copertura 85%</v>
      </c>
      <c r="H21" s="196" t="str">
        <f>"Su 10 casi in cui serve funziona ~"&amp;ROUND(E21*10,0)&amp;" volte su 10 ("&amp;TEXT(E21,"0%")&amp;").   "&amp;IF(E21&gt;=0.95,"Deterministico o proprietà dell'architettura: nei casi coperti funziona sempre",IF(E21&gt;=0.85,"Automatico, ma dipende da configurazione e soglie tarate correttamente",IF(E21&gt;=0.7,"Procedurale: funziona se la procedura è seguita, e lascia evidenza documentale",IF(E21&gt;=0.5,"Dipende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21" s="197" t="str">
        <f>"Blocca, previene o mitiga direttamente il rischio nel flusso operativo?   →   "&amp;C21&amp;CHAR(10)&amp;"Se lo togliessi: Dati avvelenati entrerebbero nel modello senza autorizzazione: rischio scoperto"</f>
        <v>Blocca, previene o mitiga direttamente il rischio nel flusso operativo?   →   Primario
Se lo togliessi: Dati avvelenati entrerebbero nel modello senza autorizzazione: rischio scoperto</v>
      </c>
    </row>
    <row r="22" spans="1:9" ht="60">
      <c r="A22" s="193" t="s">
        <v>106</v>
      </c>
      <c r="B22" s="204" t="s">
        <v>717</v>
      </c>
      <c r="C22" s="205" t="str">
        <f>Controlli!H9</f>
        <v>Supporto</v>
      </c>
      <c r="D22" s="218">
        <f>Controlli!E9</f>
        <v>0.7</v>
      </c>
      <c r="E22" s="218">
        <f>Controlli!F9</f>
        <v>0.7</v>
      </c>
      <c r="F22" s="218">
        <f>Controlli!G9</f>
        <v>0.48999999999999994</v>
      </c>
      <c r="G22" s="196" t="str">
        <f>_xlfn._LONGTEXT("Copre: la ricostruzione a posteriori di origine, versione e utilizzo dei dati di addestramento, per individuare quando la contaminazione è entrata e a quale baseline tornare.   Non copre: l'ingresso del dato contaminato, che avviene a monte e indipendente","mente dalla registrazione.   →  copertura ")&amp;TEXT(D22,"0%")</f>
        <v>Copre: la ricostruzione a posteriori di origine, versione e utilizzo dei dati di addestramento, per individuare quando la contaminazione è entrata e a quale baseline tornare.   Non copre: l'ingresso del dato contaminato, che avviene a monte e indipendentemente dalla registrazione.   →  copertura 70%</v>
      </c>
      <c r="H22" s="196" t="s">
        <v>752</v>
      </c>
      <c r="I22" s="197" t="str">
        <f>"Norma, processo amministrativo, governance o cultura che sostiene l'infrastruttura di controllo?   →   "&amp;C22&amp;CHAR(10)&amp;"Se lo togliessi: Resta il gate umano; si perde solo la ricostruzione a posteriori"</f>
        <v>Norma, processo amministrativo, governance o cultura che sostiene l'infrastruttura di controllo?   →   Supporto
Se lo togliessi: Resta il gate umano; si perde solo la ricostruzione a posteriori</v>
      </c>
    </row>
    <row r="23" spans="1:9" ht="30">
      <c r="A23" s="200" t="str">
        <f>"RISCHIO "&amp;Tabella!A5&amp;" — "&amp;Tabella!B5</f>
        <v>RISCHIO 4 — DATA-QUALITY-VALIDATION</v>
      </c>
      <c r="B23" s="201"/>
      <c r="C23" s="201"/>
      <c r="D23" s="202"/>
      <c r="E23" s="202"/>
      <c r="F23" s="217"/>
      <c r="G23" s="201"/>
      <c r="H23" s="201"/>
      <c r="I23" s="203"/>
    </row>
    <row r="24" spans="1:9" ht="60">
      <c r="A24" s="193" t="s">
        <v>108</v>
      </c>
      <c r="B24" s="194" t="s">
        <v>724</v>
      </c>
      <c r="C24" s="195" t="str">
        <f>Controlli!H10</f>
        <v>Primario</v>
      </c>
      <c r="D24" s="218">
        <f>Controlli!E10</f>
        <v>0.7</v>
      </c>
      <c r="E24" s="218">
        <f>Controlli!F10</f>
        <v>0.95</v>
      </c>
      <c r="F24" s="218">
        <f>Controlli!G10</f>
        <v>0.66499999999999992</v>
      </c>
      <c r="G24" s="196" t="str">
        <f>"Copre: La variabilità coperta da fonti e contesti diversi.   Non copre: Le condizioni operative mai osservate.   →  copertura "&amp;TEXT(D24,"0%")</f>
        <v>Copre: La variabilità coperta da fonti e contesti diversi.   Non copre: Le condizioni operative mai osservate.   →  copertura 70%</v>
      </c>
      <c r="H24" s="196" t="str">
        <f>"Su 10 casi in cui serve funziona ~"&amp;ROUND(E24*10,0)&amp;" volte su 10 ("&amp;TEXT(E24,"0%")&amp;").   "&amp;IF(E24&gt;=0.95,"Deterministico o proprietà dell'architettura: nei casi coperti funziona sempre",IF(E24&gt;=0.85,"Automatico, ma dipende da configurazione e soglie tarate correttamente",IF(E24&gt;=0.7,"Procedurale: funziona se la procedura è seguita, e lascia evidenza documentale",IF(E24&gt;=0.5,"Dipende dall'attenzione o dalla decisione di una persona nel momento dell'evento","Dipende dalla volontà di un terzo di segnalare o dichiarare"))))</f>
        <v>Su 10 casi in cui serve funziona ~10 volte su 10 (95%).   Deterministico o proprietà dell'architettura: nei casi coperti funziona sempre</v>
      </c>
      <c r="I24" s="197" t="str">
        <f>"Blocca, previene o mitiga direttamente il rischio nel flusso operativo?   →   "&amp;C24&amp;CHAR(10)&amp;"Se lo togliessi: Il dataset tornerebbe monofonte: rischio scoperto quasi come prima"</f>
        <v>Blocca, previene o mitiga direttamente il rischio nel flusso operativo?   →   Primario
Se lo togliessi: Il dataset tornerebbe monofonte: rischio scoperto quasi come prima</v>
      </c>
    </row>
    <row r="25" spans="1:9" ht="45">
      <c r="A25" s="193" t="s">
        <v>110</v>
      </c>
      <c r="B25" s="198" t="s">
        <v>716</v>
      </c>
      <c r="C25" s="199" t="str">
        <f>Controlli!H11</f>
        <v>Secondario</v>
      </c>
      <c r="D25" s="218">
        <f>Controlli!E11</f>
        <v>0.85</v>
      </c>
      <c r="E25" s="218">
        <f>Controlli!F11</f>
        <v>0.7</v>
      </c>
      <c r="F25" s="218">
        <f>Controlli!G11</f>
        <v>0.59499999999999997</v>
      </c>
      <c r="G25" s="196" t="str">
        <f>"Copre: Tutti i modelli candidati, misurati sul dataset di test.   Non copre: I difetti che il dataset di test non contiene.   →  copertura "&amp;TEXT(D25,"0%")</f>
        <v>Copre: Tutti i modelli candidati, misurati sul dataset di test.   Non copre: I difetti che il dataset di test non contiene.   →  copertura 85%</v>
      </c>
      <c r="H25" s="196" t="s">
        <v>749</v>
      </c>
      <c r="I25" s="197" t="str">
        <f>"Rileva i guasti, monitora l'efficacia dei primari, garantisce ripristino o correzione?   →   "&amp;C25&amp;CHAR(10)&amp;"Se lo togliessi: I difetti non verrebbero misurati, ma il gate sulle soglie resta"</f>
        <v>Rileva i guasti, monitora l'efficacia dei primari, garantisce ripristino o correzione?   →   Secondario
Se lo togliessi: I difetti non verrebbero misurati, ma il gate sulle soglie resta</v>
      </c>
    </row>
    <row r="26" spans="1:9" ht="60">
      <c r="A26" s="193" t="s">
        <v>112</v>
      </c>
      <c r="B26" s="198" t="s">
        <v>716</v>
      </c>
      <c r="C26" s="195" t="str">
        <f>Controlli!H12</f>
        <v>Primario</v>
      </c>
      <c r="D26" s="218">
        <f>Controlli!E12</f>
        <v>0.85</v>
      </c>
      <c r="E26" s="218">
        <f>Controlli!F12</f>
        <v>0.7</v>
      </c>
      <c r="F26" s="218">
        <f>Controlli!G12</f>
        <v>0.59499999999999997</v>
      </c>
      <c r="G26" s="196" t="str">
        <f>"Copre: Tutti i rilasci: blocca quelli sotto soglia.   Non copre: Il degrado che si manifesta dopo il rilascio.   →  copertura "&amp;TEXT(D26,"0%")</f>
        <v>Copre: Tutti i rilasci: blocca quelli sotto soglia.   Non copre: Il degrado che si manifesta dopo il rilascio.   →  copertura 85%</v>
      </c>
      <c r="H26" s="196" t="s">
        <v>750</v>
      </c>
      <c r="I26" s="197" t="str">
        <f>"Blocca, previene o mitiga direttamente il rischio nel flusso operativo?   →   "&amp;C26&amp;CHAR(10)&amp;"Se lo togliessi: Diventerebbero possibili rilasci sotto le soglie minime: rischio scoperto"</f>
        <v>Blocca, previene o mitiga direttamente il rischio nel flusso operativo?   →   Primario
Se lo togliessi: Diventerebbero possibili rilasci sotto le soglie minime: rischio scoperto</v>
      </c>
    </row>
    <row r="27" spans="1:9" ht="30">
      <c r="A27" s="200" t="str">
        <f>"RISCHIO "&amp;Tabella!A6&amp;" — "&amp;Tabella!B6</f>
        <v>RISCHIO 5 — IMP-SYSTEM-INTEGRATION-CONFIGURATION</v>
      </c>
      <c r="B27" s="201"/>
      <c r="C27" s="201"/>
      <c r="D27" s="202"/>
      <c r="E27" s="202"/>
      <c r="F27" s="217"/>
      <c r="G27" s="201"/>
      <c r="H27" s="201"/>
      <c r="I27" s="203"/>
    </row>
    <row r="28" spans="1:9" ht="45">
      <c r="A28" s="193" t="s">
        <v>114</v>
      </c>
      <c r="B28" s="198" t="s">
        <v>716</v>
      </c>
      <c r="C28" s="195" t="str">
        <f>Controlli!H13</f>
        <v>Primario</v>
      </c>
      <c r="D28" s="218">
        <f>Controlli!E13</f>
        <v>0.7</v>
      </c>
      <c r="E28" s="218">
        <f>Controlli!F13</f>
        <v>0.7</v>
      </c>
      <c r="F28" s="218">
        <f>Controlli!G13</f>
        <v>0.48999999999999994</v>
      </c>
      <c r="G28" s="196" t="str">
        <f>"Copre: Configurazione iniziale e modifiche pianificate.   Non copre: Gli interventi successivi non presidiati.   →  copertura "&amp;TEXT(D28,"0%")</f>
        <v>Copre: Configurazione iniziale e modifiche pianificate.   Non copre: Gli interventi successivi non presidiati.   →  copertura 70%</v>
      </c>
      <c r="H28" s="196" t="str">
        <f>"Su 10 casi in cui serve funziona ~"&amp;ROUND(E28*10,0)&amp;" volte su 10 ("&amp;TEXT(E28,"0%")&amp;").   "&amp;IF(E28&gt;=0.95,"Deterministico o proprietà dell'architettura: nei casi coperti funziona sempre",IF(E28&gt;=0.85,"Automatico, ma dipende da configurazione e soglie tarate correttamente",IF(E28&gt;=0.7,"Procedurale: funziona se la procedura è seguita, e lascia evidenza documentale",IF(E28&gt;=0.5,"Dipende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28" s="197" t="str">
        <f>"Blocca, previene o mitiga direttamente il rischio nel flusso operativo?   →   "&amp;C28&amp;CHAR(10)&amp;"Se lo togliessi: L'integrazione non sarebbe più governata: rischio scoperto"</f>
        <v>Blocca, previene o mitiga direttamente il rischio nel flusso operativo?   →   Primario
Se lo togliessi: L'integrazione non sarebbe più governata: rischio scoperto</v>
      </c>
    </row>
    <row r="29" spans="1:9" ht="45">
      <c r="A29" s="193" t="s">
        <v>98</v>
      </c>
      <c r="B29" s="198" t="s">
        <v>716</v>
      </c>
      <c r="C29" s="199" t="str">
        <f>Controlli!H14</f>
        <v>Secondario</v>
      </c>
      <c r="D29" s="218">
        <f>Controlli!E14</f>
        <v>0.7</v>
      </c>
      <c r="E29" s="218">
        <f>Controlli!F14</f>
        <v>0.7</v>
      </c>
      <c r="F29" s="218">
        <f>Controlli!G14</f>
        <v>0.48999999999999994</v>
      </c>
      <c r="G29" s="196" t="str">
        <f>"Copre: Gli errori che si riproducono in ambiente di test.   Non copre: Gli errori che emergono solo in condizioni reali.   →  copertura "&amp;TEXT(D29,"0%")</f>
        <v>Copre: Gli errori che si riproducono in ambiente di test.   Non copre: Gli errori che emergono solo in condizioni reali.   →  copertura 70%</v>
      </c>
      <c r="H29" s="196" t="str">
        <f>"Su 10 casi in cui serve funziona ~"&amp;ROUND(E29*10,0)&amp;" volte su 10 ("&amp;TEXT(E29,"0%")&amp;").   "&amp;IF(E29&gt;=0.95,"Deterministico o proprietà dell'architettura: nei casi coperti funziona sempre",IF(E29&gt;=0.85,"Automatico, ma dipende da configurazione e soglie tarate correttamente",IF(E29&gt;=0.7,"Procedurale: funziona se la procedura è seguita, e lascia evidenza documentale",IF(E29&gt;=0.5,"Dipende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29" s="197" t="str">
        <f>"Rileva i guasti, monitora l'efficacia dei primari, garantisce ripristino o correzione?   →   "&amp;C29&amp;CHAR(10)&amp;"Se lo togliessi: Nessuna verifica dell'esito, ma l'installazione resta controllata"</f>
        <v>Rileva i guasti, monitora l'efficacia dei primari, garantisce ripristino o correzione?   →   Secondario
Se lo togliessi: Nessuna verifica dell'esito, ma l'installazione resta controllata</v>
      </c>
    </row>
    <row r="30" spans="1:9" ht="45">
      <c r="A30" s="193" t="s">
        <v>117</v>
      </c>
      <c r="B30" s="194" t="s">
        <v>724</v>
      </c>
      <c r="C30" s="199" t="str">
        <f>Controlli!H15</f>
        <v>Secondario</v>
      </c>
      <c r="D30" s="218">
        <f>Controlli!E15</f>
        <v>0.7</v>
      </c>
      <c r="E30" s="218">
        <f>Controlli!F15</f>
        <v>0.85</v>
      </c>
      <c r="F30" s="218">
        <f>Controlli!G15</f>
        <v>0.59499999999999997</v>
      </c>
      <c r="G30" s="196" t="str">
        <f>"Copre: La registrazione degli eventi rilevanti.   Non copre: L'evento in sé: rileva, non previene.   →  copertura "&amp;TEXT(D30,"0%")</f>
        <v>Copre: La registrazione degli eventi rilevanti.   Non copre: L'evento in sé: rileva, non previene.   →  copertura 70%</v>
      </c>
      <c r="H30" s="196" t="str">
        <f>"Su 10 casi in cui serve funziona ~"&amp;ROUND(E30*10,0)&amp;" volte su 10 ("&amp;TEXT(E30,"0%")&amp;").   "&amp;IF(E30&gt;=0.95,"Deterministico o proprietà dell'architettura: nei casi coperti funziona sempre",IF(E30&gt;=0.85,"Automatico, ma dipende da configurazione e soglie tarate correttamente",IF(E30&gt;=0.7,"Procedurale: funziona se la procedura è seguita, e lascia evidenza documentale",IF(E30&gt;=0.5,"Dipende dall'attenzione o dalla decisione di una persona nel momento dell'evento","Dipende dalla volontà di un terzo di segnalare o dichiarare"))))</f>
        <v>Su 10 casi in cui serve funziona ~9 volte su 10 (85%).   Automatico, ma dipende da configurazione e soglie tarate correttamente</v>
      </c>
      <c r="I30" s="197" t="str">
        <f>"Rileva i guasti, monitora l'efficacia dei primari, garantisce ripristino o correzione?   →   "&amp;C30&amp;CHAR(10)&amp;"Se lo togliessi: Nessuna traccia dell'anomalia, ma i presidi operativi restano"</f>
        <v>Rileva i guasti, monitora l'efficacia dei primari, garantisce ripristino o correzione?   →   Secondario
Se lo togliessi: Nessuna traccia dell'anomalia, ma i presidi operativi restano</v>
      </c>
    </row>
    <row r="31" spans="1:9">
      <c r="A31" s="200" t="str">
        <f>"RISCHIO "&amp;Tabella!A7&amp;" — "&amp;Tabella!B7</f>
        <v>RISCHIO 6 — DATA-LOSS</v>
      </c>
      <c r="B31" s="201"/>
      <c r="C31" s="201"/>
      <c r="D31" s="202"/>
      <c r="E31" s="202"/>
      <c r="F31" s="217"/>
      <c r="G31" s="201"/>
      <c r="H31" s="201"/>
      <c r="I31" s="203"/>
    </row>
    <row r="32" spans="1:9" ht="45">
      <c r="A32" s="193" t="s">
        <v>119</v>
      </c>
      <c r="B32" s="194" t="s">
        <v>724</v>
      </c>
      <c r="C32" s="199" t="str">
        <f>Controlli!H16</f>
        <v>Secondario</v>
      </c>
      <c r="D32" s="218">
        <f>Controlli!E16</f>
        <v>0.85</v>
      </c>
      <c r="E32" s="218">
        <f>Controlli!F16</f>
        <v>0.85</v>
      </c>
      <c r="F32" s="218">
        <f>Controlli!G16</f>
        <v>0.72249999999999992</v>
      </c>
      <c r="G32" s="196" t="str">
        <f>"Copre: Il recupero dei dati fino all'ultimo backup.   Non copre: I dati prodotti dopo l'ultimo backup.   →  copertura "&amp;TEXT(D32,"0%")</f>
        <v>Copre: Il recupero dei dati fino all'ultimo backup.   Non copre: I dati prodotti dopo l'ultimo backup.   →  copertura 85%</v>
      </c>
      <c r="H32" s="196" t="str">
        <f>"Su 10 casi in cui serve funziona ~"&amp;ROUND(E32*10,0)&amp;" volte su 10 ("&amp;TEXT(E32,"0%")&amp;").   "&amp;IF(E32&gt;=0.95,"Deterministico o proprietà dell'architettura: nei casi coperti funziona sempre",IF(E32&gt;=0.85,"Automatico, ma dipende da configurazione e soglie tarate correttamente",IF(E32&gt;=0.7,"Procedurale: funziona se la procedura è seguita, e lascia evidenza documentale",IF(E32&gt;=0.5,"Dipende dall'attenzione o dalla decisione di una persona nel momento dell'evento","Dipende dalla volontà di un terzo di segnalare o dichiarare"))))</f>
        <v>Su 10 casi in cui serve funziona ~9 volte su 10 (85%).   Automatico, ma dipende da configurazione e soglie tarate correttamente</v>
      </c>
      <c r="I32" s="197" t="str">
        <f>"Rileva i guasti, monitora l'efficacia dei primari, garantisce ripristino o correzione?   →   "&amp;C32&amp;CHAR(10)&amp;"Se lo togliessi: Nessun recupero dopo la perdita, pur restando la cifratura"</f>
        <v>Rileva i guasti, monitora l'efficacia dei primari, garantisce ripristino o correzione?   →   Secondario
Se lo togliessi: Nessun recupero dopo la perdita, pur restando la cifratura</v>
      </c>
    </row>
    <row r="33" spans="1:9" ht="45">
      <c r="A33" s="193" t="s">
        <v>121</v>
      </c>
      <c r="B33" s="194" t="s">
        <v>724</v>
      </c>
      <c r="C33" s="195" t="str">
        <f>Controlli!H17</f>
        <v>Primario</v>
      </c>
      <c r="D33" s="218">
        <f>Controlli!E17</f>
        <v>0.95</v>
      </c>
      <c r="E33" s="218">
        <f>Controlli!F17</f>
        <v>0.95</v>
      </c>
      <c r="F33" s="218">
        <f>Controlli!G17</f>
        <v>0.90249999999999997</v>
      </c>
      <c r="G33" s="196" t="str">
        <f>"Copre: Tutti i dati e i log archiviati.   Non copre: Il dato in chiaro durante l'elaborazione.   →  copertura "&amp;TEXT(D33,"0%")</f>
        <v>Copre: Tutti i dati e i log archiviati.   Non copre: Il dato in chiaro durante l'elaborazione.   →  copertura 95%</v>
      </c>
      <c r="H33" s="196" t="str">
        <f>"Su 10 casi in cui serve funziona ~"&amp;ROUND(E33*10,0)&amp;" volte su 10 ("&amp;TEXT(E33,"0%")&amp;").   "&amp;IF(E33&gt;=0.95,"Deterministico o proprietà dell'architettura: nei casi coperti funziona sempre",IF(E33&gt;=0.85,"Automatico, ma dipende da configurazione e soglie tarate correttamente",IF(E33&gt;=0.7,"Procedurale: funziona se la procedura è seguita, e lascia evidenza documentale",IF(E33&gt;=0.5,"Dipende dall'attenzione o dalla decisione di una persona nel momento dell'evento","Dipende dalla volontà di un terzo di segnalare o dichiarare"))))</f>
        <v>Su 10 casi in cui serve funziona ~10 volte su 10 (95%).   Deterministico o proprietà dell'architettura: nei casi coperti funziona sempre</v>
      </c>
      <c r="I33" s="197" t="str">
        <f>"Blocca, previene o mitiga direttamente il rischio nel flusso operativo?   →   "&amp;C33&amp;CHAR(10)&amp;"Se lo togliessi: Dati e log resterebbero leggibili da chiunque: rischio scoperto"</f>
        <v>Blocca, previene o mitiga direttamente il rischio nel flusso operativo?   →   Primario
Se lo togliessi: Dati e log resterebbero leggibili da chiunque: rischio scoperto</v>
      </c>
    </row>
    <row r="34" spans="1:9" ht="60">
      <c r="A34" s="193" t="s">
        <v>123</v>
      </c>
      <c r="B34" s="198" t="s">
        <v>716</v>
      </c>
      <c r="C34" s="199" t="str">
        <f>Controlli!H18</f>
        <v>Secondario</v>
      </c>
      <c r="D34" s="218">
        <f>Controlli!E18</f>
        <v>0.7</v>
      </c>
      <c r="E34" s="218">
        <f>Controlli!F18</f>
        <v>0.7</v>
      </c>
      <c r="F34" s="218">
        <f>Controlli!G18</f>
        <v>0.48999999999999994</v>
      </c>
      <c r="G34" s="196" t="str">
        <f>"Copre: La durata del fermo dopo l'evento.   Non copre: La probabilità che l'evento accada.   →  copertura "&amp;TEXT(D34,"0%")</f>
        <v>Copre: La durata del fermo dopo l'evento.   Non copre: La probabilità che l'evento accada.   →  copertura 70%</v>
      </c>
      <c r="H34" s="196" t="str">
        <f>"Su 10 casi in cui serve funziona ~"&amp;ROUND(E34*10,0)&amp;" volte su 10 ("&amp;TEXT(E34,"0%")&amp;").   "&amp;IF(E34&gt;=0.95,"Deterministico o proprietà dell'architettura: nei casi coperti funziona sempre",IF(E34&gt;=0.85,"Automatico, ma dipende da configurazione e soglie tarate correttamente",IF(E34&gt;=0.7,"Procedurale: funziona se la procedura è seguita, e lascia evidenza documentale",IF(E34&gt;=0.5,"Dipende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34" s="197" t="str">
        <f>"Rileva i guasti, monitora l'efficacia dei primari, garantisce ripristino o correzione?   →   "&amp;C34&amp;CHAR(10)&amp;"Se lo togliessi: Il fermo si allungherebbe, ma il dato resta recuperabile dai backup"</f>
        <v>Rileva i guasti, monitora l'efficacia dei primari, garantisce ripristino o correzione?   →   Secondario
Se lo togliessi: Il fermo si allungherebbe, ma il dato resta recuperabile dai backup</v>
      </c>
    </row>
    <row r="35" spans="1:9" ht="30">
      <c r="A35" s="200" t="str">
        <f>"RISCHIO "&amp;Tabella!A8&amp;" — "&amp;Tabella!B8</f>
        <v>RISCHIO 7 — OPS-PIPELINE-CAPACITY-FAILURE</v>
      </c>
      <c r="B35" s="201"/>
      <c r="C35" s="201"/>
      <c r="D35" s="202"/>
      <c r="E35" s="202"/>
      <c r="F35" s="217"/>
      <c r="G35" s="201"/>
      <c r="H35" s="201"/>
      <c r="I35" s="203"/>
    </row>
    <row r="36" spans="1:9" ht="60">
      <c r="A36" s="193" t="s">
        <v>117</v>
      </c>
      <c r="B36" s="194" t="s">
        <v>724</v>
      </c>
      <c r="C36" s="199" t="str">
        <f>Controlli!H19</f>
        <v>Secondario</v>
      </c>
      <c r="D36" s="218">
        <f>Controlli!E19</f>
        <v>0.7</v>
      </c>
      <c r="E36" s="218">
        <f>Controlli!F19</f>
        <v>0.85</v>
      </c>
      <c r="F36" s="218">
        <f>Controlli!G19</f>
        <v>0.59499999999999997</v>
      </c>
      <c r="G36" s="196" t="str">
        <f>"Copre: La registrazione degli eventi rilevanti.   Non copre: L'evento in sé: rileva, non previene.   →  copertura "&amp;TEXT(D36,"0%")</f>
        <v>Copre: La registrazione degli eventi rilevanti.   Non copre: L'evento in sé: rileva, non previene.   →  copertura 70%</v>
      </c>
      <c r="H36" s="196" t="str">
        <f>"Su 10 casi in cui serve funziona ~"&amp;ROUND(E36*10,0)&amp;" volte su 10 ("&amp;TEXT(E36,"0%")&amp;").   "&amp;IF(E36&gt;=0.95,"Deterministico o proprietà dell'architettura: nei casi coperti funziona sempre",IF(E36&gt;=0.85,"Automatico, ma dipende da configurazione e soglie tarate correttamente",IF(E36&gt;=0.7,"Procedurale: funziona se la procedura è seguita, e lascia evidenza documentale",IF(E36&gt;=0.5,"Dipende dall'attenzione o dalla decisione di una persona nel momento dell'evento","Dipende dalla volontà di un terzo di segnalare o dichiarare"))))</f>
        <v>Su 10 casi in cui serve funziona ~9 volte su 10 (85%).   Automatico, ma dipende da configurazione e soglie tarate correttamente</v>
      </c>
      <c r="I36" s="197" t="str">
        <f>"Rileva i guasti, monitora l'efficacia dei primari, garantisce ripristino o correzione?   →   "&amp;C36&amp;CHAR(10)&amp;"Se lo togliessi: L'errore applicativo resterebbe invisibile, ma monitoraggio e scalabilità restano"</f>
        <v>Rileva i guasti, monitora l'efficacia dei primari, garantisce ripristino o correzione?   →   Secondario
Se lo togliessi: L'errore applicativo resterebbe invisibile, ma monitoraggio e scalabilità restano</v>
      </c>
    </row>
    <row r="37" spans="1:9" ht="45">
      <c r="A37" s="193" t="s">
        <v>126</v>
      </c>
      <c r="B37" s="198" t="s">
        <v>716</v>
      </c>
      <c r="C37" s="199" t="str">
        <f>Controlli!H20</f>
        <v>Secondario</v>
      </c>
      <c r="D37" s="218">
        <f>Controlli!E20</f>
        <v>0.5</v>
      </c>
      <c r="E37" s="218">
        <f>Controlli!F20</f>
        <v>0.7</v>
      </c>
      <c r="F37" s="218">
        <f>Controlli!G20</f>
        <v>0.35</v>
      </c>
      <c r="G37" s="196" t="str">
        <f>"Copre: La finestra immediatamente successiva agli aggiornamenti.   Non copre: Il funzionamento nel resto del tempo.   →  copertura "&amp;TEXT(D37,"0%")</f>
        <v>Copre: La finestra immediatamente successiva agli aggiornamenti.   Non copre: Il funzionamento nel resto del tempo.   →  copertura 50%</v>
      </c>
      <c r="H37" s="196" t="str">
        <f>"Su 10 casi in cui serve funziona ~"&amp;ROUND(E37*10,0)&amp;" volte su 10 ("&amp;TEXT(E37,"0%")&amp;").   "&amp;IF(E37&gt;=0.95,"Deterministico o proprietà dell'architettura: nei casi coperti funziona sempre",IF(E37&gt;=0.85,"Automatico, ma dipende da configurazione e soglie tarate correttamente",IF(E37&gt;=0.7,"Procedurale: funziona se la procedura è seguita, e lascia evidenza documentale",IF(E37&gt;=0.5,"Dipende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37" s="197" t="str">
        <f>"Rileva i guasti, monitora l'efficacia dei primari, garantisce ripristino o correzione?   →   "&amp;C37&amp;CHAR(10)&amp;"Se lo togliessi: Nessun controllo dopo gli aggiornamenti; gli altri presidi restano"</f>
        <v>Rileva i guasti, monitora l'efficacia dei primari, garantisce ripristino o correzione?   →   Secondario
Se lo togliessi: Nessun controllo dopo gli aggiornamenti; gli altri presidi restano</v>
      </c>
    </row>
    <row r="38" spans="1:9" ht="60">
      <c r="A38" s="193" t="s">
        <v>102</v>
      </c>
      <c r="B38" s="194" t="s">
        <v>724</v>
      </c>
      <c r="C38" s="199" t="str">
        <f>Controlli!H21</f>
        <v>Secondario</v>
      </c>
      <c r="D38" s="218">
        <f>Controlli!E21</f>
        <v>0.7</v>
      </c>
      <c r="E38" s="218">
        <f>Controlli!F21</f>
        <v>0.85</v>
      </c>
      <c r="F38" s="218">
        <f>Controlli!G21</f>
        <v>0.59499999999999997</v>
      </c>
      <c r="G38" s="196" t="str">
        <f>"Copre: I degradi misurabili di prestazioni e latenza.   Non copre: Il degrado che non supera le soglie impostate.   →  copertura "&amp;TEXT(D38,"0%")</f>
        <v>Copre: I degradi misurabili di prestazioni e latenza.   Non copre: Il degrado che non supera le soglie impostate.   →  copertura 70%</v>
      </c>
      <c r="H38" s="196" t="str">
        <f>"Su 10 casi in cui serve funziona ~"&amp;ROUND(E38*10,0)&amp;" volte su 10 ("&amp;TEXT(E38,"0%")&amp;").   "&amp;IF(E38&gt;=0.95,"Deterministico o proprietà dell'architettura: nei casi coperti funziona sempre",IF(E38&gt;=0.85,"Automatico, ma dipende da configurazione e soglie tarate correttamente",IF(E38&gt;=0.7,"Procedurale: funziona se la procedura è seguita, e lascia evidenza documentale",IF(E38&gt;=0.5,"Dipende dall'attenzione o dalla decisione di una persona nel momento dell'evento","Dipende dalla volontà di un terzo di segnalare o dichiarare"))))</f>
        <v>Su 10 casi in cui serve funziona ~9 volte su 10 (85%).   Automatico, ma dipende da configurazione e soglie tarate correttamente</v>
      </c>
      <c r="I38" s="197" t="str">
        <f>"Rileva i guasti, monitora l'efficacia dei primari, garantisce ripristino o correzione?   →   "&amp;C38&amp;CHAR(10)&amp;"Se lo togliessi: La saturazione non si vedrebbe in tempo, pur restando la scalabilità"</f>
        <v>Rileva i guasti, monitora l'efficacia dei primari, garantisce ripristino o correzione?   →   Secondario
Se lo togliessi: La saturazione non si vedrebbe in tempo, pur restando la scalabilità</v>
      </c>
    </row>
    <row r="39" spans="1:9" ht="60">
      <c r="A39" s="193" t="s">
        <v>129</v>
      </c>
      <c r="B39" s="194" t="s">
        <v>719</v>
      </c>
      <c r="C39" s="195" t="str">
        <f>Controlli!H22</f>
        <v>Primario</v>
      </c>
      <c r="D39" s="218">
        <f>Controlli!E22</f>
        <v>0.5</v>
      </c>
      <c r="E39" s="218">
        <f>Controlli!F22</f>
        <v>0.5</v>
      </c>
      <c r="F39" s="218">
        <f>Controlli!G22</f>
        <v>0.25</v>
      </c>
      <c r="G39" s="196" t="str">
        <f>"Copre: I carichi crescenti, con adeguamento delle risorse.   Non copre: I picchi improvvisi, prima dell'intervento.   →  copertura "&amp;TEXT(D39,"0%")</f>
        <v>Copre: I carichi crescenti, con adeguamento delle risorse.   Non copre: I picchi improvvisi, prima dell'intervento.   →  copertura 50%</v>
      </c>
      <c r="H39" s="196" t="str">
        <f>"Su 10 casi in cui serve funziona ~"&amp;ROUND(E39*10,0)&amp;" volte su 10 ("&amp;TEXT(E39,"0%")&amp;").   "&amp;IF(E39&gt;=0.95,"Deterministico o proprietà dell'architettura: nei casi coperti funziona sempre",IF(E39&gt;=0.85,"Automatico, ma dipende da configurazione e soglie tarate correttamente",IF(E39&gt;=0.7,"Procedurale: funziona se la procedura è seguita, e lascia evidenza documentale",IF(E39&gt;=0.5,"Dipende dall'attenzione o dalla decisione di una persona nel momento dell'evento","Dipende dalla volontà di un terzo di segnalare o dichiarare"))))</f>
        <v>Su 10 casi in cui serve funziona ~5 volte su 10 (50%).   Dipende dall'attenzione o dalla decisione di una persona nel momento dell'evento</v>
      </c>
      <c r="I39" s="197" t="str">
        <f>"Blocca, previene o mitiga direttamente il rischio nel flusso operativo?   →   "&amp;C39&amp;CHAR(10)&amp;"Se lo togliessi: Il carico non sarebbe più gestibile: rischio scoperto quasi come prima"</f>
        <v>Blocca, previene o mitiga direttamente il rischio nel flusso operativo?   →   Primario
Se lo togliessi: Il carico non sarebbe più gestibile: rischio scoperto quasi come prima</v>
      </c>
    </row>
    <row r="40" spans="1:9" ht="30">
      <c r="A40" s="200" t="str">
        <f>"RISCHIO "&amp;Tabella!A9&amp;" — "&amp;Tabella!B9</f>
        <v>RISCHIO 8 — INF-OUT-OF-DISTRIBUTION_ISO</v>
      </c>
      <c r="B40" s="201"/>
      <c r="C40" s="201"/>
      <c r="D40" s="202"/>
      <c r="E40" s="202"/>
      <c r="F40" s="217"/>
      <c r="G40" s="201"/>
      <c r="H40" s="201"/>
      <c r="I40" s="203"/>
    </row>
    <row r="41" spans="1:9" ht="45">
      <c r="A41" s="193" t="s">
        <v>108</v>
      </c>
      <c r="B41" s="194" t="s">
        <v>724</v>
      </c>
      <c r="C41" s="195" t="str">
        <f>Controlli!H23</f>
        <v>Primario</v>
      </c>
      <c r="D41" s="218">
        <f>Controlli!E23</f>
        <v>0.7</v>
      </c>
      <c r="E41" s="218">
        <f>Controlli!F23</f>
        <v>0.95</v>
      </c>
      <c r="F41" s="218">
        <f>Controlli!G23</f>
        <v>0.66499999999999992</v>
      </c>
      <c r="G41" s="196" t="str">
        <f>"Copre: La variabilità coperta da fonti e contesti diversi.   Non copre: Le condizioni operative mai osservate.   →  copertura "&amp;TEXT(D41,"0%")</f>
        <v>Copre: La variabilità coperta da fonti e contesti diversi.   Non copre: Le condizioni operative mai osservate.   →  copertura 70%</v>
      </c>
      <c r="H41" s="196" t="str">
        <f>"Su 10 casi in cui serve funziona ~"&amp;ROUND(E41*10,0)&amp;" volte su 10 ("&amp;TEXT(E41,"0%")&amp;").   "&amp;IF(E41&gt;=0.95,"Deterministico o proprietà dell'architettura: nei casi coperti funziona sempre",IF(E41&gt;=0.85,"Automatico, ma dipende da configurazione e soglie tarate correttamente",IF(E41&gt;=0.7,"Procedurale: funziona se la procedura è seguita, e lascia evidenza documentale",IF(E41&gt;=0.5,"Dipende dall'attenzione o dalla decisione di una persona nel momento dell'evento","Dipende dalla volontà di un terzo di segnalare o dichiarare"))))</f>
        <v>Su 10 casi in cui serve funziona ~10 volte su 10 (95%).   Deterministico o proprietà dell'architettura: nei casi coperti funziona sempre</v>
      </c>
      <c r="I41" s="197" t="str">
        <f>"Blocca, previene o mitiga direttamente il rischio nel flusso operativo?   →   "&amp;C41&amp;CHAR(10)&amp;"Se lo togliessi: Il modello vedrebbe un solo contesto: rischio scoperto"</f>
        <v>Blocca, previene o mitiga direttamente il rischio nel flusso operativo?   →   Primario
Se lo togliessi: Il modello vedrebbe un solo contesto: rischio scoperto</v>
      </c>
    </row>
    <row r="42" spans="1:9" ht="45">
      <c r="A42" s="193" t="s">
        <v>132</v>
      </c>
      <c r="B42" s="194" t="s">
        <v>724</v>
      </c>
      <c r="C42" s="195" t="str">
        <f>Controlli!H24</f>
        <v>Primario</v>
      </c>
      <c r="D42" s="218">
        <f>Controlli!E24</f>
        <v>0.5</v>
      </c>
      <c r="E42" s="218">
        <f>Controlli!F24</f>
        <v>0.85</v>
      </c>
      <c r="F42" s="218">
        <f>Controlli!G24</f>
        <v>0.42499999999999999</v>
      </c>
      <c r="G42" s="196" t="str">
        <f>"Copre: le inferenze la cui confidenza scende sotto soglia sulle scene fuori contesto.   Non copre: gli errori out-of-distribution in cui il modello resta confidente, che sono la parte più dannosa del fenomeno.   →  copertura "&amp;TEXT(D42,"0%")</f>
        <v>Copre: le inferenze la cui confidenza scende sotto soglia sulle scene fuori contesto.   Non copre: gli errori out-of-distribution in cui il modello resta confidente, che sono la parte più dannosa del fenomeno.   →  copertura 50%</v>
      </c>
      <c r="H42" s="196" t="str">
        <f>"Su 10 casi in cui serve funziona ~"&amp;ROUND(E42*10,0)&amp;" volte su 10 ("&amp;TEXT(E42,"0%")&amp;").   "&amp;IF(E42&gt;=0.95,"Deterministico o proprietà dell'architettura: nei casi coperti funziona sempre",IF(E42&gt;=0.85,"Automatico, ma dipende da configurazione e soglie tarate correttamente",IF(E42&gt;=0.7,"Procedurale: funziona se la procedura è seguita, e lascia evidenza documentale",IF(E42&gt;=0.5,"Dipende dall'attenzione o dalla decisione di una persona nel momento dell'evento","Dipende dalla volontà di un terzo di segnalare o dichiarare"))))</f>
        <v>Su 10 casi in cui serve funziona ~9 volte su 10 (85%).   Automatico, ma dipende da configurazione e soglie tarate correttamente</v>
      </c>
      <c r="I42" s="197" t="str">
        <f>"Blocca, previene o mitiga direttamente il rischio nel flusso operativo?   →   "&amp;C42&amp;CHAR(10)&amp;"Se lo togliessi: Tutte le inferenze inaffidabili passerebbero: rischio scoperto"</f>
        <v>Blocca, previene o mitiga direttamente il rischio nel flusso operativo?   →   Primario
Se lo togliessi: Tutte le inferenze inaffidabili passerebbero: rischio scoperto</v>
      </c>
    </row>
    <row r="43" spans="1:9" ht="60">
      <c r="A43" s="193" t="s">
        <v>785</v>
      </c>
      <c r="B43" s="206" t="s">
        <v>717</v>
      </c>
      <c r="C43" s="207" t="str">
        <f>Controlli!H25</f>
        <v>Supporto</v>
      </c>
      <c r="D43" s="218">
        <f>Controlli!E25</f>
        <v>0.5</v>
      </c>
      <c r="E43" s="218">
        <f>Controlli!F25</f>
        <v>0.7</v>
      </c>
      <c r="F43" s="218">
        <f>Controlli!G25</f>
        <v>0.35</v>
      </c>
      <c r="G43" s="196" t="str">
        <f>"Copre: i casi operativi fuori contesto effettivamente raccolti e riutilizzati nel rilascio successivo.   Non copre: il presente, perché l'effetto arriva solo con il nuovo modello, e le condizioni che nessuno raccoglie.   →  copertura "&amp;TEXT(D43,"0%")</f>
        <v>Copre: i casi operativi fuori contesto effettivamente raccolti e riutilizzati nel rilascio successivo.   Non copre: il presente, perché l'effetto arriva solo con il nuovo modello, e le condizioni che nessuno raccoglie.   →  copertura 50%</v>
      </c>
      <c r="H43" s="196" t="str">
        <f>"Su 10 casi in cui serve funziona ~"&amp;ROUND(E43*10,0)&amp;" volte su 10 ("&amp;TEXT(E43,"0%")&amp;").   "&amp;IF(E43&gt;=0.95,"Deterministico o proprietà dell'architettura: nei casi coperti funziona sempre",IF(E43&gt;=0.85,"Automatico, ma dipende da configurazione e soglie tarate correttamente",IF(E43&gt;=0.7,"Procedurale: funziona se la procedura è seguita, e lascia evidenza documentale",IF(E43&gt;=0.5,"Dipende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43" s="197" t="str">
        <f>"Norma, processo amministrativo, governance o cultura che sostiene l'infrastruttura di controllo?   →   "&amp;C43&amp;CHAR(10)&amp;"Se lo togliessi: le condizioni fuori distribuzione non entrerebbero nei rilasci successivi; dataset multi-fonte e soglie restano"</f>
        <v>Norma, processo amministrativo, governance o cultura che sostiene l'infrastruttura di controllo?   →   Supporto
Se lo togliessi: le condizioni fuori distribuzione non entrerebbero nei rilasci successivi; dataset multi-fonte e soglie restano</v>
      </c>
    </row>
    <row r="44" spans="1:9" ht="30">
      <c r="A44" s="200" t="str">
        <f>"RISCHIO "&amp;Tabella!A10&amp;" — "&amp;Tabella!B10</f>
        <v>RISCHIO 9 — INF-FALSE-NEGATIVE_ISO</v>
      </c>
      <c r="B44" s="201"/>
      <c r="C44" s="201"/>
      <c r="D44" s="202"/>
      <c r="E44" s="202"/>
      <c r="F44" s="217"/>
      <c r="G44" s="201"/>
      <c r="H44" s="201"/>
      <c r="I44" s="203"/>
    </row>
    <row r="45" spans="1:9" ht="60">
      <c r="A45" s="193" t="s">
        <v>132</v>
      </c>
      <c r="B45" s="194" t="s">
        <v>724</v>
      </c>
      <c r="C45" s="195" t="str">
        <f>Controlli!H26</f>
        <v>Primario</v>
      </c>
      <c r="D45" s="218">
        <f>Controlli!E26</f>
        <v>0.7</v>
      </c>
      <c r="E45" s="218">
        <f>Controlli!F26</f>
        <v>0.85</v>
      </c>
      <c r="F45" s="218">
        <f>Controlli!G26</f>
        <v>0.59499999999999997</v>
      </c>
      <c r="G45" s="196" t="str">
        <f>"Copre: I rilevamenti deboli che a soglia più alta sarebbero stati scartati.   Non copre: I casi in cui il modello non produce alcuna inferenza (occlusione totale).   →  copertura "&amp;TEXT(D45,"0%")</f>
        <v>Copre: I rilevamenti deboli che a soglia più alta sarebbero stati scartati.   Non copre: I casi in cui il modello non produce alcuna inferenza (occlusione totale).   →  copertura 70%</v>
      </c>
      <c r="H45" s="196" t="str">
        <f t="shared" ref="H45:H49" si="0">"Su 10 casi in cui serve funziona ~"&amp;ROUND(E45*10,0)&amp;" volte su 10 ("&amp;TEXT(E45,"0%")&amp;").   "&amp;IF(E45&gt;=0.95,"Deterministico o proprietà dell'architettura: nei casi coperti funziona sempre",IF(E45&gt;=0.85,"Automatico, ma dipende da configurazione e soglie tarate correttamente",IF(E45&gt;=0.7,"Procedurale: funziona se la procedura è seguita, e lascia evidenza documentale",IF(E45&gt;=0.5,"Dipende dall'attenzione o dalla decisione di una persona nel momento dell'evento","Dipende dalla volontà di un terzo di segnalare o dichiarare"))))</f>
        <v>Su 10 casi in cui serve funziona ~9 volte su 10 (85%).   Automatico, ma dipende da configurazione e soglie tarate correttamente</v>
      </c>
      <c r="I45" s="197" t="str">
        <f>"Blocca, previene o mitiga direttamente il rischio nel flusso operativo?   →   "&amp;C45&amp;CHAR(10)&amp;"Se lo togliessi: Tornando a una soglia più restrittiva i rilevamenti deboli verrebbero scartati e i mancati rilevamenti aumenterebbero: rischio scoperto"</f>
        <v>Blocca, previene o mitiga direttamente il rischio nel flusso operativo?   →   Primario
Se lo togliessi: Tornando a una soglia più restrittiva i rilevamenti deboli verrebbero scartati e i mancati rilevamenti aumenterebbero: rischio scoperto</v>
      </c>
    </row>
    <row r="46" spans="1:9" ht="60">
      <c r="A46" s="193" t="s">
        <v>134</v>
      </c>
      <c r="B46" s="194" t="s">
        <v>724</v>
      </c>
      <c r="C46" s="195" t="str">
        <f>Controlli!H27</f>
        <v>Primario</v>
      </c>
      <c r="D46" s="218">
        <f>Controlli!E27</f>
        <v>0.7</v>
      </c>
      <c r="E46" s="218">
        <f>Controlli!F27</f>
        <v>0.95</v>
      </c>
      <c r="F46" s="218">
        <f>Controlli!G27</f>
        <v>0.66499999999999992</v>
      </c>
      <c r="G46" s="196" t="str">
        <f>"Copre: I casi DPI-keypoints ambigui.   Non copre: I mancati rilevamenti di altra natura.   →  copertura "&amp;TEXT(D46,"0%")</f>
        <v>Copre: I casi DPI-keypoints ambigui.   Non copre: I mancati rilevamenti di altra natura.   →  copertura 70%</v>
      </c>
      <c r="H46" s="196" t="str">
        <f t="shared" si="0"/>
        <v>Su 10 casi in cui serve funziona ~10 volte su 10 (95%).   Deterministico o proprietà dell'architettura: nei casi coperti funziona sempre</v>
      </c>
      <c r="I46" s="197" t="str">
        <f>"Blocca, previene o mitiga direttamente il rischio nel flusso operativo?   →   "&amp;C46&amp;CHAR(10)&amp;"Se lo togliessi: I casi DPI ambigui tornerebbero mancati rilevamenti: rischio scoperto"</f>
        <v>Blocca, previene o mitiga direttamente il rischio nel flusso operativo?   →   Primario
Se lo togliessi: I casi DPI ambigui tornerebbero mancati rilevamenti: rischio scoperto</v>
      </c>
    </row>
    <row r="47" spans="1:9" ht="60">
      <c r="A47" s="193" t="s">
        <v>136</v>
      </c>
      <c r="B47" s="194" t="s">
        <v>724</v>
      </c>
      <c r="C47" s="195" t="str">
        <f>Controlli!H28</f>
        <v>Primario</v>
      </c>
      <c r="D47" s="218">
        <f>Controlli!E28</f>
        <v>0.85</v>
      </c>
      <c r="E47" s="218">
        <f>Controlli!F28</f>
        <v>0.85</v>
      </c>
      <c r="F47" s="218">
        <f>Controlli!G28</f>
        <v>0.72249999999999992</v>
      </c>
      <c r="G47" s="196" t="str">
        <f>"Copre: Gli errori isolati su singolo frame.   Non copre: L'errore che persiste su più frame consecutivi.   →  copertura "&amp;TEXT(D47,"0%")</f>
        <v>Copre: Gli errori isolati su singolo frame.   Non copre: L'errore che persiste su più frame consecutivi.   →  copertura 85%</v>
      </c>
      <c r="H47" s="196" t="str">
        <f>"Su 10 casi in cui serve funziona ~"&amp;ROUND(E47*10,0)&amp;" volte su 10 ("&amp;TEXT(E47,"0%")&amp;").   Automatico, ma dipende da configurazione e soglie tarate correttamente: soglia di confidenza ≥0,40 e conferma su 5 frame consecutivi sono parametri impostati, non proprietà deterministiche dell'architettura"</f>
        <v>Su 10 casi in cui serve funziona ~9 volte su 10 (85%).   Automatico, ma dipende da configurazione e soglie tarate correttamente: soglia di confidenza ≥0,40 e conferma su 5 frame consecutivi sono parametri impostati, non proprietà deterministiche dell'architettura</v>
      </c>
      <c r="I47" s="197" t="str">
        <f>"Blocca, previene o mitiga direttamente il rischio nel flusso operativo?   →   "&amp;C47&amp;CHAR(10)&amp;"Se lo togliessi: Un solo frame errato basterebbe a mancare il rilevamento: rischio scoperto"</f>
        <v>Blocca, previene o mitiga direttamente il rischio nel flusso operativo?   →   Primario
Se lo togliessi: Un solo frame errato basterebbe a mancare il rilevamento: rischio scoperto</v>
      </c>
    </row>
    <row r="48" spans="1:9" ht="45">
      <c r="A48" s="193" t="s">
        <v>137</v>
      </c>
      <c r="B48" s="208" t="s">
        <v>719</v>
      </c>
      <c r="C48" s="195" t="str">
        <f>Controlli!H29</f>
        <v>Primario</v>
      </c>
      <c r="D48" s="218">
        <f>Controlli!E29</f>
        <v>0.85</v>
      </c>
      <c r="E48" s="218">
        <f>Controlli!F29</f>
        <v>0.5</v>
      </c>
      <c r="F48" s="218">
        <f>Controlli!G29</f>
        <v>0.42499999999999999</v>
      </c>
      <c r="G48" s="196" t="str">
        <f>"Copre: Ogni allarme, prima che si agisca.   Non copre: Ciò che l'operatore non nota    →  copertura "&amp;TEXT(D48,"0%")</f>
        <v>Copre: Ogni allarme, prima che si agisca.   Non copre: Ciò che l'operatore non nota    →  copertura 85%</v>
      </c>
      <c r="H48" s="196" t="str">
        <f t="shared" si="0"/>
        <v>Su 10 casi in cui serve funziona ~5 volte su 10 (50%).   Dipende dall'attenzione o dalla decisione di una persona nel momento dell'evento</v>
      </c>
      <c r="I48" s="197" t="str">
        <f>"Blocca, previene o mitiga direttamente il rischio nel flusso operativo?   →   "&amp;C48&amp;CHAR(10)&amp;"Se lo togliessi: Nessun filtro finale sull'allarme mancato: rischio scoperto"</f>
        <v>Blocca, previene o mitiga direttamente il rischio nel flusso operativo?   →   Primario
Se lo togliessi: Nessun filtro finale sull'allarme mancato: rischio scoperto</v>
      </c>
    </row>
    <row r="49" spans="1:9" ht="45">
      <c r="A49" s="193" t="s">
        <v>139</v>
      </c>
      <c r="B49" s="204" t="s">
        <v>719</v>
      </c>
      <c r="C49" s="199" t="str">
        <f>Controlli!H30</f>
        <v>Secondario</v>
      </c>
      <c r="D49" s="218">
        <f>Controlli!E30</f>
        <v>0.5</v>
      </c>
      <c r="E49" s="218">
        <f>Controlli!F30</f>
        <v>0.5</v>
      </c>
      <c r="F49" s="218">
        <f>Controlli!G30</f>
        <v>0.25</v>
      </c>
      <c r="G49" s="196" t="str">
        <f>"Copre: I cambi di contesto osservati e comunicati.   Non copre: I cambiamenti graduali che nessuno segnala.   →  copertura "&amp;TEXT(D49,"0%")</f>
        <v>Copre: I cambi di contesto osservati e comunicati.   Non copre: I cambiamenti graduali che nessuno segnala.   →  copertura 50%</v>
      </c>
      <c r="H49" s="196" t="str">
        <f t="shared" si="0"/>
        <v>Su 10 casi in cui serve funziona ~5 volte su 10 (50%).   Dipende dall'attenzione o dalla decisione di una persona nel momento dell'evento</v>
      </c>
      <c r="I49" s="197" t="str">
        <f>"Rileva i guasti, monitora l'efficacia dei primari, garantisce ripristino o correzione?   →   "&amp;C49&amp;CHAR(10)&amp;"Se lo togliessi: Non si saprebbe che il contesto è cambiato, ma i primari restano"</f>
        <v>Rileva i guasti, monitora l'efficacia dei primari, garantisce ripristino o correzione?   →   Secondario
Se lo togliessi: Non si saprebbe che il contesto è cambiato, ma i primari restano</v>
      </c>
    </row>
    <row r="50" spans="1:9" ht="30">
      <c r="A50" s="200" t="str">
        <f>"RISCHIO "&amp;Tabella!A11&amp;" — "&amp;Tabella!B11</f>
        <v>RISCHIO 10 — INF-FALSE-POSITIVE_ISO</v>
      </c>
      <c r="B50" s="201"/>
      <c r="C50" s="201"/>
      <c r="D50" s="202"/>
      <c r="E50" s="202"/>
      <c r="F50" s="217"/>
      <c r="G50" s="201"/>
      <c r="H50" s="201"/>
      <c r="I50" s="203"/>
    </row>
    <row r="51" spans="1:9" ht="45">
      <c r="A51" s="193" t="s">
        <v>136</v>
      </c>
      <c r="B51" s="194" t="s">
        <v>724</v>
      </c>
      <c r="C51" s="195" t="str">
        <f>Controlli!H31</f>
        <v>Primario</v>
      </c>
      <c r="D51" s="218">
        <f>Controlli!E31</f>
        <v>0.85</v>
      </c>
      <c r="E51" s="218">
        <f>Controlli!F31</f>
        <v>0.85</v>
      </c>
      <c r="F51" s="218">
        <f>Controlli!G31</f>
        <v>0.72249999999999992</v>
      </c>
      <c r="G51" s="196" t="str">
        <f>"Copre: Gli errori isolati su singolo frame.   Non copre: L'errore che persiste su più frame consecutivi.   →  copertura "&amp;TEXT(D51,"0%")</f>
        <v>Copre: Gli errori isolati su singolo frame.   Non copre: L'errore che persiste su più frame consecutivi.   →  copertura 85%</v>
      </c>
      <c r="H51" s="196" t="str">
        <f>"Su 10 casi in cui serve funziona ~"&amp;ROUND(E51*10,0)&amp;" volte su 10 ("&amp;TEXT(E51,"0%")&amp;").   Automatico, ma dipende da configurazione e soglie tarate correttamente"</f>
        <v>Su 10 casi in cui serve funziona ~9 volte su 10 (85%).   Automatico, ma dipende da configurazione e soglie tarate correttamente</v>
      </c>
      <c r="I51" s="197" t="str">
        <f>"Blocca, previene o mitiga direttamente il rischio nel flusso operativo?   →   "&amp;C51&amp;CHAR(10)&amp;"Se lo togliessi: Un frame errato genererebbe un falso allarme: rischio scoperto"</f>
        <v>Blocca, previene o mitiga direttamente il rischio nel flusso operativo?   →   Primario
Se lo togliessi: Un frame errato genererebbe un falso allarme: rischio scoperto</v>
      </c>
    </row>
    <row r="52" spans="1:9" ht="45">
      <c r="A52" s="193" t="s">
        <v>137</v>
      </c>
      <c r="B52" s="208" t="s">
        <v>719</v>
      </c>
      <c r="C52" s="195" t="str">
        <f>Controlli!H32</f>
        <v>Primario</v>
      </c>
      <c r="D52" s="218">
        <f>Controlli!E32</f>
        <v>0.85</v>
      </c>
      <c r="E52" s="218">
        <f>Controlli!F32</f>
        <v>0.5</v>
      </c>
      <c r="F52" s="218">
        <f>Controlli!G32</f>
        <v>0.42499999999999999</v>
      </c>
      <c r="G52" s="196" t="str">
        <f>"Copre: Ogni allarme, prima che si agisca.   Non copre: Ciò che l'operatore non nota o dà per buono.   →  copertura "&amp;TEXT(D52,"0%")</f>
        <v>Copre: Ogni allarme, prima che si agisca.   Non copre: Ciò che l'operatore non nota o dà per buono.   →  copertura 85%</v>
      </c>
      <c r="H52" s="196" t="str">
        <f>"Su 10 casi in cui serve funziona ~"&amp;ROUND(E52*10,0)&amp;" volte su 10 ("&amp;TEXT(E52,"0%")&amp;").   "&amp;IF(E52&gt;=0.95,"Deterministico o proprietà dell'architettura: nei casi coperti funziona sempre",IF(E52&gt;=0.85,"Automatico, ma dipende da configurazione e soglie tarate correttamente",IF(E52&gt;=0.7,"Procedurale: funziona se la procedura è seguita, e lascia evidenza documentale",IF(E52&gt;=0.5,"Dipende dall'attenzione o dalla decisione di una persona nel momento dell'evento","Dipende dalla volontà di un terzo di segnalare o dichiarare"))))</f>
        <v>Su 10 casi in cui serve funziona ~5 volte su 10 (50%).   Dipende dall'attenzione o dalla decisione di una persona nel momento dell'evento</v>
      </c>
      <c r="I52" s="197" t="str">
        <f>"Blocca, previene o mitiga direttamente il rischio nel flusso operativo?   →   "&amp;C52&amp;CHAR(10)&amp;"Se lo togliessi: Si agirebbe su allarmi non verificati: rischio scoperto"</f>
        <v>Blocca, previene o mitiga direttamente il rischio nel flusso operativo?   →   Primario
Se lo togliessi: Si agirebbe su allarmi non verificati: rischio scoperto</v>
      </c>
    </row>
    <row r="53" spans="1:9" ht="45">
      <c r="A53" s="193" t="s">
        <v>142</v>
      </c>
      <c r="B53" s="204" t="s">
        <v>717</v>
      </c>
      <c r="C53" s="205" t="str">
        <f>Controlli!H33</f>
        <v>Supporto</v>
      </c>
      <c r="D53" s="218">
        <f>Controlli!E33</f>
        <v>0.5</v>
      </c>
      <c r="E53" s="218">
        <f>Controlli!F33</f>
        <v>0.3</v>
      </c>
      <c r="F53" s="218">
        <f>Controlli!G33</f>
        <v>0.15</v>
      </c>
      <c r="G53" s="196" t="str">
        <f>"Copre: Gli eventi che l'utente decide di segnalare.   Non copre: Tutto ciò che non viene segnalato.   →  copertura "&amp;TEXT(D53,"0%")</f>
        <v>Copre: Gli eventi che l'utente decide di segnalare.   Non copre: Tutto ciò che non viene segnalato.   →  copertura 50%</v>
      </c>
      <c r="H53" s="196" t="str">
        <f>"Su 10 casi in cui serve funziona ~"&amp;ROUND(E53*10,0)&amp;" volte su 10 ("&amp;TEXT(E53,"0%")&amp;").   "&amp;IF(E53&gt;=0.95,"Deterministico o proprietà dell'architettura: nei casi coperti funziona sempre",IF(E53&gt;=0.85,"Automatico, ma dipende da configurazione e soglie tarate correttamente",IF(E53&gt;=0.7,"Procedurale: funziona se la procedura è seguita, e lascia evidenza documentale",IF(E53&gt;=0.5,"Dipende dall'attenzione o dalla decisione di una persona nel momento dell'evento","Dipende dalla volontà di un terzo di segnalare o dichiarare"))))</f>
        <v>Su 10 casi in cui serve funziona ~3 volte su 10 (30%).   Dipende dalla volontà di un terzo di segnalare o dichiarare</v>
      </c>
      <c r="I53" s="197" t="str">
        <f>"Norma, processo amministrativo, governance o cultura che sostiene l'infrastruttura di controllo?   →   "&amp;C53&amp;CHAR(10)&amp;"Se lo togliessi: I falsi positivi non emergerebbero; i primari restano attivi"</f>
        <v>Norma, processo amministrativo, governance o cultura che sostiene l'infrastruttura di controllo?   →   Supporto
Se lo togliessi: I falsi positivi non emergerebbero; i primari restano attivi</v>
      </c>
    </row>
    <row r="54" spans="1:9" ht="60">
      <c r="A54" s="193" t="s">
        <v>139</v>
      </c>
      <c r="B54" s="204" t="s">
        <v>719</v>
      </c>
      <c r="C54" s="199" t="str">
        <f>Controlli!H34</f>
        <v>Secondario</v>
      </c>
      <c r="D54" s="218">
        <f>Controlli!E34</f>
        <v>0.5</v>
      </c>
      <c r="E54" s="218">
        <f>Controlli!F34</f>
        <v>0.5</v>
      </c>
      <c r="F54" s="218">
        <f>Controlli!G34</f>
        <v>0.25</v>
      </c>
      <c r="G54" s="196" t="str">
        <f>"Copre: I cambi di contesto osservati e comunicati.   Non copre: I cambiamenti graduali che nessuno segnala.   →  copertura "&amp;TEXT(D54,"0%")</f>
        <v>Copre: I cambi di contesto osservati e comunicati.   Non copre: I cambiamenti graduali che nessuno segnala.   →  copertura 50%</v>
      </c>
      <c r="H54" s="196" t="str">
        <f>"Su 10 casi in cui serve funziona ~"&amp;ROUND(E54*10,0)&amp;" volte su 10 ("&amp;TEXT(E54,"0%")&amp;").   "&amp;IF(E54&gt;=0.95,"Deterministico o proprietà dell'architettura: nei casi coperti funziona sempre",IF(E54&gt;=0.85,"Automatico, ma dipende da configurazione e soglie tarate correttamente",IF(E54&gt;=0.7,"Procedurale: funziona se la procedura è seguita, e lascia evidenza documentale",IF(E54&gt;=0.5,"Dipende dall'attenzione o dalla decisione di una persona nel momento dell'evento","Dipende dalla volontà di un terzo di segnalare o dichiarare"))))</f>
        <v>Su 10 casi in cui serve funziona ~5 volte su 10 (50%).   Dipende dall'attenzione o dalla decisione di una persona nel momento dell'evento</v>
      </c>
      <c r="I54" s="197" t="str">
        <f>"Rileva i guasti, monitora l'efficacia dei primari, garantisce ripristino o correzione?   →   "&amp;C54&amp;CHAR(10)&amp;"Se lo togliessi: I falsi positivi non si collegherebbero al contesto, ma i primari restano"</f>
        <v>Rileva i guasti, monitora l'efficacia dei primari, garantisce ripristino o correzione?   →   Secondario
Se lo togliessi: I falsi positivi non si collegherebbero al contesto, ma i primari restano</v>
      </c>
    </row>
    <row r="55" spans="1:9" ht="30">
      <c r="A55" s="200" t="str">
        <f>"RISCHIO "&amp;Tabella!A12&amp;" — "&amp;Tabella!B12</f>
        <v>RISCHIO 11 — USE-AI-LITERACY-SUPERVISION_ISO</v>
      </c>
      <c r="B55" s="201"/>
      <c r="C55" s="201"/>
      <c r="D55" s="202"/>
      <c r="E55" s="202"/>
      <c r="F55" s="217"/>
      <c r="G55" s="201"/>
      <c r="H55" s="201"/>
      <c r="I55" s="203"/>
    </row>
    <row r="56" spans="1:9" ht="45">
      <c r="A56" s="193" t="s">
        <v>144</v>
      </c>
      <c r="B56" s="204" t="s">
        <v>717</v>
      </c>
      <c r="C56" s="199" t="str">
        <f>Controlli!H35</f>
        <v>Secondario</v>
      </c>
      <c r="D56" s="218">
        <f>Controlli!E35</f>
        <v>0.7</v>
      </c>
      <c r="E56" s="218">
        <f>Controlli!F35</f>
        <v>0.7</v>
      </c>
      <c r="F56" s="218">
        <f>Controlli!G35</f>
        <v>0.48999999999999994</v>
      </c>
      <c r="G56" s="196" t="str">
        <f>"Copre: La disponibilità di istruzioni corrette a tutti.   Non copre: Il fatto che vengano lette e applicate.   →  copertura "&amp;TEXT(D56,"0%")</f>
        <v>Copre: La disponibilità di istruzioni corrette a tutti.   Non copre: Il fatto che vengano lette e applicate.   →  copertura 70%</v>
      </c>
      <c r="H56" s="196" t="str">
        <f>"Su 10 casi in cui serve funziona ~"&amp;ROUND(E56*10,0)&amp;" volte su 10 ("&amp;TEXT(E56,"0%")&amp;").   Organizzativo / documentale: il presidio è formalizzato e documentato, ma non garantisce che venga letto e applicato"</f>
        <v>Su 10 casi in cui serve funziona ~7 volte su 10 (70%).   Organizzativo / documentale: il presidio è formalizzato e documentato, ma non garantisce che venga letto e applicato</v>
      </c>
      <c r="I56" s="197" t="str">
        <f>"Rileva i guasti, monitora l'efficacia dei primari, garantisce ripristino o correzione?   →   "&amp;C56&amp;CHAR(10)&amp;"Se lo togliessi: Mancherebbe il riferimento scritto, ma la formazione resta"</f>
        <v>Rileva i guasti, monitora l'efficacia dei primari, garantisce ripristino o correzione?   →   Secondario
Se lo togliessi: Mancherebbe il riferimento scritto, ma la formazione resta</v>
      </c>
    </row>
    <row r="57" spans="1:9" ht="45">
      <c r="A57" s="193" t="s">
        <v>146</v>
      </c>
      <c r="B57" s="208" t="s">
        <v>719</v>
      </c>
      <c r="C57" s="195" t="str">
        <f>Controlli!H36</f>
        <v>Primario</v>
      </c>
      <c r="D57" s="218">
        <f>Controlli!E36</f>
        <v>0.7</v>
      </c>
      <c r="E57" s="218">
        <f>Controlli!F36</f>
        <v>0.5</v>
      </c>
      <c r="F57" s="218">
        <f>Controlli!G36</f>
        <v>0.35</v>
      </c>
      <c r="G57" s="196" t="str">
        <f>"Copre: Tutti gli utenti al momento dell'avvio.   Non copre: Turnover e decadimento delle competenze.   →  copertura "&amp;TEXT(D57,"0%")</f>
        <v>Copre: Tutti gli utenti al momento dell'avvio.   Non copre: Turnover e decadimento delle competenze.   →  copertura 70%</v>
      </c>
      <c r="H57" s="196" t="str">
        <f>"Su 10 casi in cui serve funziona ~"&amp;ROUND(E57*10,0)&amp;" volte su 10 ("&amp;TEXT(E57,"0%")&amp;").   "&amp;IF(E57&gt;=0.95,"Deterministico o proprietà dell'architettura: nei casi coperti funziona sempre",IF(E57&gt;=0.85,"Automatico, ma dipende da configurazione e soglie tarate correttamente",IF(E57&gt;=0.7,"Procedurale: funziona se la procedura è seguita, e lascia evidenza documentale",IF(E57&gt;=0.5,"Dipende dall'attenzione o dalla decisione di una persona nel momento dell'evento","Dipende dalla volontà di un terzo di segnalare o dichiarare"))))</f>
        <v>Su 10 casi in cui serve funziona ~5 volte su 10 (50%).   Dipende dall'attenzione o dalla decisione di una persona nel momento dell'evento</v>
      </c>
      <c r="I57" s="197" t="str">
        <f>"Blocca, previene o mitiga direttamente il rischio nel flusso operativo?   →   "&amp;C57&amp;CHAR(10)&amp;"Se lo togliessi: L'utente non saprebbe interpretare gli allarmi: rischio scoperto"</f>
        <v>Blocca, previene o mitiga direttamente il rischio nel flusso operativo?   →   Primario
Se lo togliessi: L'utente non saprebbe interpretare gli allarmi: rischio scoperto</v>
      </c>
    </row>
    <row r="58" spans="1:9" ht="60">
      <c r="A58" s="193" t="s">
        <v>148</v>
      </c>
      <c r="B58" s="204" t="s">
        <v>717</v>
      </c>
      <c r="C58" s="205" t="str">
        <f>Controlli!H37</f>
        <v>Supporto</v>
      </c>
      <c r="D58" s="218">
        <f>Controlli!E37</f>
        <v>0.5</v>
      </c>
      <c r="E58" s="218">
        <f>Controlli!F37</f>
        <v>0.3</v>
      </c>
      <c r="F58" s="218">
        <f>Controlli!G37</f>
        <v>0.15</v>
      </c>
      <c r="G58" s="196" t="str">
        <f>"Copre: Gli eventi che l'utente decide di segnalare.   Non copre: Tutto ciò che non viene segnalato.   →  copertura "&amp;TEXT(D58,"0%")</f>
        <v>Copre: Gli eventi che l'utente decide di segnalare.   Non copre: Tutto ciò che non viene segnalato.   →  copertura 50%</v>
      </c>
      <c r="H58" s="196" t="str">
        <f>"Su 10 casi in cui serve funziona ~"&amp;ROUND(E58*10,0)&amp;" volte su 10 ("&amp;TEXT(E58,"0%")&amp;").   "&amp;IF(E58&gt;=0.95,"Deterministico o proprietà dell'architettura: nei casi coperti funziona sempre",IF(E58&gt;=0.85,"Automatico, ma dipende da configurazione e soglie tarate correttamente",IF(E58&gt;=0.7,"Procedurale: funziona se la procedura è seguita, e lascia evidenza documentale",IF(E58&gt;=0.5,"Dipende dall'attenzione o dalla decisione di una persona nel momento dell'evento","Dipende dalla volontà di un terzo di segnalare o dichiarare"))))</f>
        <v>Su 10 casi in cui serve funziona ~3 volte su 10 (30%).   Dipende dalla volontà di un terzo di segnalare o dichiarare</v>
      </c>
      <c r="I58" s="197" t="str">
        <f>"Norma, processo amministrativo, governance o cultura che sostiene l'infrastruttura di controllo?   →   "&amp;C58&amp;CHAR(10)&amp;"Se lo togliessi: Nessun canale per i dubbi; documentazione e formazione restano"</f>
        <v>Norma, processo amministrativo, governance o cultura che sostiene l'infrastruttura di controllo?   →   Supporto
Se lo togliessi: Nessun canale per i dubbi; documentazione e formazione restano</v>
      </c>
    </row>
    <row r="59" spans="1:9" ht="30">
      <c r="A59" s="200" t="str">
        <f>"RISCHIO "&amp;Tabella!A13&amp;" — "&amp;Tabella!B13</f>
        <v>RISCHIO 12 — USE-OVERSIGHT-VERIFICATION-FAILURE_ISO</v>
      </c>
      <c r="B59" s="201"/>
      <c r="C59" s="201"/>
      <c r="D59" s="202"/>
      <c r="E59" s="202"/>
      <c r="F59" s="217"/>
      <c r="G59" s="201"/>
      <c r="H59" s="201"/>
      <c r="I59" s="203"/>
    </row>
    <row r="60" spans="1:9" ht="60">
      <c r="A60" s="193" t="s">
        <v>137</v>
      </c>
      <c r="B60" s="208" t="s">
        <v>719</v>
      </c>
      <c r="C60" s="195" t="str">
        <f>Controlli!H38</f>
        <v>Primario</v>
      </c>
      <c r="D60" s="218">
        <f>Controlli!E38</f>
        <v>0.85</v>
      </c>
      <c r="E60" s="218">
        <f>Controlli!F38</f>
        <v>0.5</v>
      </c>
      <c r="F60" s="218">
        <f>Controlli!G38</f>
        <v>0.42499999999999999</v>
      </c>
      <c r="G60" s="196" t="str">
        <f>"Copre: Ogni allarme, prima che si agisca.   Non copre: Ciò che l'operatore non nota.  →  copertura "&amp;TEXT(D60,"0%")</f>
        <v>Copre: Ogni allarme, prima che si agisca.   Non copre: Ciò che l'operatore non nota.  →  copertura 85%</v>
      </c>
      <c r="H60" s="196" t="str">
        <f>"Su 10 casi in cui serve funziona ~"&amp;ROUND(E60*10,0)&amp;" volte su 10 ("&amp;TEXT(E60,"0%")&amp;").   "&amp;IF(E60&gt;=0.95,"Deterministico o proprietà dell'architettura: nei casi coperti funziona sempre",IF(E60&gt;=0.85,"Automatico, ma dipende da configurazione e soglie tarate correttamente",IF(E60&gt;=0.7,"Procedurale: funziona se la procedura è seguita, e lascia evidenza documentale",IF(E60&gt;=0.5,"Dipende dall'attenzione o dalla decisione di una persona nel momento dell'evento","Dipende dalla volontà di un terzo di segnalare o dichiarare"))))</f>
        <v>Su 10 casi in cui serve funziona ~5 volte su 10 (50%).   Dipende dall'attenzione o dalla decisione di una persona nel momento dell'evento</v>
      </c>
      <c r="I60" s="197" t="str">
        <f>"Blocca, previene o mitiga direttamente il rischio nel flusso operativo?   →   "&amp;C60&amp;CHAR(10)&amp;"Se lo togliessi: Verrebbe meno proprio la supervisione umana in discussione: rischio scoperto"</f>
        <v>Blocca, previene o mitiga direttamente il rischio nel flusso operativo?   →   Primario
Se lo togliessi: Verrebbe meno proprio la supervisione umana in discussione: rischio scoperto</v>
      </c>
    </row>
    <row r="61" spans="1:9" ht="60">
      <c r="A61" s="193" t="s">
        <v>148</v>
      </c>
      <c r="B61" s="204" t="s">
        <v>717</v>
      </c>
      <c r="C61" s="205" t="str">
        <f>Controlli!H39</f>
        <v>Supporto</v>
      </c>
      <c r="D61" s="218">
        <f>Controlli!E39</f>
        <v>0.5</v>
      </c>
      <c r="E61" s="218">
        <f>Controlli!F39</f>
        <v>0.3</v>
      </c>
      <c r="F61" s="218">
        <f>Controlli!G39</f>
        <v>0.15</v>
      </c>
      <c r="G61" s="196" t="str">
        <f>"Copre: Gli eventi che l'utente decide di segnalare.   Non copre: Tutto ciò che non viene segnalato.   →  copertura "&amp;TEXT(D61,"0%")</f>
        <v>Copre: Gli eventi che l'utente decide di segnalare.   Non copre: Tutto ciò che non viene segnalato.   →  copertura 50%</v>
      </c>
      <c r="H61" s="196" t="str">
        <f>"Su 10 casi in cui serve funziona ~"&amp;ROUND(E61*10,0)&amp;" volte su 10 ("&amp;TEXT(E61,"0%")&amp;").   "&amp;IF(E61&gt;=0.95,"Deterministico o proprietà dell'architettura: nei casi coperti funziona sempre",IF(E61&gt;=0.85,"Automatico, ma dipende da configurazione e soglie tarate correttamente",IF(E61&gt;=0.7,"Procedurale: funziona se la procedura è seguita, e lascia evidenza documentale",IF(E61&gt;=0.5,"Dipende dall'attenzione o dalla decisione di una persona nel momento dell'evento","Dipende dalla volontà di un terzo di segnalare o dichiarare"))))</f>
        <v>Su 10 casi in cui serve funziona ~3 volte su 10 (30%).   Dipende dalla volontà di un terzo di segnalare o dichiarare</v>
      </c>
      <c r="I61" s="197" t="str">
        <f>"Norma, processo amministrativo, governance o cultura che sostiene l'infrastruttura di controllo?   →   "&amp;C61&amp;CHAR(10)&amp;"Se lo togliessi: Le verifiche mancate non emergerebbero, ma l'obbligo di verifica resta"</f>
        <v>Norma, processo amministrativo, governance o cultura che sostiene l'infrastruttura di controllo?   →   Supporto
Se lo togliessi: Le verifiche mancate non emergerebbero, ma l'obbligo di verifica resta</v>
      </c>
    </row>
    <row r="62" spans="1:9" ht="30">
      <c r="A62" s="200" t="str">
        <f>"RISCHIO "&amp;Tabella!A14&amp;" — "&amp;Tabella!B14</f>
        <v>RISCHIO 13 — SEC-ACCESS-CREDENTIAL-MISUSE</v>
      </c>
      <c r="B62" s="201"/>
      <c r="C62" s="201"/>
      <c r="D62" s="202"/>
      <c r="E62" s="202"/>
      <c r="F62" s="217"/>
      <c r="G62" s="201"/>
      <c r="H62" s="201"/>
      <c r="I62" s="203"/>
    </row>
    <row r="63" spans="1:9" ht="60">
      <c r="A63" s="193" t="s">
        <v>151</v>
      </c>
      <c r="B63" s="194" t="s">
        <v>724</v>
      </c>
      <c r="C63" s="195" t="str">
        <f>Controlli!H40</f>
        <v>Primario</v>
      </c>
      <c r="D63" s="218">
        <f>Controlli!E40</f>
        <v>0.7</v>
      </c>
      <c r="E63" s="218">
        <f>Controlli!F40</f>
        <v>0.95</v>
      </c>
      <c r="F63" s="218">
        <f>Controlli!G40</f>
        <v>0.66499999999999992</v>
      </c>
      <c r="G63" s="196" t="str">
        <f>_xlfn._LONGTEXT("Copre: l'autenticazione, l'autorizzazione e la revoca degli accessi ai componenti del sistema.   Non copre: il furto o il riuso di credenziali legittime (phishing, credential stuffing, brute force), perché non sono previsti né autenticazione a più fattori"," né blocco dopo tentativi falliti.   →  copertura ")&amp;TEXT(D63,"0%")</f>
        <v>Copre: l'autenticazione, l'autorizzazione e la revoca degli accessi ai componenti del sistema.   Non copre: il furto o il riuso di credenziali legittime (phishing, credential stuffing, brute force), perché non sono previsti né autenticazione a più fattori né blocco dopo tentativi falliti.   →  copertura 70%</v>
      </c>
      <c r="H63" s="196" t="str">
        <f>"Su 10 casi in cui serve funziona ~"&amp;ROUND(E63*10,0)&amp;" volte su 10 ("&amp;TEXT(E63,"0%")&amp;").   "&amp;IF(E63&gt;=0.95,"Deterministico o proprietà dell'architettura: nei casi coperti funziona sempre",IF(E63&gt;=0.85,"Automatico, ma dipende da configurazione e soglie tarate correttamente",IF(E63&gt;=0.7,"Procedurale: funziona se la procedura è seguita, e lascia evidenza documentale",IF(E63&gt;=0.5,"Dipende dall'attenzione o dalla decisione di una persona nel momento dell'evento","Dipende dalla volontà di un terzo di segnalare o dichiarare"))))</f>
        <v>Su 10 casi in cui serve funziona ~10 volte su 10 (95%).   Deterministico o proprietà dell'architettura: nei casi coperti funziona sempre</v>
      </c>
      <c r="I63" s="197" t="str">
        <f>"Blocca, previene o mitiga direttamente il rischio nel flusso operativo?   →   "&amp;C63&amp;CHAR(10)&amp;"Se lo togliessi: Il sistema sarebbe accessibile senza autenticazione: rischio scoperto"</f>
        <v>Blocca, previene o mitiga direttamente il rischio nel flusso operativo?   →   Primario
Se lo togliessi: Il sistema sarebbe accessibile senza autenticazione: rischio scoperto</v>
      </c>
    </row>
    <row r="64" spans="1:9" ht="60">
      <c r="A64" s="193" t="s">
        <v>153</v>
      </c>
      <c r="B64" s="194" t="s">
        <v>724</v>
      </c>
      <c r="C64" s="195" t="str">
        <f>Controlli!H41</f>
        <v>Primario</v>
      </c>
      <c r="D64" s="218">
        <f>Controlli!E41</f>
        <v>0.85</v>
      </c>
      <c r="E64" s="218">
        <f>Controlli!F41</f>
        <v>0.95</v>
      </c>
      <c r="F64" s="218">
        <f>Controlli!G41</f>
        <v>0.8075</v>
      </c>
      <c r="G64" s="196" t="str">
        <f>"Copre: L'estensione del danno da un componente compromesso.   Non copre: La compromissione iniziale.   →  copertura "&amp;TEXT(D64,"0%")</f>
        <v>Copre: L'estensione del danno da un componente compromesso.   Non copre: La compromissione iniziale.   →  copertura 85%</v>
      </c>
      <c r="H64" s="196" t="str">
        <f>"Su 10 casi in cui serve funziona ~"&amp;ROUND(E64*10,0)&amp;" volte su 10 ("&amp;TEXT(E64,"0%")&amp;").   "&amp;IF(E64&gt;=0.95,"Deterministico o proprietà dell'architettura: nei casi coperti funziona sempre",IF(E64&gt;=0.85,"Automatico, ma dipende da configurazione e soglie tarate correttamente",IF(E64&gt;=0.7,"Procedurale: funziona se la procedura è seguita, e lascia evidenza documentale",IF(E64&gt;=0.5,"Dipende dall'attenzione o dalla decisione di una persona nel momento dell'evento","Dipende dalla volontà di un terzo di segnalare o dichiarare"))))</f>
        <v>Su 10 casi in cui serve funziona ~10 volte su 10 (95%).   Deterministico o proprietà dell'architettura: nei casi coperti funziona sempre</v>
      </c>
      <c r="I64" s="197" t="str">
        <f>"Blocca, previene o mitiga direttamente il rischio nel flusso operativo?   →   "&amp;C64&amp;CHAR(10)&amp;"Se lo togliessi: Una credenziale compromessa avrebbe accesso a tutto: rischio scoperto"</f>
        <v>Blocca, previene o mitiga direttamente il rischio nel flusso operativo?   →   Primario
Se lo togliessi: Una credenziale compromessa avrebbe accesso a tutto: rischio scoperto</v>
      </c>
    </row>
    <row r="65" spans="1:9" ht="30">
      <c r="A65" s="200" t="str">
        <f>"RISCHIO "&amp;Tabella!A15&amp;" — "&amp;Tabella!B15</f>
        <v>RISCHIO 14 — SEC-NETWORK-COMMUNICATION-COMPROMISE</v>
      </c>
      <c r="B65" s="201"/>
      <c r="C65" s="201"/>
      <c r="D65" s="202"/>
      <c r="E65" s="202"/>
      <c r="F65" s="217"/>
      <c r="G65" s="201"/>
      <c r="H65" s="201"/>
      <c r="I65" s="203"/>
    </row>
    <row r="66" spans="1:9" ht="45">
      <c r="A66" s="193" t="s">
        <v>155</v>
      </c>
      <c r="B66" s="194" t="s">
        <v>724</v>
      </c>
      <c r="C66" s="195" t="str">
        <f>Controlli!H42</f>
        <v>Primario</v>
      </c>
      <c r="D66" s="218">
        <f>Controlli!E42</f>
        <v>0.95</v>
      </c>
      <c r="E66" s="218">
        <f>Controlli!F42</f>
        <v>0.95</v>
      </c>
      <c r="F66" s="218">
        <f>Controlli!G42</f>
        <v>0.90249999999999997</v>
      </c>
      <c r="G66" s="196" t="str">
        <f>"Copre: Tutti gli attacchi che arrivano dall'esterno.   Non copre: Le minacce che nascono dentro la rete interna.   →  copertura "&amp;TEXT(D66,"0%")</f>
        <v>Copre: Tutti gli attacchi che arrivano dall'esterno.   Non copre: Le minacce che nascono dentro la rete interna.   →  copertura 95%</v>
      </c>
      <c r="H66" s="196" t="str">
        <f>"Su 10 casi in cui serve funziona ~"&amp;ROUND(E66*10,0)&amp;" volte su 10 ("&amp;TEXT(E66,"0%")&amp;").   "&amp;IF(E66&gt;=0.95,"Deterministico o proprietà dell'architettura: nei casi coperti funziona sempre",IF(E66&gt;=0.85,"Automatico, ma dipende da configurazione e soglie tarate correttamente",IF(E66&gt;=0.7,"Procedurale: funziona se la procedura è seguita, e lascia evidenza documentale",IF(E66&gt;=0.5,"Dipende dall'attenzione o dalla decisione di una persona nel momento dell'evento","Dipende dalla volontà di un terzo di segnalare o dichiarare"))))</f>
        <v>Su 10 casi in cui serve funziona ~10 volte su 10 (95%).   Deterministico o proprietà dell'architettura: nei casi coperti funziona sempre</v>
      </c>
      <c r="I66" s="197" t="str">
        <f>"Blocca, previene o mitiga direttamente il rischio nel flusso operativo?   →   "&amp;C66&amp;CHAR(10)&amp;"Se lo togliessi: Il sistema sarebbe raggiungibile dall'esterno: rischio scoperto"</f>
        <v>Blocca, previene o mitiga direttamente il rischio nel flusso operativo?   →   Primario
Se lo togliessi: Il sistema sarebbe raggiungibile dall'esterno: rischio scoperto</v>
      </c>
    </row>
    <row r="67" spans="1:9" ht="45">
      <c r="A67" s="193" t="s">
        <v>157</v>
      </c>
      <c r="B67" s="194" t="s">
        <v>724</v>
      </c>
      <c r="C67" s="195" t="str">
        <f>Controlli!H43</f>
        <v>Primario</v>
      </c>
      <c r="D67" s="218">
        <f>Controlli!E43</f>
        <v>0.85</v>
      </c>
      <c r="E67" s="218">
        <f>Controlli!F43</f>
        <v>0.95</v>
      </c>
      <c r="F67" s="218">
        <f>Controlli!G43</f>
        <v>0.8075</v>
      </c>
      <c r="G67" s="196" t="str">
        <f>"Copre: Il traffico fra i componenti del sistema.   Non copre: Un endpoint già compromesso.   →  copertura "&amp;TEXT(D67,"0%")</f>
        <v>Copre: Il traffico fra i componenti del sistema.   Non copre: Un endpoint già compromesso.   →  copertura 85%</v>
      </c>
      <c r="H67" s="196" t="str">
        <f>"Su 10 casi in cui serve funziona ~"&amp;ROUND(E67*10,0)&amp;" volte su 10 ("&amp;TEXT(E67,"0%")&amp;").   "&amp;IF(E67&gt;=0.95,"Deterministico o proprietà dell'architettura: nei casi coperti funziona sempre",IF(E67&gt;=0.85,"Automatico, ma dipende da configurazione e soglie tarate correttamente",IF(E67&gt;=0.7,"Procedurale: funziona se la procedura è seguita, e lascia evidenza documentale",IF(E67&gt;=0.5,"Dipende dall'attenzione o dalla decisione di una persona nel momento dell'evento","Dipende dalla volontà di un terzo di segnalare o dichiarare"))))</f>
        <v>Su 10 casi in cui serve funziona ~10 volte su 10 (95%).   Deterministico o proprietà dell'architettura: nei casi coperti funziona sempre</v>
      </c>
      <c r="I67" s="197" t="str">
        <f>"Blocca, previene o mitiga direttamente il rischio nel flusso operativo?   →   "&amp;C67&amp;CHAR(10)&amp;"Se lo togliessi: Il traffico sarebbe intercettabile in chiaro: rischio scoperto"</f>
        <v>Blocca, previene o mitiga direttamente il rischio nel flusso operativo?   →   Primario
Se lo togliessi: Il traffico sarebbe intercettabile in chiaro: rischio scoperto</v>
      </c>
    </row>
    <row r="68" spans="1:9" ht="60">
      <c r="A68" s="193" t="s">
        <v>159</v>
      </c>
      <c r="B68" s="194" t="s">
        <v>724</v>
      </c>
      <c r="C68" s="195" t="str">
        <f>Controlli!H44</f>
        <v>Primario</v>
      </c>
      <c r="D68" s="218">
        <f>Controlli!E44</f>
        <v>0.7</v>
      </c>
      <c r="E68" s="218">
        <f>Controlli!F44</f>
        <v>0.85</v>
      </c>
      <c r="F68" s="218">
        <f>Controlli!G44</f>
        <v>0.59499999999999997</v>
      </c>
      <c r="G68" s="196" t="str">
        <f>"Copre: I componenti non riconosciuti sui canali previsti.   Non copre: I canali non previsti.   →  copertura "&amp;TEXT(D68,"0%")</f>
        <v>Copre: I componenti non riconosciuti sui canali previsti.   Non copre: I canali non previsti.   →  copertura 70%</v>
      </c>
      <c r="H68" s="196" t="str">
        <f>"Su 10 casi in cui serve funziona ~"&amp;ROUND(E68*10,0)&amp;" volte su 10 ("&amp;TEXT(E68,"0%")&amp;").   "&amp;IF(E68&gt;=0.95,"Deterministico o proprietà dell'architettura: nei casi coperti funziona sempre",IF(E68&gt;=0.85,"Automatico, ma dipende da configurazione e soglie tarate correttamente",IF(E68&gt;=0.7,"Procedurale: funziona se la procedura è seguita, e lascia evidenza documentale",IF(E68&gt;=0.5,"Dipende dall'attenzione o dalla decisione di una persona nel momento dell'evento","Dipende dalla volontà di un terzo di segnalare o dichiarare"))))</f>
        <v>Su 10 casi in cui serve funziona ~9 volte su 10 (85%).   Automatico, ma dipende da configurazione e soglie tarate correttamente</v>
      </c>
      <c r="I68" s="197" t="str">
        <f>"Blocca, previene o mitiga direttamente il rischio nel flusso operativo?   →   "&amp;C68&amp;CHAR(10)&amp;"Se lo togliessi: Componenti estranei potrebbero comunicare col sistema: rischio scoperto"</f>
        <v>Blocca, previene o mitiga direttamente il rischio nel flusso operativo?   →   Primario
Se lo togliessi: Componenti estranei potrebbero comunicare col sistema: rischio scoperto</v>
      </c>
    </row>
    <row r="69" spans="1:9" ht="30">
      <c r="A69" s="200" t="str">
        <f>"RISCHIO "&amp;Tabella!A16&amp;" — "&amp;Tabella!B16</f>
        <v>RISCHIO 15 — SEC-RECON-VULNERABILITY-EXPLOITATION</v>
      </c>
      <c r="B69" s="201"/>
      <c r="C69" s="201"/>
      <c r="D69" s="202"/>
      <c r="E69" s="202"/>
      <c r="F69" s="217"/>
      <c r="G69" s="201"/>
      <c r="H69" s="201"/>
      <c r="I69" s="203"/>
    </row>
    <row r="70" spans="1:9" ht="60">
      <c r="A70" s="193" t="s">
        <v>155</v>
      </c>
      <c r="B70" s="194" t="s">
        <v>724</v>
      </c>
      <c r="C70" s="195" t="str">
        <f>Controlli!H45</f>
        <v>Primario</v>
      </c>
      <c r="D70" s="218">
        <f>Controlli!E45</f>
        <v>0.95</v>
      </c>
      <c r="E70" s="218">
        <f>Controlli!F45</f>
        <v>0.95</v>
      </c>
      <c r="F70" s="218">
        <f>Controlli!G45</f>
        <v>0.90249999999999997</v>
      </c>
      <c r="G70" s="196" t="str">
        <f>"Copre: Tutti gli attacchi che arrivano dall'esterno.   Non copre: Le minacce che nascono dentro la rete interna.   →  copertura "&amp;TEXT(D70,"0%")</f>
        <v>Copre: Tutti gli attacchi che arrivano dall'esterno.   Non copre: Le minacce che nascono dentro la rete interna.   →  copertura 95%</v>
      </c>
      <c r="H70" s="196" t="str">
        <f>"Su 10 casi in cui serve funziona ~"&amp;ROUND(E70*10,0)&amp;" volte su 10 ("&amp;TEXT(E70,"0%")&amp;").   "&amp;IF(E70&gt;=0.95,"Deterministico o proprietà dell'architettura: nei casi coperti funziona sempre",IF(E70&gt;=0.85,"Automatico, ma dipende da configurazione e soglie tarate correttamente",IF(E70&gt;=0.7,"Procedurale: funziona se la procedura è seguita, e lascia evidenza documentale",IF(E70&gt;=0.5,"Dipende dall'attenzione o dalla decisione di una persona nel momento dell'evento","Dipende dalla volontà di un terzo di segnalare o dichiarare"))))</f>
        <v>Su 10 casi in cui serve funziona ~10 volte su 10 (95%).   Deterministico o proprietà dell'architettura: nei casi coperti funziona sempre</v>
      </c>
      <c r="I70" s="197" t="str">
        <f>"Blocca, previene o mitiga direttamente il rischio nel flusso operativo?   →   "&amp;C70&amp;CHAR(10)&amp;"Se lo togliessi: La superficie esposta alla ricognizione si allargherebbe: rischio scoperto"</f>
        <v>Blocca, previene o mitiga direttamente il rischio nel flusso operativo?   →   Primario
Se lo togliessi: La superficie esposta alla ricognizione si allargherebbe: rischio scoperto</v>
      </c>
    </row>
    <row r="71" spans="1:9" ht="45">
      <c r="A71" s="193" t="s">
        <v>162</v>
      </c>
      <c r="B71" s="198" t="s">
        <v>716</v>
      </c>
      <c r="C71" s="195" t="str">
        <f>Controlli!H46</f>
        <v>Primario</v>
      </c>
      <c r="D71" s="218">
        <f>Controlli!E46</f>
        <v>0.5</v>
      </c>
      <c r="E71" s="218">
        <f>Controlli!F46</f>
        <v>0.7</v>
      </c>
      <c r="F71" s="218">
        <f>Controlli!G46</f>
        <v>0.35</v>
      </c>
      <c r="G71" s="196" t="str">
        <f>"Copre: Le vulnerabilità note dei componenti gestiti.   Non copre: I componenti fuori dal perimetro di gestione.   →  copertura "&amp;TEXT(D71,"0%")</f>
        <v>Copre: Le vulnerabilità note dei componenti gestiti.   Non copre: I componenti fuori dal perimetro di gestione.   →  copertura 50%</v>
      </c>
      <c r="H71" s="196" t="str">
        <f>"Su 10 casi in cui serve funziona ~"&amp;ROUND(E71*10,0)&amp;" volte su 10 ("&amp;TEXT(E71,"0%")&amp;").   "&amp;IF(E71&gt;=0.95,"Deterministico o proprietà dell'architettura: nei casi coperti funziona sempre",IF(E71&gt;=0.85,"Automatico, ma dipende da configurazione e soglie tarate correttamente",IF(E71&gt;=0.7,"Procedurale: funziona se la procedura è seguita, e lascia evidenza documentale",IF(E71&gt;=0.5,"Dipende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71" s="197" t="str">
        <f>"Blocca, previene o mitiga direttamente il rischio nel flusso operativo?   →   "&amp;C71&amp;CHAR(10)&amp;"Se lo togliessi: Le vulnerabilità note resterebbero aperte: rischio scoperto"</f>
        <v>Blocca, previene o mitiga direttamente il rischio nel flusso operativo?   →   Primario
Se lo togliessi: Le vulnerabilità note resterebbero aperte: rischio scoperto</v>
      </c>
    </row>
    <row r="72" spans="1:9" ht="60">
      <c r="A72" s="193" t="s">
        <v>164</v>
      </c>
      <c r="B72" s="198" t="s">
        <v>716</v>
      </c>
      <c r="C72" s="199" t="str">
        <f>Controlli!H47</f>
        <v>Secondario</v>
      </c>
      <c r="D72" s="218">
        <f>Controlli!E47</f>
        <v>0.3</v>
      </c>
      <c r="E72" s="218">
        <f>Controlli!F47</f>
        <v>0.7</v>
      </c>
      <c r="F72" s="218">
        <f>Controlli!G47</f>
        <v>0.21</v>
      </c>
      <c r="G72" s="196" t="str">
        <f>"Copre: le vulnerabilità note presenti sulle componenti incluse nel perimetro di scansione, al momento della verifica.   Non copre: la finestra fra due verifiche, le componenti fuori perimetro e le vulnerabilità non ancora pubbliche.   →  copertura "&amp;TEXT(D72,"0%")</f>
        <v>Copre: le vulnerabilità note presenti sulle componenti incluse nel perimetro di scansione, al momento della verifica.   Non copre: la finestra fra due verifiche, le componenti fuori perimetro e le vulnerabilità non ancora pubbliche.   →  copertura 30%</v>
      </c>
      <c r="H72" s="196" t="str">
        <f>"Su 10 casi in cui serve funziona ~"&amp;ROUND(E72*10,0)&amp;" volte su 10 ("&amp;TEXT(E72,"0%")&amp;").   "&amp;IF(E72&gt;=0.95,"Deterministico o proprietà dell'architettura: nei casi coperti funziona sempre",IF(E72&gt;=0.85,"Automatico, ma dipende da configurazione e soglie tarate correttamente",IF(E72&gt;=0.7,"Procedurale: funziona se la procedura è seguita, e lascia evidenza documentale",IF(E72&gt;=0.5,"Dipende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72" s="197" t="str">
        <f>"Rileva i guasti, monitora l'efficacia dei primari, garantisce ripristino o correzione?   →   "&amp;C72&amp;CHAR(10)&amp;"Se lo togliessi: Non si troverebbe ciò che sfugge alla gestione versioni, che però resta"</f>
        <v>Rileva i guasti, monitora l'efficacia dei primari, garantisce ripristino o correzione?   →   Secondario
Se lo togliessi: Non si troverebbe ciò che sfugge alla gestione versioni, che però resta</v>
      </c>
    </row>
    <row r="73" spans="1:9" ht="30">
      <c r="A73" s="200" t="str">
        <f>"RISCHIO "&amp;Tabella!A17&amp;" — "&amp;Tabella!B17</f>
        <v>RISCHIO 16 — SEC-INTENTIONAL-DATA-MODEL-CHANGE</v>
      </c>
      <c r="B73" s="201"/>
      <c r="C73" s="201"/>
      <c r="D73" s="202"/>
      <c r="E73" s="202"/>
      <c r="F73" s="217"/>
      <c r="G73" s="201"/>
      <c r="H73" s="201"/>
      <c r="I73" s="203"/>
    </row>
    <row r="74" spans="1:9" ht="60">
      <c r="A74" s="193" t="s">
        <v>96</v>
      </c>
      <c r="B74" s="194" t="s">
        <v>724</v>
      </c>
      <c r="C74" s="199" t="str">
        <f>Controlli!H48</f>
        <v>Secondario</v>
      </c>
      <c r="D74" s="218">
        <f>Controlli!E48</f>
        <v>0.95</v>
      </c>
      <c r="E74" s="218">
        <f>Controlli!F48</f>
        <v>0.95</v>
      </c>
      <c r="F74" s="218">
        <f>Controlli!G48</f>
        <v>0.90249999999999997</v>
      </c>
      <c r="G74" s="196" t="str">
        <f>"Copre: Qualunque alterazione del modello rilasciato.   Non copre: Le modifiche autorizzate ma sbagliate.   →  copertura "&amp;TEXT(D74,"0%")</f>
        <v>Copre: Qualunque alterazione del modello rilasciato.   Non copre: Le modifiche autorizzate ma sbagliate.   →  copertura 95%</v>
      </c>
      <c r="H74" s="196" t="str">
        <f>"Su 10 casi in cui serve funziona ~"&amp;ROUND(E74*10,0)&amp;" volte su 10 ("&amp;TEXT(E74,"0%")&amp;").   "&amp;IF(E74&gt;=0.95,"Deterministico o proprietà dell'architettura: nei casi coperti funziona sempre",IF(E74&gt;=0.85,"Automatico, ma dipende da configurazione e soglie tarate correttamente",IF(E74&gt;=0.7,"Procedurale: funziona se la procedura è seguita, e lascia evidenza documentale",IF(E74&gt;=0.5,"Dipende dall'attenzione o dalla decisione di una persona nel momento dell'evento","Dipende dalla volontà di un terzo di segnalare o dichiarare"))))</f>
        <v>Su 10 casi in cui serve funziona ~10 volte su 10 (95%).   Deterministico o proprietà dell'architettura: nei casi coperti funziona sempre</v>
      </c>
      <c r="I74" s="197" t="str">
        <f>"Rileva i guasti, monitora l'efficacia dei primari, garantisce ripristino o correzione?   →   "&amp;C74&amp;CHAR(10)&amp;"Se lo togliessi: La modifica non sarebbe dimostrabile, ma il processo di rilascio regge"</f>
        <v>Rileva i guasti, monitora l'efficacia dei primari, garantisce ripristino o correzione?   →   Secondario
Se lo togliessi: La modifica non sarebbe dimostrabile, ma il processo di rilascio regge</v>
      </c>
    </row>
    <row r="75" spans="1:9" ht="60">
      <c r="A75" s="193" t="s">
        <v>94</v>
      </c>
      <c r="B75" s="198" t="s">
        <v>716</v>
      </c>
      <c r="C75" s="195" t="str">
        <f>Controlli!H49</f>
        <v>Primario</v>
      </c>
      <c r="D75" s="218">
        <f>Controlli!E49</f>
        <v>0.85</v>
      </c>
      <c r="E75" s="218">
        <f>Controlli!F49</f>
        <v>0.7</v>
      </c>
      <c r="F75" s="218">
        <f>Controlli!G49</f>
        <v>0.59499999999999997</v>
      </c>
      <c r="G75" s="196" t="str">
        <f>"Copre: Tutti i rilasci pianificati, con test, backup e rollback.   Non copre: Gli interventi d'emergenza fuori processo.   →  copertura "&amp;TEXT(D75,"0%")</f>
        <v>Copre: Tutti i rilasci pianificati, con test, backup e rollback.   Non copre: Gli interventi d'emergenza fuori processo.   →  copertura 85%</v>
      </c>
      <c r="H75" s="196" t="str">
        <f>"Su 10 casi in cui serve funziona ~"&amp;ROUND(E75*10,0)&amp;" volte su 10 ("&amp;TEXT(E75,"0%")&amp;").   "&amp;IF(E75&gt;=0.95,"Deterministico o proprietà dell'architettura: nei casi coperti funziona sempre",IF(E75&gt;=0.85,"Automatico, ma dipende da configurazione e soglie tarate correttamente",IF(E75&gt;=0.7,"Procedurale: funziona se la procedura è seguita, e lascia evidenza documentale",IF(E75&gt;=0.5,"Dipende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75" s="197" t="str">
        <f>"Blocca, previene o mitiga direttamente il rischio nel flusso operativo?   →   "&amp;C75&amp;CHAR(10)&amp;"Se lo togliessi: Le modifiche al modello non sarebbero più autorizzate: rischio scoperto"</f>
        <v>Blocca, previene o mitiga direttamente il rischio nel flusso operativo?   →   Primario
Se lo togliessi: Le modifiche al modello non sarebbero più autorizzate: rischio scoperto</v>
      </c>
    </row>
    <row r="76" spans="1:9" ht="45">
      <c r="A76" s="193" t="s">
        <v>117</v>
      </c>
      <c r="B76" s="194" t="s">
        <v>724</v>
      </c>
      <c r="C76" s="199" t="str">
        <f>Controlli!H50</f>
        <v>Secondario</v>
      </c>
      <c r="D76" s="218">
        <f>Controlli!E50</f>
        <v>0.7</v>
      </c>
      <c r="E76" s="218">
        <f>Controlli!F50</f>
        <v>0.85</v>
      </c>
      <c r="F76" s="218">
        <f>Controlli!G50</f>
        <v>0.59499999999999997</v>
      </c>
      <c r="G76" s="196" t="str">
        <f>"Copre: La registrazione degli eventi rilevanti.   Non copre: L'evento in sé: rileva, non previene.   →  copertura "&amp;TEXT(D76,"0%")</f>
        <v>Copre: La registrazione degli eventi rilevanti.   Non copre: L'evento in sé: rileva, non previene.   →  copertura 70%</v>
      </c>
      <c r="H76" s="196" t="str">
        <f>"Su 10 casi in cui serve funziona ~"&amp;ROUND(E76*10,0)&amp;" volte su 10 ("&amp;TEXT(E76,"0%")&amp;").   "&amp;IF(E76&gt;=0.95,"Deterministico o proprietà dell'architettura: nei casi coperti funziona sempre",IF(E76&gt;=0.85,"Automatico, ma dipende da configurazione e soglie tarate correttamente",IF(E76&gt;=0.7,"Procedurale: funziona se la procedura è seguita, e lascia evidenza documentale",IF(E76&gt;=0.5,"Dipende dall'attenzione o dalla decisione di una persona nel momento dell'evento","Dipende dalla volontà di un terzo di segnalare o dichiarare"))))</f>
        <v>Su 10 casi in cui serve funziona ~9 volte su 10 (85%).   Automatico, ma dipende da configurazione e soglie tarate correttamente</v>
      </c>
      <c r="I76" s="197" t="str">
        <f>"Rileva i guasti, monitora l'efficacia dei primari, garantisce ripristino o correzione?   →   "&amp;C76&amp;CHAR(10)&amp;"Se lo togliessi: Si perderebbe la ricostruzione di chi ha modificato cosa"</f>
        <v>Rileva i guasti, monitora l'efficacia dei primari, garantisce ripristino o correzione?   →   Secondario
Se lo togliessi: Si perderebbe la ricostruzione di chi ha modificato cosa</v>
      </c>
    </row>
    <row r="77" spans="1:9">
      <c r="A77" s="200" t="str">
        <f>"RISCHIO "&amp;Tabella!A18&amp;" — "&amp;Tabella!B18</f>
        <v>RISCHIO 17 — SEC-MALWARE</v>
      </c>
      <c r="B77" s="201"/>
      <c r="C77" s="201"/>
      <c r="D77" s="202"/>
      <c r="E77" s="202"/>
      <c r="F77" s="217"/>
      <c r="G77" s="201"/>
      <c r="H77" s="201"/>
      <c r="I77" s="203"/>
    </row>
    <row r="78" spans="1:9" ht="45">
      <c r="A78" s="193" t="s">
        <v>155</v>
      </c>
      <c r="B78" s="194" t="s">
        <v>724</v>
      </c>
      <c r="C78" s="195" t="str">
        <f>Controlli!H51</f>
        <v>Primario</v>
      </c>
      <c r="D78" s="218">
        <f>Controlli!E51</f>
        <v>0.95</v>
      </c>
      <c r="E78" s="218">
        <f>Controlli!F51</f>
        <v>0.95</v>
      </c>
      <c r="F78" s="218">
        <f>Controlli!G51</f>
        <v>0.90249999999999997</v>
      </c>
      <c r="G78" s="196" t="str">
        <f>"Copre: Tutti gli attacchi che arrivano dall'esterno.   Non copre: Le minacce che nascono dentro la rete interna.   →  copertura "&amp;TEXT(D78,"0%")</f>
        <v>Copre: Tutti gli attacchi che arrivano dall'esterno.   Non copre: Le minacce che nascono dentro la rete interna.   →  copertura 95%</v>
      </c>
      <c r="H78" s="196" t="str">
        <f>"Su 10 casi in cui serve funziona ~"&amp;ROUND(E78*10,0)&amp;" volte su 10 ("&amp;TEXT(E78,"0%")&amp;").   "&amp;IF(E78&gt;=0.95,"Deterministico o proprietà dell'architettura: nei casi coperti funziona sempre",IF(E78&gt;=0.85,"Automatico, ma dipende da configurazione e soglie tarate correttamente",IF(E78&gt;=0.7,"Procedurale: funziona se la procedura è seguita, e lascia evidenza documentale",IF(E78&gt;=0.5,"Dipende dall'attenzione o dalla decisione di una persona nel momento dell'evento","Dipende dalla volontà di un terzo di segnalare o dichiarare"))))</f>
        <v>Su 10 casi in cui serve funziona ~10 volte su 10 (95%).   Deterministico o proprietà dell'architettura: nei casi coperti funziona sempre</v>
      </c>
      <c r="I78" s="197" t="str">
        <f>"Blocca, previene o mitiga direttamente il rischio nel flusso operativo?   →   "&amp;C78&amp;CHAR(10)&amp;"Se lo togliessi: Il sistema sarebbe esposto ai vettori di infezione: rischio scoperto"</f>
        <v>Blocca, previene o mitiga direttamente il rischio nel flusso operativo?   →   Primario
Se lo togliessi: Il sistema sarebbe esposto ai vettori di infezione: rischio scoperto</v>
      </c>
    </row>
    <row r="79" spans="1:9" ht="60">
      <c r="A79" s="193" t="s">
        <v>170</v>
      </c>
      <c r="B79" s="198" t="s">
        <v>716</v>
      </c>
      <c r="C79" s="195" t="str">
        <f>Controlli!H52</f>
        <v>Primario</v>
      </c>
      <c r="D79" s="218">
        <f>Controlli!E52</f>
        <v>0.5</v>
      </c>
      <c r="E79" s="218">
        <f>Controlli!F52</f>
        <v>0.7</v>
      </c>
      <c r="F79" s="218">
        <f>Controlli!G52</f>
        <v>0.35</v>
      </c>
      <c r="G79" s="196" t="str">
        <f>"Copre: I componenti con manutenzione attiva.   Non copre: Quelli non più supportati.   →  copertura "&amp;TEXT(D79,"0%")</f>
        <v>Copre: I componenti con manutenzione attiva.   Non copre: Quelli non più supportati.   →  copertura 50%</v>
      </c>
      <c r="H79" s="196" t="str">
        <f>"Su 10 casi in cui serve funziona ~"&amp;ROUND(E79*10,0)&amp;" volte su 10 ("&amp;TEXT(E79,"0%")&amp;").   "&amp;IF(E79&gt;=0.95,"Deterministico o proprietà dell'architettura: nei casi coperti funziona sempre",IF(E79&gt;=0.85,"Automatico, ma dipende da configurazione e soglie tarate correttamente",IF(E79&gt;=0.7,"Procedurale: funziona se la procedura è seguita, e lascia evidenza documentale",IF(E79&gt;=0.5,"Dipende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79" s="197" t="str">
        <f>"Blocca, previene o mitiga direttamente il rischio nel flusso operativo?   →   "&amp;C79&amp;CHAR(10)&amp;"Se lo togliessi: I componenti vulnerabili resterebbero attaccabili: rischio scoperto"</f>
        <v>Blocca, previene o mitiga direttamente il rischio nel flusso operativo?   →   Primario
Se lo togliessi: I componenti vulnerabili resterebbero attaccabili: rischio scoperto</v>
      </c>
    </row>
    <row r="80" spans="1:9" ht="60">
      <c r="A80" s="193" t="s">
        <v>119</v>
      </c>
      <c r="B80" s="194" t="s">
        <v>724</v>
      </c>
      <c r="C80" s="199" t="str">
        <f>Controlli!H53</f>
        <v>Secondario</v>
      </c>
      <c r="D80" s="218">
        <f>Controlli!E53</f>
        <v>0.85</v>
      </c>
      <c r="E80" s="218">
        <f>Controlli!F53</f>
        <v>0.85</v>
      </c>
      <c r="F80" s="218">
        <f>Controlli!G53</f>
        <v>0.72249999999999992</v>
      </c>
      <c r="G80" s="196" t="str">
        <f>"Copre: Il recupero dei dati fino all'ultimo backup.   Non copre: I dati prodotti dopo l'ultimo backup.   →  copertura "&amp;TEXT(D80,"0%")</f>
        <v>Copre: Il recupero dei dati fino all'ultimo backup.   Non copre: I dati prodotti dopo l'ultimo backup.   →  copertura 85%</v>
      </c>
      <c r="H80" s="196" t="str">
        <f>"Su 10 casi in cui serve funziona ~"&amp;ROUND(E80*10,0)&amp;" volte su 10 ("&amp;TEXT(E80,"0%")&amp;").   "&amp;IF(E80&gt;=0.95,"Deterministico o proprietà dell'architettura: nei casi coperti funziona sempre",IF(E80&gt;=0.85,"Automatico, ma dipende da configurazione e soglie tarate correttamente",IF(E80&gt;=0.7,"Procedurale: funziona se la procedura è seguita, e lascia evidenza documentale",IF(E80&gt;=0.5,"Dipende dall'attenzione o dalla decisione di una persona nel momento dell'evento","Dipende dalla volontà di un terzo di segnalare o dichiarare"))))</f>
        <v>Su 10 casi in cui serve funziona ~9 volte su 10 (85%).   Automatico, ma dipende da configurazione e soglie tarate correttamente</v>
      </c>
      <c r="I80" s="197" t="str">
        <f>"Rileva i guasti, monitora l'efficacia dei primari, garantisce ripristino o correzione?   →   "&amp;C80&amp;CHAR(10)&amp;"Se lo togliessi: Nessun ripristino dopo l'infezione, ma segmentazione e aggiornamenti restano"</f>
        <v>Rileva i guasti, monitora l'efficacia dei primari, garantisce ripristino o correzione?   →   Secondario
Se lo togliessi: Nessun ripristino dopo l'infezione, ma segmentazione e aggiornamenti restano</v>
      </c>
    </row>
    <row r="81" spans="1:9" ht="45">
      <c r="A81" s="193" t="s">
        <v>117</v>
      </c>
      <c r="B81" s="194" t="s">
        <v>724</v>
      </c>
      <c r="C81" s="199" t="str">
        <f>Controlli!H54</f>
        <v>Secondario</v>
      </c>
      <c r="D81" s="218">
        <f>Controlli!E54</f>
        <v>0.7</v>
      </c>
      <c r="E81" s="218">
        <f>Controlli!F54</f>
        <v>0.85</v>
      </c>
      <c r="F81" s="218">
        <f>Controlli!G54</f>
        <v>0.59499999999999997</v>
      </c>
      <c r="G81" s="196" t="str">
        <f>"Copre: La registrazione degli eventi rilevanti.   Non copre: L'evento in sé: rileva, non previene.   →  copertura "&amp;TEXT(D81,"0%")</f>
        <v>Copre: La registrazione degli eventi rilevanti.   Non copre: L'evento in sé: rileva, non previene.   →  copertura 70%</v>
      </c>
      <c r="H81" s="196" t="str">
        <f>"Su 10 casi in cui serve funziona ~"&amp;ROUND(E81*10,0)&amp;" volte su 10 ("&amp;TEXT(E81,"0%")&amp;").   "&amp;IF(E81&gt;=0.95,"Deterministico o proprietà dell'architettura: nei casi coperti funziona sempre",IF(E81&gt;=0.85,"Automatico, ma dipende da configurazione e soglie tarate correttamente",IF(E81&gt;=0.7,"Procedurale: funziona se la procedura è seguita, e lascia evidenza documentale",IF(E81&gt;=0.5,"Dipende dall'attenzione o dalla decisione di una persona nel momento dell'evento","Dipende dalla volontà di un terzo di segnalare o dichiarare"))))</f>
        <v>Su 10 casi in cui serve funziona ~9 volte su 10 (85%).   Automatico, ma dipende da configurazione e soglie tarate correttamente</v>
      </c>
      <c r="I81" s="197" t="str">
        <f>"Rileva i guasti, monitora l'efficacia dei primari, garantisce ripristino o correzione?   →   "&amp;C81&amp;CHAR(10)&amp;"Se lo togliessi: L'attività anomala non verrebbe rilevata; i primari restano"</f>
        <v>Rileva i guasti, monitora l'efficacia dei primari, garantisce ripristino o correzione?   →   Secondario
Se lo togliessi: L'attività anomala non verrebbe rilevata; i primari restano</v>
      </c>
    </row>
    <row r="82" spans="1:9" ht="30">
      <c r="A82" s="200" t="str">
        <f>"RISCHIO "&amp;Tabella!A19&amp;" — "&amp;Tabella!B19</f>
        <v>RISCHIO 18 — SEC-DENIAL-OF-SERVICE</v>
      </c>
      <c r="B82" s="201"/>
      <c r="C82" s="201"/>
      <c r="D82" s="202"/>
      <c r="E82" s="202"/>
      <c r="F82" s="217"/>
      <c r="G82" s="201"/>
      <c r="H82" s="201"/>
      <c r="I82" s="203"/>
    </row>
    <row r="83" spans="1:9" ht="60">
      <c r="A83" s="193" t="s">
        <v>155</v>
      </c>
      <c r="B83" s="194" t="s">
        <v>724</v>
      </c>
      <c r="C83" s="195" t="str">
        <f>Controlli!H55</f>
        <v>Primario</v>
      </c>
      <c r="D83" s="218">
        <f>Controlli!E55</f>
        <v>0.95</v>
      </c>
      <c r="E83" s="218">
        <f>Controlli!F55</f>
        <v>0.95</v>
      </c>
      <c r="F83" s="218">
        <f>Controlli!G55</f>
        <v>0.90249999999999997</v>
      </c>
      <c r="G83" s="196" t="str">
        <f>"Copre: Tutti gli attacchi che arrivano dall'esterno.   Non copre: Le minacce che nascono dentro la rete interna.   →  copertura "&amp;TEXT(D83,"0%")</f>
        <v>Copre: Tutti gli attacchi che arrivano dall'esterno.   Non copre: Le minacce che nascono dentro la rete interna.   →  copertura 95%</v>
      </c>
      <c r="H83" s="196" t="str">
        <f>"Su 10 casi in cui serve funziona ~"&amp;ROUND(E83*10,0)&amp;" volte su 10 ("&amp;TEXT(E83,"0%")&amp;").   "&amp;IF(E83&gt;=0.95,"Deterministico o proprietà dell'architettura: nei casi coperti funziona sempre",IF(E83&gt;=0.85,"Automatico, ma dipende da configurazione e soglie tarate correttamente",IF(E83&gt;=0.7,"Procedurale: funziona se la procedura è seguita, e lascia evidenza documentale",IF(E83&gt;=0.5,"Dipende dall'attenzione o dalla decisione di una persona nel momento dell'evento","Dipende dalla volontà di un terzo di segnalare o dichiarare"))))</f>
        <v>Su 10 casi in cui serve funziona ~10 volte su 10 (95%).   Deterministico o proprietà dell'architettura: nei casi coperti funziona sempre</v>
      </c>
      <c r="I83" s="197" t="str">
        <f>"Blocca, previene o mitiga direttamente il rischio nel flusso operativo?   →   "&amp;C83&amp;CHAR(10)&amp;"Se lo togliessi: Il sistema diventerebbe esposto e saturabile dall'esterno: rischio scoperto"</f>
        <v>Blocca, previene o mitiga direttamente il rischio nel flusso operativo?   →   Primario
Se lo togliessi: Il sistema diventerebbe esposto e saturabile dall'esterno: rischio scoperto</v>
      </c>
    </row>
    <row r="84" spans="1:9" ht="60">
      <c r="A84" s="193" t="s">
        <v>102</v>
      </c>
      <c r="B84" s="194" t="s">
        <v>724</v>
      </c>
      <c r="C84" s="199" t="str">
        <f>Controlli!H56</f>
        <v>Secondario</v>
      </c>
      <c r="D84" s="218">
        <f>Controlli!E56</f>
        <v>0.7</v>
      </c>
      <c r="E84" s="218">
        <f>Controlli!F56</f>
        <v>0.85</v>
      </c>
      <c r="F84" s="218">
        <f>Controlli!G56</f>
        <v>0.59499999999999997</v>
      </c>
      <c r="G84" s="196" t="str">
        <f>"Copre: I degradi misurabili di prestazioni e latenza.   Non copre: Il degrado che non supera le soglie impostate.   →  copertura "&amp;TEXT(D84,"0%")</f>
        <v>Copre: I degradi misurabili di prestazioni e latenza.   Non copre: Il degrado che non supera le soglie impostate.   →  copertura 70%</v>
      </c>
      <c r="H84" s="196" t="str">
        <f>"Su 10 casi in cui serve funziona ~"&amp;ROUND(E84*10,0)&amp;" volte su 10 ("&amp;TEXT(E84,"0%")&amp;").   "&amp;IF(E84&gt;=0.95,"Deterministico o proprietà dell'architettura: nei casi coperti funziona sempre",IF(E84&gt;=0.85,"Automatico, ma dipende da configurazione e soglie tarate correttamente",IF(E84&gt;=0.7,"Procedurale: funziona se la procedura è seguita, e lascia evidenza documentale",IF(E84&gt;=0.5,"Dipende dall'attenzione o dalla decisione di una persona nel momento dell'evento","Dipende dalla volontà di un terzo di segnalare o dichiarare"))))</f>
        <v>Su 10 casi in cui serve funziona ~9 volte su 10 (85%).   Automatico, ma dipende da configurazione e soglie tarate correttamente</v>
      </c>
      <c r="I84" s="197" t="str">
        <f>"Rileva i guasti, monitora l'efficacia dei primari, garantisce ripristino o correzione?   →   "&amp;C84&amp;CHAR(10)&amp;"Se lo togliessi: Non si distinguerebbe l'attacco dal degrado normale, ma l'isolamento resta"</f>
        <v>Rileva i guasti, monitora l'efficacia dei primari, garantisce ripristino o correzione?   →   Secondario
Se lo togliessi: Non si distinguerebbe l'attacco dal degrado normale, ma l'isolamento resta</v>
      </c>
    </row>
    <row r="85" spans="1:9" ht="30">
      <c r="A85" s="200" t="str">
        <f>"RISCHIO "&amp;Tabella!A20&amp;" — "&amp;Tabella!B20</f>
        <v>RISCHIO 19 — CONT-ENVIRONMENTAL-EXPOSURE</v>
      </c>
      <c r="B85" s="201"/>
      <c r="C85" s="201"/>
      <c r="D85" s="202"/>
      <c r="E85" s="202"/>
      <c r="F85" s="217"/>
      <c r="G85" s="201"/>
      <c r="H85" s="201"/>
      <c r="I85" s="203"/>
    </row>
    <row r="86" spans="1:9" ht="30">
      <c r="A86" s="193" t="s">
        <v>176</v>
      </c>
      <c r="B86" s="206" t="s">
        <v>723</v>
      </c>
      <c r="C86" s="209" t="str">
        <f>Controlli!H57</f>
        <v>Nessuno</v>
      </c>
      <c r="D86" s="218">
        <f>Controlli!E57</f>
        <v>0</v>
      </c>
      <c r="E86" s="218">
        <f>Controlli!F57</f>
        <v>0</v>
      </c>
      <c r="F86" s="218">
        <f>Controlli!G57</f>
        <v>0</v>
      </c>
      <c r="G86" s="196" t="str">
        <f>"Copre: Nulla.   Non copre: Tutti gli scenari del rischio.   →  copertura "&amp;TEXT(D86,"0%")</f>
        <v>Copre: Nulla.   Non copre: Tutti gli scenari del rischio.   →  copertura 0%</v>
      </c>
      <c r="H86" s="196" t="str">
        <f>"Nessun controllo in essere: nulla da valutare."</f>
        <v>Nessun controllo in essere: nulla da valutare.</v>
      </c>
      <c r="I86" s="197" t="str">
        <f>"Nessun controllo in essere?   →   "&amp;C86&amp;CHAR(10)&amp;"Se lo togliessi: Non c'è nulla da togliere: il rischio è scoperto e va trasferito"</f>
        <v>Nessun controllo in essere?   →   Nessuno
Se lo togliessi: Non c'è nulla da togliere: il rischio è scoperto e va trasferito</v>
      </c>
    </row>
    <row r="87" spans="1:9" ht="45">
      <c r="A87" s="200" t="str">
        <f>"RISCHIO "&amp;Tabella!A21&amp;" — "&amp;Tabella!B21</f>
        <v>RISCHIO 20 — CONT-INFRASTRUCTURE-EQUIPMENT-FAILURE</v>
      </c>
      <c r="B87" s="201"/>
      <c r="C87" s="201"/>
      <c r="D87" s="202"/>
      <c r="E87" s="202"/>
      <c r="F87" s="217"/>
      <c r="G87" s="201"/>
      <c r="H87" s="201"/>
      <c r="I87" s="203"/>
    </row>
    <row r="88" spans="1:9" ht="30">
      <c r="A88" s="193" t="s">
        <v>176</v>
      </c>
      <c r="B88" s="206" t="s">
        <v>723</v>
      </c>
      <c r="C88" s="209" t="str">
        <f>Controlli!H58</f>
        <v>Nessuno</v>
      </c>
      <c r="D88" s="218">
        <f>Controlli!E58</f>
        <v>0</v>
      </c>
      <c r="E88" s="218">
        <f>Controlli!F58</f>
        <v>0</v>
      </c>
      <c r="F88" s="218">
        <f>Controlli!G58</f>
        <v>0</v>
      </c>
      <c r="G88" s="196" t="str">
        <f>"Copre: Nulla.   Non copre: Tutti gli scenari del rischio.   →  copertura "&amp;TEXT(D88,"0%")</f>
        <v>Copre: Nulla.   Non copre: Tutti gli scenari del rischio.   →  copertura 0%</v>
      </c>
      <c r="H88" s="196" t="str">
        <f>"Nessun controllo in essere: nulla da valutare."</f>
        <v>Nessun controllo in essere: nulla da valutare.</v>
      </c>
      <c r="I88" s="197" t="str">
        <f>"Nessun controllo in essere?   →   "&amp;C88&amp;CHAR(10)&amp;"Se lo togliessi: Non c'è nulla da togliere: il rischio è scoperto e va trasferito"</f>
        <v>Nessun controllo in essere?   →   Nessuno
Se lo togliessi: Non c'è nulla da togliere: il rischio è scoperto e va trasferito</v>
      </c>
    </row>
    <row r="89" spans="1:9" ht="45">
      <c r="A89" s="200" t="str">
        <f>"RISCHIO "&amp;Tabella!A22&amp;" — "&amp;Tabella!B22</f>
        <v>RISCHIO 21 — CONT-UNAUTHORIZED-PHYSICAL-ACCESS</v>
      </c>
      <c r="B89" s="201"/>
      <c r="C89" s="201"/>
      <c r="D89" s="202"/>
      <c r="E89" s="202"/>
      <c r="F89" s="217"/>
      <c r="G89" s="201"/>
      <c r="H89" s="201"/>
      <c r="I89" s="203"/>
    </row>
    <row r="90" spans="1:9" ht="30">
      <c r="A90" s="193" t="s">
        <v>176</v>
      </c>
      <c r="B90" s="206" t="s">
        <v>723</v>
      </c>
      <c r="C90" s="209" t="str">
        <f>Controlli!H59</f>
        <v>Nessuno</v>
      </c>
      <c r="D90" s="218">
        <f>Controlli!E59</f>
        <v>0</v>
      </c>
      <c r="E90" s="218">
        <f>Controlli!F59</f>
        <v>0</v>
      </c>
      <c r="F90" s="218">
        <f>Controlli!G59</f>
        <v>0</v>
      </c>
      <c r="G90" s="196" t="str">
        <f>"Copre: Nulla.   Non copre: Tutti gli scenari del rischio.   →  copertura "&amp;TEXT(D90,"0%")</f>
        <v>Copre: Nulla.   Non copre: Tutti gli scenari del rischio.   →  copertura 0%</v>
      </c>
      <c r="H90" s="196" t="str">
        <f>"Nessun controllo in essere: nulla da valutare."</f>
        <v>Nessun controllo in essere: nulla da valutare.</v>
      </c>
      <c r="I90" s="197" t="str">
        <f>"Nessun controllo in essere?   →   "&amp;C90&amp;CHAR(10)&amp;"Se lo togliessi: Non c'è nulla da togliere: il rischio è scoperto e va trasferito"</f>
        <v>Nessun controllo in essere?   →   Nessuno
Se lo togliessi: Non c'è nulla da togliere: il rischio è scoperto e va trasferito</v>
      </c>
    </row>
    <row r="91" spans="1:9" ht="30">
      <c r="A91" s="200" t="str">
        <f>"RISCHIO "&amp;Tabella!A23&amp;" — "&amp;Tabella!B23</f>
        <v>RISCHIO 22 — CONT-STAFF-UNAVAILABILITY</v>
      </c>
      <c r="B91" s="201"/>
      <c r="C91" s="201"/>
      <c r="D91" s="202"/>
      <c r="E91" s="202"/>
      <c r="F91" s="217"/>
      <c r="G91" s="201"/>
      <c r="H91" s="201"/>
      <c r="I91" s="203"/>
    </row>
    <row r="92" spans="1:9" ht="30">
      <c r="A92" s="193" t="s">
        <v>176</v>
      </c>
      <c r="B92" s="206" t="s">
        <v>723</v>
      </c>
      <c r="C92" s="209" t="str">
        <f>Controlli!H60</f>
        <v>Nessuno</v>
      </c>
      <c r="D92" s="218">
        <f>Controlli!E60</f>
        <v>0</v>
      </c>
      <c r="E92" s="218">
        <f>Controlli!F60</f>
        <v>0</v>
      </c>
      <c r="F92" s="218">
        <f>Controlli!G60</f>
        <v>0</v>
      </c>
      <c r="G92" s="196" t="str">
        <f>"Copre: Nulla.   Non copre: Tutti gli scenari del rischio.   →  copertura "&amp;TEXT(D92,"0%")</f>
        <v>Copre: Nulla.   Non copre: Tutti gli scenari del rischio.   →  copertura 0%</v>
      </c>
      <c r="H92" s="196" t="str">
        <f>"Nessun controllo in essere: nulla da valutare."</f>
        <v>Nessun controllo in essere: nulla da valutare.</v>
      </c>
      <c r="I92" s="197" t="str">
        <f>"Nessun controllo in essere?   →   "&amp;C92&amp;CHAR(10)&amp;"Se lo togliessi: Non c'è nulla da togliere: il rischio è scoperto e va trasferito"</f>
        <v>Nessun controllo in essere?   →   Nessuno
Se lo togliessi: Non c'è nulla da togliere: il rischio è scoperto e va trasferito</v>
      </c>
    </row>
    <row r="93" spans="1:9" ht="30">
      <c r="A93" s="200" t="str">
        <f>"RISCHIO "&amp;Tabella!A24&amp;" — "&amp;Tabella!B24</f>
        <v>RISCHIO 23 — PRIV-UNLAWFUL-DATA-PROCESSING_GDPR</v>
      </c>
      <c r="B93" s="201"/>
      <c r="C93" s="201"/>
      <c r="D93" s="202"/>
      <c r="E93" s="202"/>
      <c r="F93" s="217"/>
      <c r="G93" s="201"/>
      <c r="H93" s="201"/>
      <c r="I93" s="203"/>
    </row>
    <row r="94" spans="1:9" ht="45">
      <c r="A94" s="193" t="s">
        <v>177</v>
      </c>
      <c r="B94" s="194" t="s">
        <v>724</v>
      </c>
      <c r="C94" s="195" t="str">
        <f>Controlli!H61</f>
        <v>Primario</v>
      </c>
      <c r="D94" s="218">
        <f>Controlli!E61</f>
        <v>0.85</v>
      </c>
      <c r="E94" s="218">
        <f>Controlli!F61</f>
        <v>0.95</v>
      </c>
      <c r="F94" s="218">
        <f>Controlli!G61</f>
        <v>0.8075</v>
      </c>
      <c r="G94" s="196" t="str">
        <f>"Copre: Tutti gli accessi alle immagini.   Non copre: L'uso improprio da parte di chi è autorizzato.   →  copertura "&amp;TEXT(D94,"0%")</f>
        <v>Copre: Tutti gli accessi alle immagini.   Non copre: L'uso improprio da parte di chi è autorizzato.   →  copertura 85%</v>
      </c>
      <c r="H94" s="196" t="str">
        <f>"Su 10 casi in cui serve funziona ~"&amp;ROUND(E94*10,0)&amp;" volte su 10 ("&amp;TEXT(E94,"0%")&amp;").   "&amp;IF(E94&gt;=0.95,"Deterministico o proprietà dell'architettura: nei casi coperti funziona sempre",IF(E94&gt;=0.85,"Automatico, ma dipende da configurazione e soglie tarate correttamente",IF(E94&gt;=0.7,"Procedurale: funziona se la procedura è seguita, e lascia evidenza documentale",IF(E94&gt;=0.5,"Dipende dall'attenzione o dalla decisione di una persona nel momento dell'evento","Dipende dalla volontà di un terzo di segnalare o dichiarare"))))</f>
        <v>Su 10 casi in cui serve funziona ~10 volte su 10 (95%).   Deterministico o proprietà dell'architettura: nei casi coperti funziona sempre</v>
      </c>
      <c r="I94" s="197" t="str">
        <f>"Blocca, previene o mitiga direttamente il rischio nel flusso operativo?   →   "&amp;C94&amp;CHAR(10)&amp;"Se lo togliessi: Le immagini sarebbero accessibili a tutti: rischio scoperto"</f>
        <v>Blocca, previene o mitiga direttamente il rischio nel flusso operativo?   →   Primario
Se lo togliessi: Le immagini sarebbero accessibili a tutti: rischio scoperto</v>
      </c>
    </row>
    <row r="95" spans="1:9" ht="45">
      <c r="A95" s="193" t="s">
        <v>179</v>
      </c>
      <c r="B95" s="194" t="s">
        <v>724</v>
      </c>
      <c r="C95" s="195" t="str">
        <f>Controlli!H62</f>
        <v>Primario</v>
      </c>
      <c r="D95" s="218">
        <f>Controlli!E62</f>
        <v>0.95</v>
      </c>
      <c r="E95" s="218">
        <f>Controlli!F62</f>
        <v>0.95</v>
      </c>
      <c r="F95" s="218">
        <f>Controlli!G62</f>
        <v>0.90249999999999997</v>
      </c>
      <c r="G95" s="196" t="str">
        <f>"Copre: Tutte le notifiche in uscita.   Non copre: Le immagini consultate dentro il sistema.   →  copertura "&amp;TEXT(D95,"0%")</f>
        <v>Copre: Tutte le notifiche in uscita.   Non copre: Le immagini consultate dentro il sistema.   →  copertura 95%</v>
      </c>
      <c r="H95" s="196" t="str">
        <f>"Su 10 casi in cui serve funziona ~"&amp;ROUND(E95*10,0)&amp;" volte su 10 ("&amp;TEXT(E95,"0%")&amp;").   "&amp;IF(E95&gt;=0.95,"Deterministico o proprietà dell'architettura: nei casi coperti funziona sempre",IF(E95&gt;=0.85,"Automatico, ma dipende da configurazione e soglie tarate correttamente",IF(E95&gt;=0.7,"Procedurale: funziona se la procedura è seguita, e lascia evidenza documentale",IF(E95&gt;=0.5,"Dipende dall'attenzione o dalla decisione di una persona nel momento dell'evento","Dipende dalla volontà di un terzo di segnalare o dichiarare"))))</f>
        <v>Su 10 casi in cui serve funziona ~10 volte su 10 (95%).   Deterministico o proprietà dell'architettura: nei casi coperti funziona sempre</v>
      </c>
      <c r="I95" s="197" t="str">
        <f>"Blocca, previene o mitiga direttamente il rischio nel flusso operativo?   →   "&amp;C95&amp;CHAR(10)&amp;"Se lo togliessi: Le notifiche uscirebbero con dati identificativi: rischio scoperto"</f>
        <v>Blocca, previene o mitiga direttamente il rischio nel flusso operativo?   →   Primario
Se lo togliessi: Le notifiche uscirebbero con dati identificativi: rischio scoperto</v>
      </c>
    </row>
    <row r="96" spans="1:9" ht="60">
      <c r="A96" s="193" t="s">
        <v>181</v>
      </c>
      <c r="B96" s="198" t="s">
        <v>716</v>
      </c>
      <c r="C96" s="199" t="str">
        <f>Controlli!H63</f>
        <v>Secondario</v>
      </c>
      <c r="D96" s="218">
        <f>Controlli!E63</f>
        <v>0.5</v>
      </c>
      <c r="E96" s="218">
        <f>Controlli!F63</f>
        <v>0.7</v>
      </c>
      <c r="F96" s="218">
        <f>Controlli!G63</f>
        <v>0.35</v>
      </c>
      <c r="G96" s="196" t="str">
        <f>"Copre: Le condizioni d'uso controllate a campione.   Non copre: Ciò che il campione non tocca.   →  copertura "&amp;TEXT(D96,"0%")</f>
        <v>Copre: Le condizioni d'uso controllate a campione.   Non copre: Ciò che il campione non tocca.   →  copertura 50%</v>
      </c>
      <c r="H96" s="196" t="str">
        <f>"Su 10 casi in cui serve funziona ~"&amp;ROUND(E96*10,0)&amp;" volte su 10 ("&amp;TEXT(E96,"0%")&amp;").   "&amp;IF(E96&gt;=0.95,"Deterministico o proprietà dell'architettura: nei casi coperti funziona sempre",IF(E96&gt;=0.85,"Automatico, ma dipende da configurazione e soglie tarate correttamente",IF(E96&gt;=0.7,"Procedurale: funziona se la procedura è seguita, e lascia evidenza documentale",IF(E96&gt;=0.5,"Dipende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96" s="197" t="str">
        <f>"Rileva i guasti, monitora l'efficacia dei primari, garantisce ripristino o correzione?   →   "&amp;C96&amp;CHAR(10)&amp;"Se lo togliessi: Nessun controllo sulle condizioni d'uso dei dataset; i primari restano"</f>
        <v>Rileva i guasti, monitora l'efficacia dei primari, garantisce ripristino o correzione?   →   Secondario
Se lo togliessi: Nessun controllo sulle condizioni d'uso dei dataset; i primari restano</v>
      </c>
    </row>
    <row r="97" spans="1:9" ht="45">
      <c r="A97" s="193" t="s">
        <v>106</v>
      </c>
      <c r="B97" s="204" t="s">
        <v>717</v>
      </c>
      <c r="C97" s="205" t="str">
        <f>Controlli!H64</f>
        <v>Supporto</v>
      </c>
      <c r="D97" s="218">
        <f>Controlli!E64</f>
        <v>0.7</v>
      </c>
      <c r="E97" s="218">
        <f>Controlli!F64</f>
        <v>0.7</v>
      </c>
      <c r="F97" s="218">
        <f>Controlli!G64</f>
        <v>0.48999999999999994</v>
      </c>
      <c r="G97" s="196" t="str">
        <f>"Copre: la ricostruzione a posteriori di origine, base giuridica e utilizzo effettivo dei dati, per dimostrare la liceità del trattamento.   Non copre: il trattamento illecito in sé, che la registrazione non impedisce.   →  copertura "&amp;TEXT(D97,"0%")</f>
        <v>Copre: la ricostruzione a posteriori di origine, base giuridica e utilizzo effettivo dei dati, per dimostrare la liceità del trattamento.   Non copre: il trattamento illecito in sé, che la registrazione non impedisce.   →  copertura 70%</v>
      </c>
      <c r="H97" s="196" t="s">
        <v>752</v>
      </c>
      <c r="I97" s="197" t="str">
        <f>"Norma, processo amministrativo, governance o cultura che sostiene l'infrastruttura di controllo?   →   "&amp;C97&amp;CHAR(10)&amp;"Se lo togliessi: Non si potrebbe dimostrare la liceità dell'uso; i presidi restano"</f>
        <v>Norma, processo amministrativo, governance o cultura che sostiene l'infrastruttura di controllo?   →   Supporto
Se lo togliessi: Non si potrebbe dimostrare la liceità dell'uso; i presidi restano</v>
      </c>
    </row>
    <row r="98" spans="1:9" ht="30">
      <c r="A98" s="200" t="str">
        <f>"RISCHIO "&amp;Tabella!A25&amp;" — "&amp;Tabella!B25</f>
        <v>RISCHIO 24 — PRIV-RETENTION-SUBJECT-RIGHTS_GDPR</v>
      </c>
      <c r="B98" s="201"/>
      <c r="C98" s="201"/>
      <c r="D98" s="202"/>
      <c r="E98" s="202"/>
      <c r="F98" s="217"/>
      <c r="G98" s="201"/>
      <c r="H98" s="201"/>
      <c r="I98" s="203"/>
    </row>
    <row r="99" spans="1:9" ht="60">
      <c r="A99" s="193" t="s">
        <v>184</v>
      </c>
      <c r="B99" s="194" t="s">
        <v>724</v>
      </c>
      <c r="C99" s="195" t="str">
        <f>Controlli!H65</f>
        <v>Primario</v>
      </c>
      <c r="D99" s="218">
        <f>Controlli!E65</f>
        <v>0.85</v>
      </c>
      <c r="E99" s="218">
        <f>Controlli!F65</f>
        <v>0.85</v>
      </c>
      <c r="F99" s="218">
        <f>Controlli!G65</f>
        <v>0.72249999999999992</v>
      </c>
      <c r="G99" s="196" t="str">
        <f>"Copre: Tutti i log e le immagini conservate.   Non copre: Le copie fuori dal perimetro definito.   →  copertura "&amp;TEXT(D99,"0%")</f>
        <v>Copre: Tutti i log e le immagini conservate.   Non copre: Le copie fuori dal perimetro definito.   →  copertura 85%</v>
      </c>
      <c r="H99" s="196" t="str">
        <f>"Su 10 casi in cui serve funziona ~"&amp;ROUND(E99*10,0)&amp;" volte su 10 ("&amp;TEXT(E99,"0%")&amp;").   "&amp;IF(E99&gt;=0.95,"Deterministico o proprietà dell'architettura: nei casi coperti funziona sempre",IF(E99&gt;=0.85,"Automatico, ma dipende da configurazione e soglie tarate correttamente",IF(E99&gt;=0.7,"Procedurale: funziona se la procedura è seguita, e lascia evidenza documentale",IF(E99&gt;=0.5,"Dipende dall'attenzione o dalla decisione di una persona nel momento dell'evento","Dipende dalla volontà di un terzo di segnalare o dichiarare"))))</f>
        <v>Su 10 casi in cui serve funziona ~9 volte su 10 (85%).   Automatico, ma dipende da configurazione e soglie tarate correttamente</v>
      </c>
      <c r="I99" s="197" t="str">
        <f>"Blocca, previene o mitiga direttamente il rischio nel flusso operativo?   →   "&amp;C99&amp;CHAR(10)&amp;"Se lo togliessi: I dati resterebbero conservati senza limite di tempo: rischio scoperto"</f>
        <v>Blocca, previene o mitiga direttamente il rischio nel flusso operativo?   →   Primario
Se lo togliessi: I dati resterebbero conservati senza limite di tempo: rischio scoperto</v>
      </c>
    </row>
    <row r="100" spans="1:9" ht="45">
      <c r="A100" s="193" t="s">
        <v>121</v>
      </c>
      <c r="B100" s="194" t="s">
        <v>724</v>
      </c>
      <c r="C100" s="195" t="str">
        <f>Controlli!H66</f>
        <v>Primario</v>
      </c>
      <c r="D100" s="218">
        <f>Controlli!E66</f>
        <v>0.95</v>
      </c>
      <c r="E100" s="218">
        <f>Controlli!F66</f>
        <v>0.95</v>
      </c>
      <c r="F100" s="218">
        <f>Controlli!G66</f>
        <v>0.90249999999999997</v>
      </c>
      <c r="G100" s="196" t="str">
        <f>"Copre: Tutti i dati e i log archiviati.   Non copre: Il dato in chiaro durante l'elaborazione.   →  copertura "&amp;TEXT(D100,"0%")</f>
        <v>Copre: Tutti i dati e i log archiviati.   Non copre: Il dato in chiaro durante l'elaborazione.   →  copertura 95%</v>
      </c>
      <c r="H100" s="196" t="str">
        <f>"Su 10 casi in cui serve funziona ~"&amp;ROUND(E100*10,0)&amp;" volte su 10 ("&amp;TEXT(E100,"0%")&amp;").   "&amp;IF(E100&gt;=0.95,"Deterministico o proprietà dell'architettura: nei casi coperti funziona sempre",IF(E100&gt;=0.85,"Automatico, ma dipende da configurazione e soglie tarate correttamente",IF(E100&gt;=0.7,"Procedurale: funziona se la procedura è seguita, e lascia evidenza documentale",IF(E100&gt;=0.5,"Dipende dall'attenzione o dalla decisione di una persona nel momento dell'evento","Dipende dalla volontà di un terzo di segnalare o dichiarare"))))</f>
        <v>Su 10 casi in cui serve funziona ~10 volte su 10 (95%).   Deterministico o proprietà dell'architettura: nei casi coperti funziona sempre</v>
      </c>
      <c r="I100" s="197" t="str">
        <f>"Blocca, previene o mitiga direttamente il rischio nel flusso operativo?   →   "&amp;C100&amp;CHAR(10)&amp;"Se lo togliessi: L'archivio sarebbe leggibile: rischio scoperto"</f>
        <v>Blocca, previene o mitiga direttamente il rischio nel flusso operativo?   →   Primario
Se lo togliessi: L'archivio sarebbe leggibile: rischio scoperto</v>
      </c>
    </row>
    <row r="101" spans="1:9" ht="60">
      <c r="A101" s="193" t="s">
        <v>187</v>
      </c>
      <c r="B101" s="204" t="s">
        <v>717</v>
      </c>
      <c r="C101" s="205" t="str">
        <f>Controlli!H67</f>
        <v>Supporto</v>
      </c>
      <c r="D101" s="218">
        <f>Controlli!E67</f>
        <v>0.7</v>
      </c>
      <c r="E101" s="218">
        <f>Controlli!F67</f>
        <v>0.7</v>
      </c>
      <c r="F101" s="218">
        <f>Controlli!G67</f>
        <v>0.48999999999999994</v>
      </c>
      <c r="G101" s="196" t="str">
        <f>"Copre: Le valutazioni e le scelte di conformità.   Non copre: Il trattamento quotidiano.   →  copertura "&amp;TEXT(D101,"0%")</f>
        <v>Copre: Le valutazioni e le scelte di conformità.   Non copre: Il trattamento quotidiano.   →  copertura 70%</v>
      </c>
      <c r="H101" s="196" t="str">
        <f>"Su 10 casi in cui serve funziona ~"&amp;ROUND(E101*10,0)&amp;" volte su 10 ("&amp;TEXT(E101,"0%")&amp;").   "&amp;IF(E101&gt;=0.95,"Deterministico o proprietà dell'architettura: nei casi coperti funziona sempre",IF(E101&gt;=0.85,"Automatico, ma dipende da configurazione e soglie tarate correttamente",IF(E101&gt;=0.7,"Procedurale: funziona se la procedura è seguita, e lascia evidenza documentale",IF(E101&gt;=0.5,"Dipende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101" s="197" t="str">
        <f>"Norma, processo amministrativo, governance o cultura che sostiene l'infrastruttura di controllo?   →   "&amp;C101&amp;CHAR(10)&amp;"Se lo togliessi: Si perderebbe il presidio di conformità sulle scelte; i processi restano"</f>
        <v>Norma, processo amministrativo, governance o cultura che sostiene l'infrastruttura di controllo?   →   Supporto
Se lo togliessi: Si perderebbe il presidio di conformità sulle scelte; i processi restano</v>
      </c>
    </row>
    <row r="102" spans="1:9" ht="75">
      <c r="A102" s="193" t="s">
        <v>189</v>
      </c>
      <c r="B102" s="198" t="s">
        <v>716</v>
      </c>
      <c r="C102" s="195" t="str">
        <f>Controlli!H68</f>
        <v>Secondario</v>
      </c>
      <c r="D102" s="218">
        <f>Controlli!E68</f>
        <v>0.5</v>
      </c>
      <c r="E102" s="218">
        <f>Controlli!F68</f>
        <v>0.7</v>
      </c>
      <c r="F102" s="218">
        <f>Controlli!G68</f>
        <v>0.35</v>
      </c>
      <c r="G102" s="196" t="str">
        <f>"Copre: le richieste effettivamente ricevute, tracciate e gestite nei termini di legge.   Non copre: gli interessati che non esercitano i propri diritti: il presidio è reattivo e si attiva solo su istanza.   →  copertura "&amp;TEXT(D102,"0%")</f>
        <v>Copre: le richieste effettivamente ricevute, tracciate e gestite nei termini di legge.   Non copre: gli interessati che non esercitano i propri diritti: il presidio è reattivo e si attiva solo su istanza.   →  copertura 50%</v>
      </c>
      <c r="H102" s="196" t="str">
        <f>"Su 10 casi in cui serve funziona ~"&amp;ROUND(E102*10,0)&amp;" volte su 10 ("&amp;TEXT(E102,"0%")&amp;").   "&amp;IF(E102&gt;=0.95,"Deterministico o proprietà dell'architettura: nei casi coperti funziona sempre",IF(E102&gt;=0.85,"Automatico, ma dipende da configurazione e soglie tarate correttamente",IF(E102&gt;=0.7,"Procedurale: funziona se la procedura è seguita, e lascia evidenza documentale",IF(E102&gt;=0.5,"Dipende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102" s="197" t="str">
        <f>"Rileva i guasti, monitora l'efficacia dei primari, garantisce ripristino o correzione?   →   "&amp;C102&amp;CHAR(10)&amp;"Se lo togliessi: le richieste degli interessati resterebbero senza risposta e senza correzione del dato, ma retention e cifratura continuano a limitare il trattamento"</f>
        <v>Rileva i guasti, monitora l'efficacia dei primari, garantisce ripristino o correzione?   →   Secondario
Se lo togliessi: le richieste degli interessati resterebbero senza risposta e senza correzione del dato, ma retention e cifratura continuano a limitare il trattamento</v>
      </c>
    </row>
    <row r="103" spans="1:9" ht="30">
      <c r="A103" s="200" t="str">
        <f>"RISCHIO "&amp;Tabella!A26&amp;" — "&amp;Tabella!B26</f>
        <v>RISCHIO 25 — SUP-SUPPLIER-DEPENDENCY_ISO</v>
      </c>
      <c r="B103" s="201"/>
      <c r="C103" s="201"/>
      <c r="D103" s="202"/>
      <c r="E103" s="202"/>
      <c r="F103" s="217"/>
      <c r="G103" s="201"/>
      <c r="H103" s="201"/>
      <c r="I103" s="203"/>
    </row>
    <row r="104" spans="1:9" ht="60">
      <c r="A104" s="193" t="s">
        <v>191</v>
      </c>
      <c r="B104" s="210" t="s">
        <v>725</v>
      </c>
      <c r="C104" s="195" t="str">
        <f>Controlli!H69</f>
        <v>Primario</v>
      </c>
      <c r="D104" s="218">
        <f>Controlli!E69</f>
        <v>0.5</v>
      </c>
      <c r="E104" s="218">
        <f>Controlli!F69</f>
        <v>0.85</v>
      </c>
      <c r="F104" s="218">
        <f>Controlli!G69</f>
        <v>0.42499999999999999</v>
      </c>
      <c r="G104" s="196" t="str">
        <f>"Copre: Le condizioni di fornitura del software.   Non copre: La dipendenza dal fornitore in sé.   →  copertura "&amp;TEXT(D104,"0%")</f>
        <v>Copre: Le condizioni di fornitura del software.   Non copre: La dipendenza dal fornitore in sé.   →  copertura 50%</v>
      </c>
      <c r="H104" s="196" t="s">
        <v>753</v>
      </c>
      <c r="I104" s="197" t="str">
        <f>"Blocca, previene o mitiga direttamente il rischio nel flusso operativo?   →   "&amp;C104&amp;CHAR(10)&amp;"Se lo togliessi: La fornitura non sarebbe più regolata da contratto: rischio scoperto"</f>
        <v>Blocca, previene o mitiga direttamente il rischio nel flusso operativo?   →   Primario
Se lo togliessi: La fornitura non sarebbe più regolata da contratto: rischio scoperto</v>
      </c>
    </row>
    <row r="105" spans="1:9" ht="45">
      <c r="A105" s="200" t="str">
        <f>"RISCHIO "&amp;Tabella!A27&amp;" — "&amp;Tabella!B27</f>
        <v xml:space="preserve">RISCHIO 26 — GOV-DOCUMENTATION-TRANSPARENCY -GDPR </v>
      </c>
      <c r="B105" s="201"/>
      <c r="C105" s="201"/>
      <c r="D105" s="202"/>
      <c r="E105" s="202"/>
      <c r="F105" s="217"/>
      <c r="G105" s="201"/>
      <c r="H105" s="201"/>
      <c r="I105" s="203"/>
    </row>
    <row r="106" spans="1:9" ht="60">
      <c r="A106" s="193" t="s">
        <v>193</v>
      </c>
      <c r="B106" s="204" t="s">
        <v>717</v>
      </c>
      <c r="C106" s="195" t="str">
        <f>Controlli!H70</f>
        <v>Primario</v>
      </c>
      <c r="D106" s="218">
        <f>Controlli!E70</f>
        <v>0.85</v>
      </c>
      <c r="E106" s="218">
        <f>Controlli!F70</f>
        <v>0.7</v>
      </c>
      <c r="F106" s="218">
        <f>Controlli!G70</f>
        <v>0.59499999999999997</v>
      </c>
      <c r="G106" s="196" t="str">
        <f>"Copre: Sistema, versioni e prestazioni documentate.   Non copre: Ciò che cambia prima dell'aggiornamento documentale.   →  copertura "&amp;TEXT(D106,"0%")</f>
        <v>Copre: Sistema, versioni e prestazioni documentate.   Non copre: Ciò che cambia prima dell'aggiornamento documentale.   →  copertura 85%</v>
      </c>
      <c r="H106" s="196" t="s">
        <v>752</v>
      </c>
      <c r="I106" s="197" t="str">
        <f>"Blocca, previene o mitiga direttamente il rischio nel flusso operativo?   →   "&amp;C106&amp;CHAR(10)&amp;"Se lo togliessi: Mancherebbe la prova documentale della trasparenza: rischio scoperto"</f>
        <v>Blocca, previene o mitiga direttamente il rischio nel flusso operativo?   →   Primario
Se lo togliessi: Mancherebbe la prova documentale della trasparenza: rischio scoperto</v>
      </c>
    </row>
    <row r="107" spans="1:9" ht="45">
      <c r="A107" s="193" t="s">
        <v>144</v>
      </c>
      <c r="B107" s="204" t="s">
        <v>717</v>
      </c>
      <c r="C107" s="195" t="str">
        <f>Controlli!H71</f>
        <v>Primario</v>
      </c>
      <c r="D107" s="218">
        <f>Controlli!E71</f>
        <v>0.7</v>
      </c>
      <c r="E107" s="218">
        <f>Controlli!F71</f>
        <v>0.7</v>
      </c>
      <c r="F107" s="218">
        <f>Controlli!G71</f>
        <v>0.48999999999999994</v>
      </c>
      <c r="G107" s="196" t="str">
        <f>"Copre: La disponibilità di istruzioni corrette a tutti.   Non copre: Il fatto che vengano lette e applicate.   →  copertura "&amp;TEXT(D107,"0%")</f>
        <v>Copre: La disponibilità di istruzioni corrette a tutti.   Non copre: Il fatto che vengano lette e applicate.   →  copertura 70%</v>
      </c>
      <c r="H107" s="196" t="s">
        <v>751</v>
      </c>
      <c r="I107" s="197" t="str">
        <f>"Blocca, previene o mitiga direttamente il rischio nel flusso operativo?   →   "&amp;C107&amp;CHAR(10)&amp;"Se lo togliessi: Gli utilizzatori resterebbero senza istruzioni: rischio scoperto"</f>
        <v>Blocca, previene o mitiga direttamente il rischio nel flusso operativo?   →   Primario
Se lo togliessi: Gli utilizzatori resterebbero senza istruzioni: rischio scoperto</v>
      </c>
    </row>
    <row r="108" spans="1:9" ht="45">
      <c r="A108" s="200" t="str">
        <f>"RISCHIO "&amp;Tabella!A28&amp;" — "&amp;Tabella!B28</f>
        <v xml:space="preserve">RISCHIO 27 — GOV-ACCOUNTABILITY-AUDITABILITY -GDPR </v>
      </c>
      <c r="B108" s="201"/>
      <c r="C108" s="201"/>
      <c r="D108" s="202"/>
      <c r="E108" s="202"/>
      <c r="F108" s="217"/>
      <c r="G108" s="201"/>
      <c r="H108" s="201"/>
      <c r="I108" s="203"/>
    </row>
    <row r="109" spans="1:9" ht="45">
      <c r="A109" s="193" t="s">
        <v>117</v>
      </c>
      <c r="B109" s="194" t="s">
        <v>724</v>
      </c>
      <c r="C109" s="195" t="str">
        <f>Controlli!H72</f>
        <v>Primario</v>
      </c>
      <c r="D109" s="218">
        <f>Controlli!E72</f>
        <v>0.7</v>
      </c>
      <c r="E109" s="218">
        <f>Controlli!F72</f>
        <v>0.85</v>
      </c>
      <c r="F109" s="218">
        <f>Controlli!G72</f>
        <v>0.59499999999999997</v>
      </c>
      <c r="G109" s="196" t="str">
        <f>"Copre: La registrazione degli eventi rilevanti.   Non copre: L'evento in sé: rileva, non previene.   →  copertura "&amp;TEXT(D109,"0%")</f>
        <v>Copre: La registrazione degli eventi rilevanti.   Non copre: L'evento in sé: rileva, non previene.   →  copertura 70%</v>
      </c>
      <c r="H109" s="196" t="str">
        <f>"Su 10 casi in cui serve funziona ~"&amp;ROUND(E109*10,0)&amp;" volte su 10 ("&amp;TEXT(E109,"0%")&amp;").   "&amp;IF(E109&gt;=0.95,"Deterministico o proprietà dell'architettura: nei casi coperti funziona sempre",IF(E109&gt;=0.85,"Automatico, ma dipende da configurazione e soglie tarate correttamente",IF(E109&gt;=0.7,"Procedurale: funziona se la procedura è seguita, e lascia evidenza documentale",IF(E109&gt;=0.5,"Dipende dall'attenzione o dalla decisione di una persona nel momento dell'evento","Dipende dalla volontà di un terzo di segnalare o dichiarare"))))</f>
        <v>Su 10 casi in cui serve funziona ~9 volte su 10 (85%).   Automatico, ma dipende da configurazione e soglie tarate correttamente</v>
      </c>
      <c r="I109" s="197" t="str">
        <f>"Blocca, previene o mitiga direttamente il rischio nel flusso operativo?   →   "&amp;C109&amp;CHAR(10)&amp;"Se lo togliessi: Non resterebbe traccia delle attività: rischio scoperto"</f>
        <v>Blocca, previene o mitiga direttamente il rischio nel flusso operativo?   →   Primario
Se lo togliessi: Non resterebbe traccia delle attività: rischio scoperto</v>
      </c>
    </row>
    <row r="110" spans="1:9" ht="60">
      <c r="A110" s="193" t="s">
        <v>197</v>
      </c>
      <c r="B110" s="204" t="s">
        <v>717</v>
      </c>
      <c r="C110" s="195" t="str">
        <f>Controlli!H73</f>
        <v>Primario</v>
      </c>
      <c r="D110" s="218">
        <f>Controlli!E73</f>
        <v>0.7</v>
      </c>
      <c r="E110" s="218">
        <f>Controlli!F73</f>
        <v>0.7</v>
      </c>
      <c r="F110" s="218">
        <f>Controlli!G73</f>
        <v>0.48999999999999994</v>
      </c>
      <c r="G110" s="196" t="str">
        <f>"Copre: L'attribuzione formale delle responsabilità.   Non copre: Il loro effettivo esercizio.   →  copertura "&amp;TEXT(D110,"0%")</f>
        <v>Copre: L'attribuzione formale delle responsabilità.   Non copre: Il loro effettivo esercizio.   →  copertura 70%</v>
      </c>
      <c r="H110" s="196" t="str">
        <f>"Su 10 casi in cui serve funziona ~"&amp;ROUND(E110*10,0)&amp;" volte su 10 ("&amp;TEXT(E110,"0%")&amp;").   "&amp;IF(E110&gt;=0.95,"Deterministico o proprietà dell'architettura: nei casi coperti funziona sempre",IF(E110&gt;=0.85,"Automatico, ma dipende da configurazione e soglie tarate correttamente",IF(E110&gt;=0.7,"Procedurale: funziona se la procedura è seguita, e lascia evidenza documentale",IF(E110&gt;=0.5,"Dipende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110" s="197" t="str">
        <f>"Blocca, previene o mitiga direttamente il rischio nel flusso operativo?   →   "&amp;C110&amp;CHAR(10)&amp;"Se lo togliessi: Nessuno risponderebbe formalmente delle attività: rischio scoperto"</f>
        <v>Blocca, previene o mitiga direttamente il rischio nel flusso operativo?   →   Primario
Se lo togliessi: Nessuno risponderebbe formalmente delle attività: rischio scoperto</v>
      </c>
    </row>
    <row r="111" spans="1:9" ht="30">
      <c r="A111" s="200" t="str">
        <f>"RISCHIO "&amp;Tabella!A29&amp;" — "&amp;Tabella!B29</f>
        <v>RISCHIO 28 — GOV-AI-CLASSIFICATION</v>
      </c>
      <c r="B111" s="201"/>
      <c r="C111" s="201"/>
      <c r="D111" s="202"/>
      <c r="E111" s="202"/>
      <c r="F111" s="217"/>
      <c r="G111" s="201"/>
      <c r="H111" s="201"/>
      <c r="I111" s="203"/>
    </row>
    <row r="112" spans="1:9" ht="60">
      <c r="A112" s="193" t="s">
        <v>199</v>
      </c>
      <c r="B112" s="204" t="s">
        <v>717</v>
      </c>
      <c r="C112" s="195" t="str">
        <f>Controlli!H74</f>
        <v>Primario</v>
      </c>
      <c r="D112" s="218">
        <f>Controlli!E74</f>
        <v>0.85</v>
      </c>
      <c r="E112" s="218">
        <f>Controlli!F74</f>
        <v>0.7</v>
      </c>
      <c r="F112" s="218">
        <f>Controlli!G74</f>
        <v>0.59499999999999997</v>
      </c>
      <c r="G112" s="196" t="str">
        <f>"Copre: La classificazione e il riesame delle modifiche significative.   Non copre: Le modifiche non classificate come significative.   →  copertura "&amp;TEXT(D112,"0%")</f>
        <v>Copre: La classificazione e il riesame delle modifiche significative.   Non copre: Le modifiche non classificate come significative.   →  copertura 85%</v>
      </c>
      <c r="H112" s="196" t="str">
        <f>"Su 10 casi in cui serve funziona ~"&amp;ROUND(E112*10,0)&amp;" volte su 10 ("&amp;TEXT(E112,"0%")&amp;").   "&amp;IF(E112&gt;=0.95,"Deterministico o proprietà dell'architettura: nei casi coperti funziona sempre",IF(E112&gt;=0.85,"Automatico, ma dipende da configurazione e soglie tarate correttamente",IF(E112&gt;=0.7,"Procedurale: funziona se la procedura è seguita, e lascia evidenza documentale",IF(E112&gt;=0.5,"Dipende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112" s="197" t="str">
        <f>"Blocca, previene o mitiga direttamente il rischio nel flusso operativo?   →   "&amp;C112&amp;CHAR(10)&amp;"Se lo togliessi: La classificazione del sistema resterebbe indeterminata: rischio scoperto"</f>
        <v>Blocca, previene o mitiga direttamente il rischio nel flusso operativo?   →   Primario
Se lo togliessi: La classificazione del sistema resterebbe indeterminata: rischio scoperto</v>
      </c>
    </row>
    <row r="113" spans="1:9" ht="30">
      <c r="A113" s="200" t="str">
        <f>"RISCHIO "&amp;Tabella!A30&amp;" — "&amp;Tabella!B30</f>
        <v>RISCHIO 29 — GOV-DEROGA-SCOPE</v>
      </c>
      <c r="B113" s="201"/>
      <c r="C113" s="201"/>
      <c r="D113" s="202"/>
      <c r="E113" s="202"/>
      <c r="F113" s="217"/>
      <c r="G113" s="201"/>
      <c r="H113" s="201"/>
      <c r="I113" s="203"/>
    </row>
    <row r="114" spans="1:9" ht="45">
      <c r="A114" s="193" t="s">
        <v>201</v>
      </c>
      <c r="B114" s="204" t="s">
        <v>717</v>
      </c>
      <c r="C114" s="205" t="str">
        <f>Controlli!H75</f>
        <v>Supporto</v>
      </c>
      <c r="D114" s="218">
        <f>Controlli!E75</f>
        <v>0.3</v>
      </c>
      <c r="E114" s="218">
        <f>Controlli!F75</f>
        <v>0.7</v>
      </c>
      <c r="F114" s="218">
        <f>Controlli!G75</f>
        <v>0.21</v>
      </c>
      <c r="G114" s="196" t="str">
        <f>"Copre: gli aggiornamenti documentali innescati da una modifica significativa già formalmente rilevata.   Non copre: lo scopo d'uso effettivo, che non è un trigger del riesame: la deriva d'uso non attiva nessuna verifica.   →  copertura "&amp;TEXT(D114,"0%")</f>
        <v>Copre: gli aggiornamenti documentali innescati da una modifica significativa già formalmente rilevata.   Non copre: lo scopo d'uso effettivo, che non è un trigger del riesame: la deriva d'uso non attiva nessuna verifica.   →  copertura 30%</v>
      </c>
      <c r="H114" s="196" t="str">
        <f>"Su 10 casi in cui serve funziona ~"&amp;ROUND(E114*10,0)&amp;" volte su 10 ("&amp;TEXT(E114,"0%")&amp;").   "&amp;IF(E114&gt;=0.95,"Deterministico o proprietà dell'architettura: nei casi coperti funziona sempre",IF(E114&gt;=0.85,"Automatico, ma dipende da configurazione e soglie tarate correttamente",IF(E114&gt;=0.7,"Procedurale: funziona se la procedura è seguita, e lascia evidenza documentale",IF(E114&gt;=0.5,"Dipende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114" s="197" t="str">
        <f>"Norma, processo amministrativo, governance o cultura che sostiene l'infrastruttura di controllo?   →   "&amp;C114&amp;CHAR(10)&amp;"Se lo togliessi: Cambierebbe poco: non è pensato per monitorare lo scopo d'uso"</f>
        <v>Norma, processo amministrativo, governance o cultura che sostiene l'infrastruttura di controllo?   →   Supporto
Se lo togliessi: Cambierebbe poco: non è pensato per monitorare lo scopo d'uso</v>
      </c>
    </row>
    <row r="115" spans="1:9" ht="60">
      <c r="A115" s="193" t="s">
        <v>269</v>
      </c>
      <c r="B115" s="210" t="s">
        <v>725</v>
      </c>
      <c r="C115" s="195" t="str">
        <f>Controlli!H76</f>
        <v>Primario</v>
      </c>
      <c r="D115" s="218">
        <f>Controlli!E76</f>
        <v>0.85</v>
      </c>
      <c r="E115" s="218">
        <f>Controlli!F76</f>
        <v>0.85</v>
      </c>
      <c r="F115" s="218">
        <f>Controlli!G76</f>
        <v>0.72249999999999992</v>
      </c>
      <c r="G115" s="196" t="str">
        <f>"Copre: Tutto il perimetro d'uso consentito.   Non copre: L'uso illecito già avvenuto.   →  copertura "&amp;TEXT(D115,"0%")</f>
        <v>Copre: Tutto il perimetro d'uso consentito.   Non copre: L'uso illecito già avvenuto.   →  copertura 85%</v>
      </c>
      <c r="H115" s="196" t="str">
        <f>"Su 10 casi in cui serve funziona ~"&amp;ROUND(E115*10,0)&amp;" volte su 10 ("&amp;TEXT(E115,"0%")&amp;").   "&amp;IF(E115&gt;=0.95,"Deterministico o proprietà dell'architettura: nei casi coperti funziona sempre",IF(E115&gt;=0.85,"Automatico, ma dipende da configurazione e soglie tarate correttamente",IF(E115&gt;=0.7,"Procedurale: funziona se la procedura è seguita, e lascia evidenza documentale",IF(E115&gt;=0.5,"Dipende dall'attenzione o dalla decisione di una persona nel momento dell'evento","Dipende dalla volontà di un terzo di segnalare o dichiarare"))))</f>
        <v>Su 10 casi in cui serve funziona ~9 volte su 10 (85%).   Automatico, ma dipende da configurazione e soglie tarate correttamente</v>
      </c>
      <c r="I115" s="197" t="str">
        <f>"Blocca, previene o mitiga direttamente il rischio nel flusso operativo?   →   "&amp;C115&amp;CHAR(10)&amp;"Se lo togliessi: L'uso per decisioni individuali non sarebbe più vietato: rischio scoperto"</f>
        <v>Blocca, previene o mitiga direttamente il rischio nel flusso operativo?   →   Primario
Se lo togliessi: L'uso per decisioni individuali non sarebbe più vietato: rischio scoperto</v>
      </c>
    </row>
    <row r="116" spans="1:9" ht="60">
      <c r="A116" s="193" t="s">
        <v>720</v>
      </c>
      <c r="B116" s="208" t="s">
        <v>719</v>
      </c>
      <c r="C116" s="199" t="str">
        <f>Controlli!H77</f>
        <v>Da implementare</v>
      </c>
      <c r="D116" s="218">
        <f>Controlli!E77</f>
        <v>0.7</v>
      </c>
      <c r="E116" s="218">
        <f>Controlli!F77</f>
        <v>0.3</v>
      </c>
      <c r="F116" s="218">
        <f>Controlli!G77</f>
        <v>0.21</v>
      </c>
      <c r="G116" s="196" t="str">
        <f>"Copre: Il perimetro dichiarato dal cliente.   Non copre: Ciò che non viene dichiarato.   →  copertura "&amp;TEXT(D116,"0%")</f>
        <v>Copre: Il perimetro dichiarato dal cliente.   Non copre: Ciò che non viene dichiarato.   →  copertura 70%</v>
      </c>
      <c r="H116" s="196" t="str">
        <f>"Su 10 casi in cui serve funziona ~"&amp;ROUND(E116*10,0)&amp;" volte su 10 ("&amp;TEXT(E116,"0%")&amp;").   "&amp;IF(E116&gt;=0.95,"Deterministico o proprietà dell'architettura: nei casi coperti funziona sempre",IF(E116&gt;=0.85,"Automatico, ma dipende da configurazione e soglie tarate correttamente",IF(E116&gt;=0.7,"Procedurale: funziona se la procedura è seguita, e lascia evidenza documentale",IF(E116&gt;=0.5,"Dipende dall'attenzione o dalla decisione di una persona nel momento dell'evento","Dipende dalla volontà di un terzo di segnalare o dichiarare"))))</f>
        <v>Su 10 casi in cui serve funziona ~3 volte su 10 (30%).   Dipende dalla volontà di un terzo di segnalare o dichiarare</v>
      </c>
      <c r="I116" s="197" t="str">
        <f>"Rileva i guasti, monitora l'efficacia dei primari, garantisce ripristino o correzione?   →   "&amp;C116&amp;CHAR(10)&amp;"Se lo togliessi: Si perderebbe la conferma periodica, ma clausola e verifica restano"</f>
        <v>Rileva i guasti, monitora l'efficacia dei primari, garantisce ripristino o correzione?   →   Da implementare
Se lo togliessi: Si perderebbe la conferma periodica, ma clausola e verifica restano</v>
      </c>
    </row>
    <row r="117" spans="1:9" ht="60">
      <c r="A117" s="193" t="s">
        <v>721</v>
      </c>
      <c r="B117" s="198" t="s">
        <v>716</v>
      </c>
      <c r="C117" s="199" t="str">
        <f>Controlli!H78</f>
        <v>Da implementare</v>
      </c>
      <c r="D117" s="218">
        <f>Controlli!E78</f>
        <v>0.7</v>
      </c>
      <c r="E117" s="218">
        <f>Controlli!F78</f>
        <v>0.7</v>
      </c>
      <c r="F117" s="218">
        <f>Controlli!G78</f>
        <v>0.48999999999999994</v>
      </c>
      <c r="G117" s="196" t="str">
        <f>"Copre: Lo scopo d'uso effettivo, trimestralmente.   Non copre: L'intervallo fra due verifiche.   →  copertura "&amp;TEXT(D117,"0%")</f>
        <v>Copre: Lo scopo d'uso effettivo, trimestralmente.   Non copre: L'intervallo fra due verifiche.   →  copertura 70%</v>
      </c>
      <c r="H117" s="196" t="str">
        <f>"Su 10 casi in cui serve funziona ~"&amp;ROUND(E117*10,0)&amp;" volte su 10 ("&amp;TEXT(E117,"0%")&amp;").   "&amp;IF(E117&gt;=0.95,"Deterministico o proprietà dell'architettura: nei casi coperti funziona sempre",IF(E117&gt;=0.85,"Automatico, ma dipende da configurazione e soglie tarate correttamente",IF(E117&gt;=0.7,"Procedurale: funziona se la procedura è seguita, e lascia evidenza documentale",IF(E117&gt;=0.5,"Dipende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117" s="197" t="str">
        <f>"Rileva i guasti, monitora l'efficacia dei primari, garantisce ripristino o correzione?   →   "&amp;C117&amp;CHAR(10)&amp;"Se lo togliessi: Si perderebbe il controllo di fatto, ma la clausola contrattuale resta"</f>
        <v>Rileva i guasti, monitora l'efficacia dei primari, garantisce ripristino o correzione?   →   Da implementare
Se lo togliessi: Si perderebbe il controllo di fatto, ma la clausola contrattuale resta</v>
      </c>
    </row>
    <row r="118" spans="1:9" ht="30">
      <c r="A118" s="200" t="str">
        <f>"RISCHIO "&amp;Tabella!A31&amp;" — "&amp;Tabella!B31</f>
        <v>RISCHIO 30 — GOV-DEROGA-DOC-MAINTENANCE</v>
      </c>
      <c r="B118" s="201"/>
      <c r="C118" s="201"/>
      <c r="D118" s="202"/>
      <c r="E118" s="202"/>
      <c r="F118" s="217"/>
      <c r="G118" s="201"/>
      <c r="H118" s="201"/>
      <c r="I118" s="203"/>
    </row>
    <row r="119" spans="1:9" ht="60">
      <c r="A119" s="193" t="s">
        <v>201</v>
      </c>
      <c r="B119" s="204" t="s">
        <v>717</v>
      </c>
      <c r="C119" s="205" t="str">
        <f>Controlli!H79</f>
        <v>Supporto</v>
      </c>
      <c r="D119" s="218">
        <f>Controlli!E79</f>
        <v>0.3</v>
      </c>
      <c r="E119" s="218">
        <f>Controlli!F79</f>
        <v>0.7</v>
      </c>
      <c r="F119" s="218">
        <f>Controlli!G79</f>
        <v>0.21</v>
      </c>
      <c r="G119" s="196" t="str">
        <f>_xlfn._LONGTEXT("Copre: gli aggiornamenti documentali innescati da una modifica significativa già formalmente rilevata.   Non copre: il disallineamento progressivo della documentazione in assenza di modifiche formali, perché non esiste un riesame dedicato alle condizioni ","della deroga art. 6(3).   →  copertura ")&amp;TEXT(D119,"0%")</f>
        <v>Copre: gli aggiornamenti documentali innescati da una modifica significativa già formalmente rilevata.   Non copre: il disallineamento progressivo della documentazione in assenza di modifiche formali, perché non esiste un riesame dedicato alle condizioni della deroga art. 6(3).   →  copertura 30%</v>
      </c>
      <c r="H119" s="196" t="str">
        <f>"Su 10 casi in cui serve funziona ~"&amp;ROUND(E119*10,0)&amp;" volte su 10 ("&amp;TEXT(E119,"0%")&amp;").   "&amp;IF(E119&gt;=0.95,"Deterministico o proprietà dell'architettura: nei casi coperti funziona sempre",IF(E119&gt;=0.85,"Automatico, ma dipende da configurazione e soglie tarate correttamente",IF(E119&gt;=0.7,"Procedurale: funziona se la procedura è seguita, e lascia evidenza documentale",IF(E119&gt;=0.5,"Dipende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119" s="197" t="str">
        <f>"Norma, processo amministrativo, governance o cultura che sostiene l'infrastruttura di controllo?   →   "&amp;C119&amp;CHAR(10)&amp;"Se lo togliessi: Cambierebbe poco: non prevede l'aggiornamento della valutazione di deroga"</f>
        <v>Norma, processo amministrativo, governance o cultura che sostiene l'infrastruttura di controllo?   →   Supporto
Se lo togliessi: Cambierebbe poco: non prevede l'aggiornamento della valutazione di deroga</v>
      </c>
    </row>
    <row r="120" spans="1:9" ht="60">
      <c r="A120" s="193" t="s">
        <v>722</v>
      </c>
      <c r="B120" s="198" t="s">
        <v>716</v>
      </c>
      <c r="C120" s="195" t="str">
        <f>Controlli!H80</f>
        <v>Primario</v>
      </c>
      <c r="D120" s="218">
        <f>Controlli!E80</f>
        <v>0.85</v>
      </c>
      <c r="E120" s="218">
        <f>Controlli!F80</f>
        <v>0.7</v>
      </c>
      <c r="F120" s="218">
        <f>Controlli!G80</f>
        <v>0.59499999999999997</v>
      </c>
      <c r="G120" s="196" t="str">
        <f>"Copre: Ogni modifica significativa.   Non copre: Le modifiche non classificate come significative.   →  copertura "&amp;TEXT(D120,"0%")</f>
        <v>Copre: Ogni modifica significativa.   Non copre: Le modifiche non classificate come significative.   →  copertura 85%</v>
      </c>
      <c r="H120" s="196" t="str">
        <f>"Su 10 casi in cui serve funziona ~"&amp;ROUND(E120*10,0)&amp;" volte su 10 ("&amp;TEXT(E120,"0%")&amp;").   "&amp;IF(E120&gt;=0.95,"Deterministico o proprietà dell'architettura: nei casi coperti funziona sempre",IF(E120&gt;=0.85,"Automatico, ma dipende da configurazione e soglie tarate correttamente",IF(E120&gt;=0.7,"Procedurale: funziona se la procedura è seguita, e lascia evidenza documentale",IF(E120&gt;=0.5,"Dipende dall'attenzione o dalla decisione di una persona nel momento dell'evento","Dipende dalla volontà di un terzo di segnalare o dichiarare"))))</f>
        <v>Su 10 casi in cui serve funziona ~7 volte su 10 (70%).   Procedurale: funziona se la procedura è seguita, e lascia evidenza documentale</v>
      </c>
      <c r="I120" s="197" t="str">
        <f>"Blocca, previene o mitiga direttamente il rischio nel flusso operativo?   →   "&amp;C120&amp;CHAR(10)&amp;"Se lo togliessi: Le modifiche significative non attiverebbero la revisione art. 6: rischio scoperto"</f>
        <v>Blocca, previene o mitiga direttamente il rischio nel flusso operativo?   →   Primario
Se lo togliessi: Le modifiche significative non attiverebbero la revisione art. 6: rischio scoperto</v>
      </c>
    </row>
    <row r="121" spans="1:9" ht="30">
      <c r="A121" s="200" t="str">
        <f>"RISCHIO "&amp;Tabella!A32&amp;" — "&amp;Tabella!B32</f>
        <v>RISCHIO 31 — GOV-DEROGA-PROFILING-EXCLUSION -GDPR</v>
      </c>
      <c r="B121" s="201"/>
      <c r="C121" s="201"/>
      <c r="D121" s="202"/>
      <c r="E121" s="202"/>
      <c r="F121" s="217"/>
      <c r="G121" s="201"/>
      <c r="H121" s="201"/>
      <c r="I121" s="203"/>
    </row>
    <row r="122" spans="1:9" ht="75">
      <c r="A122" s="211" t="s">
        <v>204</v>
      </c>
      <c r="B122" s="212" t="s">
        <v>725</v>
      </c>
      <c r="C122" s="213" t="str">
        <f>Controlli!H81</f>
        <v>Primario</v>
      </c>
      <c r="D122" s="219">
        <f>Controlli!E81</f>
        <v>0.95</v>
      </c>
      <c r="E122" s="219">
        <f>Controlli!F81</f>
        <v>0.95</v>
      </c>
      <c r="F122" s="219">
        <f>Controlli!G81</f>
        <v>0.90249999999999997</v>
      </c>
      <c r="G122" s="214" t="str">
        <f>_xlfn._LONGTEXT("Copre: l'identificazione diretta e persistente delle persone, non prevista dall'architettura (nessun badge, matricola o riconoscimento facciale).   Non copre: la re-identificazione indiretta per correlazione con altri dati (turni, postazione, orario) e un","'eventuale modifica futura del disegno che reintroduca l'identificazione.   →  copertura ")&amp;TEXT(D122,"0%")</f>
        <v>Copre: l'identificazione diretta e persistente delle persone, non prevista dall'architettura (nessun badge, matricola o riconoscimento facciale).   Non copre: la re-identificazione indiretta per correlazione con altri dati (turni, postazione, orario) e un'eventuale modifica futura del disegno che reintroduca l'identificazione.   →  copertura 95%</v>
      </c>
      <c r="H122" s="214" t="str">
        <f>"Su 10 casi in cui serve funziona ~"&amp;ROUND(E122*10,0)&amp;" volte su 10 ("&amp;TEXT(E122,"0%")&amp;").   "&amp;IF(E122&gt;=0.95,"Deterministico o proprietà dell'architettura: nei casi coperti funziona sempre",IF(E122&gt;=0.85,"Automatico, ma dipende da configurazione e soglie tarate correttamente",IF(E122&gt;=0.7,"Procedurale: funziona se la procedura è seguita, e lascia evidenza documentale",IF(E122&gt;=0.5,"Dipende dall'attenzione o dalla decisione di una persona nel momento dell'evento","Dipende dalla volontà di un terzo di segnalare o dichiarare"))))</f>
        <v>Su 10 casi in cui serve funziona ~10 volte su 10 (95%).   Deterministico o proprietà dell'architettura: nei casi coperti funziona sempre</v>
      </c>
      <c r="I122" s="215" t="str">
        <f>"Blocca, previene o mitiga direttamente il rischio nel flusso operativo?   →   "&amp;C122&amp;CHAR(10)&amp;"Se lo togliessi: Il sistema potrebbe iniziare a identificare le persone: rischio scoperto"</f>
        <v>Blocca, previene o mitiga direttamente il rischio nel flusso operativo?   →   Primario
Se lo togliessi: Il sistema potrebbe iniziare a identificare le persone: rischio scoperto</v>
      </c>
    </row>
  </sheetData>
  <pageMargins left="0.7" right="0.7" top="0.75" bottom="0.75" header="0.3" footer="0.3"/>
  <pageSetup paperSize="9" orientation="portrait" horizontalDpi="0" verticalDpi="0"/>
  <ignoredErrors>
    <ignoredError sqref="H47" formula="1"/>
  </ignoredErrors>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10</vt:i4>
      </vt:variant>
      <vt:variant>
        <vt:lpstr>Intervalli denominati</vt:lpstr>
      </vt:variant>
      <vt:variant>
        <vt:i4>1</vt:i4>
      </vt:variant>
    </vt:vector>
  </HeadingPairs>
  <TitlesOfParts>
    <vt:vector size="11" baseType="lpstr">
      <vt:lpstr>Tabella</vt:lpstr>
      <vt:lpstr>Controlli</vt:lpstr>
      <vt:lpstr>Rischio residuo</vt:lpstr>
      <vt:lpstr>asset</vt:lpstr>
      <vt:lpstr>vulnerabilità</vt:lpstr>
      <vt:lpstr>minacce</vt:lpstr>
      <vt:lpstr>mapping</vt:lpstr>
      <vt:lpstr>tabella mapping</vt:lpstr>
      <vt:lpstr>LEGGENDA</vt:lpstr>
      <vt:lpstr>Taratura controlli</vt:lpstr>
      <vt:lpstr>'Rischio residuo'!Criteri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Lara Cordova</dc:creator>
  <cp:lastModifiedBy>claudia lara cordova</cp:lastModifiedBy>
  <cp:lastPrinted>2026-08-03T08:49:17Z</cp:lastPrinted>
  <dcterms:created xsi:type="dcterms:W3CDTF">2026-07-27T13:46:04Z</dcterms:created>
  <dcterms:modified xsi:type="dcterms:W3CDTF">2026-09-22T08:13:14Z</dcterms:modified>
</cp:coreProperties>
</file>