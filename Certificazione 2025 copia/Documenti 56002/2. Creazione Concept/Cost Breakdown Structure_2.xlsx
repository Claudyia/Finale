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codeName="ThisWorkbook"/>
  <xr:revisionPtr revIDLastSave="526" documentId="8_{C4783343-9E5B-4559-A969-D8AC74C42DD4}" xr6:coauthVersionLast="47" xr6:coauthVersionMax="47" xr10:uidLastSave="{7E02C19D-E9C4-483A-8841-94603D47F55F}"/>
  <bookViews>
    <workbookView xWindow="-28920" yWindow="-120" windowWidth="29040" windowHeight="15720" tabRatio="249" xr2:uid="{00000000-000D-0000-FFFF-FFFF00000000}"/>
  </bookViews>
  <sheets>
    <sheet name="CBS" sheetId="11" r:id="rId1"/>
  </sheets>
  <definedNames>
    <definedName name="avanzamento_attività" localSheetId="0">CBS!$D1</definedName>
    <definedName name="fine_attività" localSheetId="0">CBS!$F1</definedName>
    <definedName name="inizio_attività" localSheetId="0">CBS!$E1</definedName>
    <definedName name="Inizio_progetto">CBS!$E$3</definedName>
    <definedName name="oggi" localSheetId="0">TODAY()</definedName>
    <definedName name="_xlnm.Print_Titles" localSheetId="0">CBS!$4:$6</definedName>
    <definedName name="Visualizza_settimana">CBS!$E$4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11" l="1"/>
  <c r="H33" i="11"/>
  <c r="H34" i="11"/>
  <c r="H35" i="11"/>
  <c r="H36" i="11"/>
  <c r="H37" i="11"/>
  <c r="H31" i="11"/>
  <c r="E41" i="11" l="1"/>
  <c r="E40" i="11"/>
  <c r="E44" i="11" s="1"/>
  <c r="E37" i="11"/>
  <c r="E32" i="11"/>
  <c r="E31" i="11"/>
  <c r="E36" i="11"/>
  <c r="E35" i="11"/>
  <c r="E34" i="11"/>
  <c r="E33" i="11"/>
  <c r="E38" i="11" l="1"/>
  <c r="E46" i="11" s="1"/>
  <c r="E3" i="11" l="1"/>
  <c r="E10" i="11" l="1"/>
  <c r="F10" i="11" s="1"/>
  <c r="E9" i="11"/>
  <c r="H7" i="11"/>
  <c r="F9" i="11" l="1"/>
  <c r="H9" i="11" s="1"/>
  <c r="H10" i="11"/>
  <c r="I5" i="11"/>
  <c r="I4" i="11" s="1"/>
  <c r="H19" i="11"/>
  <c r="H13" i="11"/>
  <c r="H8" i="11"/>
  <c r="E11" i="11" l="1"/>
  <c r="I6" i="11"/>
  <c r="F11" i="11" l="1"/>
  <c r="E12" i="11" s="1"/>
  <c r="F12" i="11" s="1"/>
  <c r="E14" i="11" s="1"/>
  <c r="J5" i="11"/>
  <c r="H11" i="11" l="1"/>
  <c r="F14" i="11"/>
  <c r="H12" i="11"/>
  <c r="K5" i="11"/>
  <c r="E15" i="11" l="1"/>
  <c r="F15" i="11" s="1"/>
  <c r="E16" i="11" s="1"/>
  <c r="F16" i="11" s="1"/>
  <c r="H14" i="11"/>
  <c r="L5" i="11"/>
  <c r="M5" i="11" l="1"/>
  <c r="E17" i="11" l="1"/>
  <c r="H15" i="11"/>
  <c r="N5" i="11"/>
  <c r="E18" i="11" l="1"/>
  <c r="F18" i="11" s="1"/>
  <c r="F17" i="11"/>
  <c r="E20" i="11" s="1"/>
  <c r="H18" i="11"/>
  <c r="H17" i="11"/>
  <c r="F20" i="11"/>
  <c r="E21" i="11" s="1"/>
  <c r="O5" i="11"/>
  <c r="H20" i="11" l="1"/>
  <c r="E23" i="11"/>
  <c r="F23" i="11" s="1"/>
  <c r="F21" i="11"/>
  <c r="P5" i="11"/>
  <c r="P6" i="11" s="1"/>
  <c r="O6" i="11"/>
  <c r="N6" i="11"/>
  <c r="M6" i="11"/>
  <c r="L6" i="11"/>
  <c r="K6" i="11"/>
  <c r="J6" i="11"/>
  <c r="E22" i="11" l="1"/>
  <c r="F22" i="11" s="1"/>
  <c r="E25" i="11"/>
  <c r="F25" i="11" s="1"/>
  <c r="E26" i="11" s="1"/>
  <c r="F26" i="11" s="1"/>
  <c r="H25" i="11"/>
  <c r="H23" i="11"/>
  <c r="P4" i="11"/>
  <c r="Q5" i="11"/>
  <c r="H22" i="11" l="1"/>
  <c r="E27" i="11"/>
  <c r="F27" i="11" s="1"/>
  <c r="H26" i="11"/>
  <c r="H21" i="11"/>
  <c r="R5" i="11"/>
  <c r="H27" i="11" l="1"/>
  <c r="S5" i="11"/>
  <c r="T5" i="11" l="1"/>
  <c r="U5" i="11" l="1"/>
  <c r="E28" i="11" l="1"/>
  <c r="V5" i="11"/>
  <c r="F28" i="11" l="1"/>
  <c r="H28" i="11" s="1"/>
  <c r="W5" i="11"/>
  <c r="W6" i="11" s="1"/>
  <c r="V6" i="11"/>
  <c r="U6" i="11"/>
  <c r="T6" i="11"/>
  <c r="S6" i="11"/>
  <c r="R6" i="11"/>
  <c r="Q6" i="11"/>
  <c r="H16" i="11"/>
  <c r="X5" i="11" l="1"/>
  <c r="Y5" i="11" s="1"/>
  <c r="W4" i="1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K4" i="11" l="1"/>
  <c r="AK6" i="11"/>
  <c r="AL5" i="11"/>
  <c r="AM5" i="11" l="1"/>
  <c r="AN5" i="11" l="1"/>
  <c r="AO5" i="11" l="1"/>
  <c r="AP5" i="11" l="1"/>
  <c r="AQ5" i="11" l="1"/>
  <c r="AP6" i="11"/>
  <c r="AO6" i="11"/>
  <c r="AN6" i="11"/>
  <c r="AM6" i="11"/>
  <c r="AL6" i="11"/>
  <c r="AQ6" i="11" l="1"/>
  <c r="AR5" i="11"/>
  <c r="AS5" i="11" l="1"/>
  <c r="AR6" i="11"/>
  <c r="AR4" i="11"/>
  <c r="AS6" i="11" l="1"/>
  <c r="AT5" i="11"/>
  <c r="AT6" i="11" l="1"/>
  <c r="AU5" i="11"/>
  <c r="AU6" i="11" l="1"/>
  <c r="AV5" i="11"/>
  <c r="AV6" i="11" l="1"/>
  <c r="AW5" i="11"/>
  <c r="AX5" i="11" s="1"/>
  <c r="AW6" i="11" l="1"/>
  <c r="AX6" i="11" l="1"/>
  <c r="AY5" i="11"/>
  <c r="AY4" i="11" s="1"/>
  <c r="AZ5" i="11" l="1"/>
  <c r="AY6" i="11"/>
  <c r="AZ6" i="11" l="1"/>
  <c r="BA5" i="11"/>
  <c r="BA6" i="11" l="1"/>
  <c r="BB5" i="11"/>
  <c r="BB6" i="11" l="1"/>
  <c r="BC5" i="11"/>
  <c r="BD5" i="11" l="1"/>
  <c r="BC6" i="11"/>
  <c r="BD6" i="11" l="1"/>
  <c r="BE5" i="11"/>
  <c r="BE6" i="11" l="1"/>
  <c r="BF5" i="11"/>
  <c r="BF4" i="11" s="1"/>
  <c r="BG5" i="11" l="1"/>
  <c r="BF6" i="11"/>
  <c r="BG6" i="11" l="1"/>
  <c r="BH5" i="11"/>
  <c r="BH6" i="11" l="1"/>
  <c r="BI5" i="11"/>
  <c r="BI6" i="11" l="1"/>
  <c r="BJ5" i="11"/>
  <c r="BK5" i="11" l="1"/>
  <c r="BJ6" i="11"/>
  <c r="BK6" i="11" l="1"/>
  <c r="BL5" i="11"/>
  <c r="BL6" i="11" l="1"/>
  <c r="BM5" i="11"/>
  <c r="BN5" i="11" l="1"/>
  <c r="BM4" i="11"/>
  <c r="BM6" i="11"/>
  <c r="BN6" i="11" l="1"/>
  <c r="BO5" i="11"/>
  <c r="BP5" i="11" l="1"/>
  <c r="BO6" i="11"/>
  <c r="BP6" i="11" l="1"/>
  <c r="BQ5" i="11"/>
  <c r="BR5" i="11" l="1"/>
  <c r="BQ6" i="11"/>
  <c r="BR6" i="11" l="1"/>
  <c r="BS5" i="11"/>
  <c r="BT5" i="11" l="1"/>
  <c r="BS6" i="11"/>
  <c r="BU5" i="11" l="1"/>
  <c r="BT6" i="11"/>
  <c r="BT4" i="11"/>
  <c r="BU6" i="11" l="1"/>
  <c r="BV5" i="11"/>
  <c r="BV6" i="11" l="1"/>
  <c r="BW5" i="11"/>
  <c r="BW6" i="11" l="1"/>
  <c r="BX5" i="11"/>
  <c r="BX6" i="11" l="1"/>
  <c r="BY5" i="11"/>
  <c r="BY6" i="11" l="1"/>
  <c r="BZ5" i="11"/>
  <c r="CA5" i="11" l="1"/>
  <c r="BZ6" i="11"/>
  <c r="CA6" i="11" l="1"/>
  <c r="CB5" i="11"/>
  <c r="CA4" i="11"/>
  <c r="CB6" i="11" l="1"/>
  <c r="CC5" i="11"/>
  <c r="CD5" i="11" l="1"/>
  <c r="CC6" i="11"/>
  <c r="CD6" i="11" l="1"/>
  <c r="CE5" i="11"/>
  <c r="CF5" i="11" l="1"/>
  <c r="CE6" i="11"/>
  <c r="CG5" i="11" l="1"/>
  <c r="CF6" i="11"/>
  <c r="CG6" i="11" l="1"/>
  <c r="CH5" i="11"/>
  <c r="CH6" i="11" l="1"/>
  <c r="CI5" i="11"/>
  <c r="CH4" i="11"/>
  <c r="CI6" i="11" l="1"/>
  <c r="CJ5" i="11"/>
  <c r="CJ6" i="11" l="1"/>
  <c r="CK5" i="11"/>
  <c r="CL5" i="11" l="1"/>
  <c r="CK6" i="11"/>
  <c r="CM5" i="11" l="1"/>
  <c r="CL6" i="11"/>
  <c r="CM6" i="11" l="1"/>
  <c r="CN5" i="11"/>
  <c r="CN6" i="11" l="1"/>
  <c r="CO5" i="11"/>
  <c r="CP5" i="11" l="1"/>
  <c r="CO4" i="11"/>
  <c r="CO6" i="11"/>
  <c r="CQ5" i="11" l="1"/>
  <c r="CP6" i="11"/>
  <c r="CQ6" i="11" l="1"/>
  <c r="CR5" i="11"/>
  <c r="CS5" i="11" l="1"/>
  <c r="CR6" i="11"/>
  <c r="CS6" i="11" l="1"/>
  <c r="CT5" i="11"/>
  <c r="CU5" i="11" l="1"/>
  <c r="CT6" i="11"/>
  <c r="CU6" i="11" l="1"/>
  <c r="CV5" i="11"/>
  <c r="CV6" i="11" l="1"/>
  <c r="CW5" i="11"/>
  <c r="CV4" i="11"/>
  <c r="CX5" i="11" l="1"/>
  <c r="CW6" i="11"/>
  <c r="CY5" i="11" l="1"/>
  <c r="CX6" i="11"/>
  <c r="CY6" i="11" l="1"/>
  <c r="CZ5" i="11"/>
  <c r="DA5" i="11" l="1"/>
  <c r="CZ6" i="11"/>
  <c r="DA6" i="11" l="1"/>
  <c r="DB5" i="11"/>
  <c r="DB6" i="11" l="1"/>
  <c r="DC5" i="11"/>
  <c r="DD5" i="11" l="1"/>
  <c r="DC6" i="11"/>
  <c r="DC4" i="11"/>
  <c r="DD6" i="11" l="1"/>
  <c r="DE5" i="11"/>
  <c r="DF5" i="11" l="1"/>
  <c r="DE6" i="11"/>
  <c r="DG5" i="11" l="1"/>
  <c r="DF6" i="11"/>
  <c r="DG6" i="11" l="1"/>
  <c r="DH5" i="11"/>
  <c r="DH6" i="11" l="1"/>
  <c r="DI5" i="11"/>
  <c r="DJ5" i="11" l="1"/>
  <c r="DI6" i="11"/>
  <c r="DK5" i="11" l="1"/>
  <c r="DJ4" i="11"/>
  <c r="DJ6" i="11"/>
  <c r="DL5" i="11" l="1"/>
  <c r="DK6" i="11"/>
  <c r="DM5" i="11" l="1"/>
  <c r="DL6" i="11"/>
  <c r="DN5" i="11" l="1"/>
  <c r="DM6" i="11"/>
  <c r="DO5" i="11" l="1"/>
  <c r="DN6" i="11"/>
  <c r="DP5" i="11" l="1"/>
  <c r="DO6" i="11"/>
  <c r="DP6" i="11" l="1"/>
  <c r="DQ5" i="11"/>
  <c r="DQ4" i="11" l="1"/>
  <c r="DQ6" i="11"/>
  <c r="DR5" i="11"/>
  <c r="DR6" i="11" l="1"/>
  <c r="DS5" i="11"/>
  <c r="DS6" i="11" l="1"/>
  <c r="DT5" i="11"/>
  <c r="DT6" i="11" l="1"/>
  <c r="DU5" i="11"/>
  <c r="DV5" i="11" l="1"/>
  <c r="DU6" i="11"/>
  <c r="DW5" i="11" l="1"/>
  <c r="DV6" i="11"/>
  <c r="DX5" i="11" l="1"/>
  <c r="DW6" i="11"/>
  <c r="DY5" i="11" l="1"/>
  <c r="DX4" i="11"/>
  <c r="DX6" i="11"/>
  <c r="DZ5" i="11" l="1"/>
  <c r="DY6" i="11"/>
  <c r="EA5" i="11" l="1"/>
  <c r="DZ6" i="11"/>
  <c r="EB5" i="11" l="1"/>
  <c r="EA6" i="11"/>
  <c r="EB6" i="11" l="1"/>
  <c r="EC5" i="11"/>
  <c r="ED5" i="11" l="1"/>
  <c r="EC6" i="11"/>
  <c r="ED6" i="11" l="1"/>
  <c r="EE5" i="11"/>
  <c r="EF5" i="11" l="1"/>
  <c r="EE6" i="11"/>
  <c r="EE4" i="11"/>
  <c r="EF6" i="11" l="1"/>
  <c r="EG5" i="11"/>
  <c r="EH5" i="11" l="1"/>
  <c r="EG6" i="11"/>
  <c r="EI5" i="11" l="1"/>
  <c r="EH6" i="11"/>
  <c r="EJ5" i="11" l="1"/>
  <c r="EI6" i="11"/>
  <c r="EJ6" i="11" l="1"/>
  <c r="EK5" i="11"/>
  <c r="EK6" i="11" l="1"/>
  <c r="EL5" i="11"/>
  <c r="EL4" i="11" l="1"/>
  <c r="EM5" i="11"/>
  <c r="EL6" i="11"/>
  <c r="EN5" i="11" l="1"/>
  <c r="EM6" i="11"/>
  <c r="EO5" i="11" l="1"/>
  <c r="EN6" i="11"/>
  <c r="EO6" i="11" l="1"/>
  <c r="EP5" i="11"/>
  <c r="EP6" i="11" l="1"/>
  <c r="EQ5" i="11"/>
  <c r="EQ6" i="11" l="1"/>
  <c r="ER5" i="11"/>
  <c r="ES5" i="11" s="1"/>
  <c r="ET5" i="11" l="1"/>
  <c r="ES6" i="11"/>
  <c r="ES4" i="11"/>
  <c r="ER6" i="11"/>
  <c r="ET6" i="11" l="1"/>
  <c r="EU5" i="11"/>
  <c r="EU6" i="11" l="1"/>
  <c r="EV5" i="11"/>
  <c r="EV6" i="11" l="1"/>
  <c r="EW5" i="11"/>
  <c r="EW6" i="11" l="1"/>
  <c r="EX5" i="11"/>
  <c r="EX6" i="11" l="1"/>
  <c r="EY5" i="11"/>
  <c r="EZ5" i="11" l="1"/>
  <c r="EY6" i="11"/>
  <c r="EZ6" i="11" l="1"/>
  <c r="EZ4" i="11"/>
  <c r="FA5" i="11"/>
  <c r="FA6" i="11" l="1"/>
  <c r="FB5" i="11"/>
  <c r="FC5" i="11" l="1"/>
  <c r="FB6" i="11"/>
  <c r="FD5" i="11" l="1"/>
  <c r="FC6" i="11"/>
  <c r="FD6" i="11" l="1"/>
  <c r="FE5" i="11"/>
  <c r="FE6" i="11" l="1"/>
  <c r="FF5" i="11"/>
  <c r="FG5" i="11" l="1"/>
  <c r="FF6" i="11"/>
  <c r="FG6" i="11" l="1"/>
  <c r="FH5" i="11"/>
  <c r="FG4" i="11"/>
  <c r="FH6" i="11" l="1"/>
  <c r="FI5" i="11"/>
  <c r="FI6" i="11" l="1"/>
  <c r="FJ5" i="11"/>
  <c r="FJ6" i="11" l="1"/>
  <c r="FK5" i="11"/>
  <c r="FL5" i="11" l="1"/>
  <c r="FK6" i="11"/>
  <c r="FL6" i="11" l="1"/>
  <c r="FM5" i="11"/>
  <c r="FN5" i="11" l="1"/>
  <c r="FM6" i="11"/>
  <c r="FN4" i="11" l="1"/>
  <c r="FN6" i="11"/>
  <c r="FO5" i="11"/>
  <c r="FO6" i="11" l="1"/>
  <c r="FP5" i="11"/>
  <c r="FP6" i="11" l="1"/>
  <c r="FQ5" i="11"/>
  <c r="FQ6" i="11" l="1"/>
  <c r="FR5" i="11"/>
  <c r="FR6" i="11" l="1"/>
  <c r="FS5" i="11"/>
  <c r="FS6" i="11" l="1"/>
  <c r="FT5" i="11"/>
  <c r="FU5" i="11" l="1"/>
  <c r="FT6" i="11"/>
  <c r="FU6" i="11" l="1"/>
  <c r="FU4" i="11"/>
  <c r="FV5" i="11"/>
  <c r="FW5" i="11" l="1"/>
  <c r="FV6" i="11"/>
  <c r="FW6" i="11" l="1"/>
  <c r="FX5" i="11"/>
  <c r="FY5" i="11" l="1"/>
  <c r="FX6" i="11"/>
  <c r="FY6" i="11" l="1"/>
  <c r="FZ5" i="11"/>
  <c r="FZ6" i="11" l="1"/>
  <c r="GA5" i="11"/>
  <c r="GB5" i="11" l="1"/>
  <c r="GA6" i="11"/>
  <c r="GB6" i="11" l="1"/>
  <c r="GC5" i="11"/>
  <c r="GB4" i="11"/>
  <c r="GC6" i="11" l="1"/>
  <c r="GD5" i="11"/>
  <c r="GE5" i="11" l="1"/>
  <c r="GD6" i="11"/>
  <c r="GE6" i="11" l="1"/>
  <c r="GF5" i="11"/>
  <c r="GG5" i="11" l="1"/>
  <c r="GF6" i="11"/>
  <c r="GG6" i="11" l="1"/>
  <c r="GH5" i="11"/>
  <c r="GI5" i="11" l="1"/>
  <c r="GH6" i="11"/>
  <c r="GI4" i="11" l="1"/>
  <c r="GJ5" i="11"/>
  <c r="GI6" i="11"/>
  <c r="GK5" i="11" l="1"/>
  <c r="GJ6" i="11"/>
  <c r="GL5" i="11" l="1"/>
  <c r="GK6" i="11"/>
  <c r="GM5" i="11" l="1"/>
  <c r="GL6" i="11"/>
  <c r="GN5" i="11" l="1"/>
  <c r="GM6" i="11"/>
  <c r="GN6" i="11" l="1"/>
  <c r="GO5" i="11"/>
  <c r="GO6" i="11" l="1"/>
  <c r="GP5" i="11"/>
  <c r="GP6" i="11" l="1"/>
  <c r="GQ5" i="11"/>
  <c r="GP4" i="11"/>
  <c r="GR5" i="11" l="1"/>
  <c r="GQ6" i="11"/>
  <c r="GR6" i="11" l="1"/>
  <c r="GS5" i="11"/>
  <c r="GT5" i="11" l="1"/>
  <c r="GS6" i="11"/>
  <c r="GT6" i="11" l="1"/>
  <c r="GU5" i="11"/>
  <c r="GU6" i="11" l="1"/>
  <c r="GV5" i="11"/>
  <c r="GW5" i="11" l="1"/>
  <c r="GV6" i="11"/>
  <c r="GW4" i="11" l="1"/>
  <c r="GW6" i="11"/>
  <c r="GX5" i="11"/>
  <c r="GX6" i="11" l="1"/>
  <c r="GY5" i="11"/>
  <c r="GZ5" i="11" l="1"/>
  <c r="GY6" i="11"/>
  <c r="HA5" i="11" l="1"/>
  <c r="GZ6" i="11"/>
  <c r="HA6" i="11" l="1"/>
  <c r="HB5" i="11"/>
  <c r="HC5" i="11" l="1"/>
  <c r="HB6" i="11"/>
  <c r="HC6" i="11" l="1"/>
  <c r="HD5" i="11"/>
  <c r="HE5" i="11" l="1"/>
  <c r="HD6" i="11"/>
  <c r="HD4" i="11"/>
  <c r="HE6" i="11" l="1"/>
  <c r="HF5" i="11"/>
  <c r="HG5" i="11" l="1"/>
  <c r="HF6" i="11"/>
  <c r="HG6" i="11" l="1"/>
  <c r="HH5" i="11"/>
  <c r="HH6" i="11" l="1"/>
  <c r="HI5" i="11"/>
  <c r="HI6" i="11" l="1"/>
  <c r="HJ5" i="11"/>
  <c r="HK5" i="11" l="1"/>
  <c r="HJ6" i="11"/>
  <c r="HK6" i="11" l="1"/>
  <c r="HK4" i="11"/>
  <c r="HL5" i="11"/>
  <c r="HM5" i="11" l="1"/>
  <c r="HL6" i="11"/>
  <c r="HN5" i="11" l="1"/>
  <c r="HM6" i="11"/>
  <c r="HO5" i="11" l="1"/>
  <c r="HN6" i="11"/>
  <c r="HP5" i="11" l="1"/>
  <c r="HO6" i="11"/>
  <c r="HQ5" i="11" l="1"/>
  <c r="HP6" i="11"/>
  <c r="HR5" i="11" l="1"/>
  <c r="HQ6" i="11"/>
  <c r="HR6" i="11" l="1"/>
  <c r="HS5" i="11"/>
  <c r="HR4" i="11"/>
  <c r="HS6" i="11" l="1"/>
  <c r="HT5" i="11"/>
  <c r="HU5" i="11" l="1"/>
  <c r="HT6" i="11"/>
  <c r="HU6" i="11" l="1"/>
  <c r="HV5" i="11"/>
  <c r="HW5" i="11" l="1"/>
  <c r="HV6" i="11"/>
  <c r="HX5" i="11" l="1"/>
  <c r="HW6" i="11"/>
  <c r="HY5" i="11" l="1"/>
  <c r="HX6" i="11"/>
  <c r="HZ5" i="11" l="1"/>
  <c r="HY4" i="11"/>
  <c r="HY6" i="11"/>
  <c r="HZ6" i="11" l="1"/>
  <c r="IA5" i="11"/>
  <c r="IB5" i="11" l="1"/>
  <c r="IA6" i="11"/>
  <c r="IC5" i="11" l="1"/>
  <c r="IB6" i="11"/>
  <c r="ID5" i="11" l="1"/>
  <c r="IC6" i="11"/>
  <c r="ID6" i="11" l="1"/>
  <c r="IE5" i="11"/>
  <c r="IF5" i="11" l="1"/>
  <c r="IE6" i="11"/>
  <c r="IF6" i="11" l="1"/>
  <c r="IG5" i="11"/>
  <c r="IF4" i="11"/>
  <c r="IG6" i="11" l="1"/>
  <c r="IH5" i="11"/>
  <c r="IH6" i="11" l="1"/>
  <c r="II5" i="11"/>
  <c r="II6" i="11" l="1"/>
  <c r="IJ5" i="11"/>
  <c r="IK5" i="11" l="1"/>
  <c r="IJ6" i="11"/>
  <c r="IK6" i="11" l="1"/>
  <c r="IL5" i="11"/>
  <c r="IL6" i="11" l="1"/>
  <c r="IM5" i="11"/>
  <c r="IM4" i="11" l="1"/>
  <c r="IN5" i="11"/>
  <c r="IM6" i="11"/>
  <c r="IO5" i="11" l="1"/>
  <c r="IN6" i="11"/>
  <c r="IO6" i="11" l="1"/>
  <c r="IP5" i="11"/>
  <c r="IP6" i="11" l="1"/>
  <c r="IQ5" i="11"/>
  <c r="IR5" i="11" l="1"/>
  <c r="IQ6" i="11"/>
  <c r="IR6" i="11" l="1"/>
  <c r="IS5" i="11"/>
  <c r="IS6" i="11" l="1"/>
  <c r="IT5" i="11"/>
  <c r="IU5" i="11" l="1"/>
  <c r="IT6" i="11"/>
  <c r="IT4" i="11"/>
  <c r="IU6" i="11" l="1"/>
  <c r="IV5" i="11"/>
  <c r="IW5" i="11" l="1"/>
  <c r="IV6" i="11"/>
  <c r="IW6" i="11" l="1"/>
  <c r="IX5" i="11"/>
  <c r="IX6" i="11" l="1"/>
  <c r="IY5" i="11"/>
  <c r="IY6" i="11" l="1"/>
  <c r="IZ5" i="11"/>
  <c r="IZ6" i="11" l="1"/>
  <c r="JA5" i="11"/>
  <c r="JB5" i="11" l="1"/>
  <c r="JA4" i="11"/>
  <c r="JA6" i="11"/>
  <c r="JB6" i="11" l="1"/>
  <c r="JC5" i="11"/>
  <c r="JC6" i="11" l="1"/>
  <c r="JD5" i="11"/>
  <c r="JD6" i="11" l="1"/>
  <c r="JE5" i="11"/>
  <c r="JE6" i="11" l="1"/>
  <c r="JF5" i="11"/>
  <c r="JF6" i="11" l="1"/>
  <c r="JG5" i="11"/>
  <c r="JG6" i="11" l="1"/>
  <c r="JH5" i="11"/>
  <c r="JI5" i="11" l="1"/>
  <c r="JH6" i="11"/>
  <c r="JH4" i="11"/>
  <c r="JJ5" i="11" l="1"/>
  <c r="JI6" i="11"/>
  <c r="JJ6" i="11" l="1"/>
  <c r="JK5" i="11"/>
  <c r="JK6" i="11" l="1"/>
  <c r="JL5" i="11"/>
  <c r="JL6" i="11" l="1"/>
  <c r="JM5" i="11"/>
  <c r="JM6" i="11" l="1"/>
  <c r="JN5" i="11"/>
  <c r="JN6" i="11" l="1"/>
  <c r="JO5" i="11"/>
  <c r="JO6" i="11" l="1"/>
  <c r="JO4" i="11"/>
  <c r="JP5" i="11"/>
  <c r="JP6" i="11" l="1"/>
  <c r="JQ5" i="11"/>
  <c r="JQ6" i="11" l="1"/>
  <c r="JR5" i="11"/>
  <c r="JS5" i="11" l="1"/>
  <c r="JR6" i="11"/>
  <c r="JT5" i="11" l="1"/>
  <c r="JS6" i="11"/>
  <c r="JU5" i="11" l="1"/>
  <c r="JT6" i="11"/>
  <c r="JU6" i="11" l="1"/>
  <c r="JV5" i="11"/>
  <c r="JW5" i="11" l="1"/>
  <c r="JV4" i="11"/>
  <c r="JV6" i="11"/>
  <c r="JW6" i="11" l="1"/>
  <c r="JX5" i="11"/>
  <c r="JX6" i="11" l="1"/>
  <c r="JY5" i="11"/>
  <c r="JY6" i="11" l="1"/>
  <c r="JZ5" i="11"/>
  <c r="JZ6" i="11" l="1"/>
  <c r="KA5" i="11"/>
  <c r="KB5" i="11" l="1"/>
  <c r="KA6" i="11"/>
  <c r="KB6" i="11" l="1"/>
  <c r="KC5" i="11"/>
  <c r="KD5" i="11" l="1"/>
  <c r="KC4" i="11"/>
  <c r="KC6" i="11"/>
  <c r="KE5" i="11" l="1"/>
  <c r="KD6" i="11"/>
  <c r="KE6" i="11" l="1"/>
  <c r="KF5" i="11"/>
  <c r="KF6" i="11" l="1"/>
  <c r="KG5" i="11"/>
  <c r="KG6" i="11" l="1"/>
  <c r="KH5" i="11"/>
  <c r="KH6" i="11" l="1"/>
  <c r="KI5" i="11"/>
  <c r="KI6" i="11" l="1"/>
  <c r="KJ5" i="11"/>
  <c r="KK5" i="11" l="1"/>
  <c r="KJ4" i="11"/>
  <c r="KJ6" i="11"/>
  <c r="KL5" i="11" l="1"/>
  <c r="KK6" i="11"/>
  <c r="KM5" i="11" l="1"/>
  <c r="KL6" i="11"/>
  <c r="KM6" i="11" l="1"/>
  <c r="KN5" i="11"/>
  <c r="KN6" i="11" l="1"/>
  <c r="KO5" i="11"/>
  <c r="KO6" i="11" l="1"/>
  <c r="KP5" i="11"/>
  <c r="KP6" i="11" l="1"/>
  <c r="KQ5" i="11"/>
  <c r="KR5" i="11" l="1"/>
  <c r="KQ6" i="11"/>
  <c r="KQ4" i="11"/>
  <c r="KR6" i="11" l="1"/>
  <c r="KS5" i="11"/>
  <c r="KS6" i="11" l="1"/>
  <c r="KT5" i="11"/>
  <c r="KT6" i="11" l="1"/>
  <c r="KU5" i="11"/>
  <c r="KU6" i="11" l="1"/>
  <c r="KV5" i="11"/>
  <c r="KV6" i="11" l="1"/>
  <c r="KW5" i="11"/>
  <c r="KW6" i="11" l="1"/>
  <c r="KX5" i="11"/>
  <c r="KY5" i="11" l="1"/>
  <c r="KX4" i="11"/>
  <c r="KX6" i="11"/>
  <c r="KZ5" i="11" l="1"/>
  <c r="KY6" i="11"/>
  <c r="KZ6" i="11" l="1"/>
  <c r="LA5" i="11"/>
  <c r="LB5" i="11" l="1"/>
  <c r="LA6" i="11"/>
  <c r="LB6" i="11" l="1"/>
  <c r="LC5" i="11"/>
  <c r="LC6" i="11" l="1"/>
  <c r="LD5" i="11"/>
  <c r="LD6" i="11" l="1"/>
  <c r="LE5" i="11"/>
  <c r="LF5" i="11" l="1"/>
  <c r="LE4" i="11"/>
  <c r="LE6" i="11"/>
  <c r="LF6" i="11" l="1"/>
  <c r="LG5" i="11"/>
  <c r="LG6" i="11" l="1"/>
  <c r="LH5" i="11"/>
  <c r="LH6" i="11" l="1"/>
  <c r="LI5" i="11"/>
  <c r="LI6" i="11" l="1"/>
  <c r="LJ5" i="11"/>
  <c r="LJ6" i="11" l="1"/>
  <c r="LK5" i="11"/>
  <c r="LK6" i="11" l="1"/>
  <c r="LL5" i="11"/>
  <c r="LM5" i="11" l="1"/>
  <c r="LL4" i="11"/>
  <c r="LL6" i="11"/>
  <c r="LM6" i="11" l="1"/>
  <c r="LN5" i="11"/>
  <c r="LN6" i="11" l="1"/>
  <c r="LO5" i="11"/>
  <c r="LO6" i="11" l="1"/>
  <c r="LP5" i="11"/>
  <c r="LP6" i="11" l="1"/>
  <c r="LQ5" i="11"/>
  <c r="LQ6" i="11" l="1"/>
  <c r="LR5" i="11"/>
  <c r="LR6" i="11" l="1"/>
  <c r="LS5" i="11"/>
  <c r="LS6" i="11" l="1"/>
  <c r="LT5" i="11"/>
  <c r="LS4" i="11"/>
  <c r="LT6" i="11" l="1"/>
  <c r="LU5" i="11"/>
  <c r="LU6" i="11" l="1"/>
  <c r="LV5" i="11"/>
  <c r="LV6" i="11" l="1"/>
  <c r="LW5" i="11"/>
  <c r="LW6" i="11" l="1"/>
  <c r="LX5" i="11"/>
  <c r="LX6" i="11" l="1"/>
  <c r="LY5" i="11"/>
  <c r="LY6" i="11" l="1"/>
  <c r="LZ5" i="11"/>
  <c r="LZ6" i="11" l="1"/>
  <c r="LZ4" i="11"/>
  <c r="MA5" i="11"/>
  <c r="MA6" i="11" l="1"/>
  <c r="MB5" i="11"/>
  <c r="MB6" i="11" l="1"/>
  <c r="MC5" i="11"/>
  <c r="MD5" i="11" l="1"/>
  <c r="MC6" i="11"/>
  <c r="ME5" i="11" l="1"/>
  <c r="MD6" i="11"/>
  <c r="MF5" i="11" l="1"/>
  <c r="ME6" i="11"/>
  <c r="MF6" i="11" l="1"/>
  <c r="MG5" i="11"/>
  <c r="MG4" i="11" l="1"/>
  <c r="MH5" i="11"/>
  <c r="MG6" i="11"/>
  <c r="MH6" i="11" l="1"/>
  <c r="MI5" i="11"/>
  <c r="MI6" i="11" l="1"/>
  <c r="MJ5" i="11"/>
  <c r="MJ6" i="11" l="1"/>
  <c r="MK5" i="11"/>
  <c r="MK6" i="11" l="1"/>
  <c r="ML5" i="11"/>
  <c r="ML6" i="11" l="1"/>
  <c r="MM5" i="11"/>
  <c r="MM6" i="11" l="1"/>
  <c r="MN5" i="11"/>
  <c r="MO5" i="11" l="1"/>
  <c r="MN6" i="11"/>
  <c r="MN4" i="11"/>
  <c r="MO6" i="11" l="1"/>
  <c r="MP5" i="11"/>
  <c r="MP6" i="11" l="1"/>
  <c r="MQ5" i="11"/>
  <c r="MQ6" i="11" l="1"/>
  <c r="MR5" i="11"/>
  <c r="MR6" i="11" l="1"/>
  <c r="MS5" i="11"/>
  <c r="MS6" i="11" l="1"/>
  <c r="MT5" i="11"/>
  <c r="MT6" i="11" l="1"/>
  <c r="MU5" i="11"/>
  <c r="MV5" i="11" l="1"/>
  <c r="MU6" i="11"/>
  <c r="MU4" i="11"/>
  <c r="MW5" i="11" l="1"/>
  <c r="MV6" i="11"/>
  <c r="MW6" i="11" l="1"/>
  <c r="MX5" i="11"/>
  <c r="MX6" i="11" l="1"/>
  <c r="MY5" i="11"/>
  <c r="MY6" i="11" l="1"/>
  <c r="MZ5" i="11"/>
  <c r="MZ6" i="11" l="1"/>
  <c r="NA5" i="11"/>
  <c r="NA6" i="11" l="1"/>
  <c r="NB5" i="11"/>
  <c r="NB6" i="11" l="1"/>
  <c r="NB4" i="11"/>
  <c r="NC5" i="11"/>
  <c r="ND5" i="11" l="1"/>
  <c r="NC6" i="11"/>
  <c r="NE5" i="11" l="1"/>
  <c r="ND6" i="11"/>
  <c r="NF5" i="11" l="1"/>
  <c r="NE6" i="11"/>
  <c r="NG5" i="11" l="1"/>
  <c r="NF6" i="11"/>
  <c r="NH5" i="11" l="1"/>
  <c r="NH6" i="11" s="1"/>
  <c r="NG6" i="11"/>
</calcChain>
</file>

<file path=xl/sharedStrings.xml><?xml version="1.0" encoding="utf-8"?>
<sst xmlns="http://schemas.openxmlformats.org/spreadsheetml/2006/main" count="58" uniqueCount="58">
  <si>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</si>
  <si>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ISAAC</t>
  </si>
  <si>
    <t>Immettere il nome della società nella cella B2.</t>
  </si>
  <si>
    <t>Teleconsys S.p.A.</t>
  </si>
  <si>
    <t>Immettere il nome del Responsabile di progetto nella cella B3. Immettere la data di inizio del progetto nella cella E3. Inizio progetto: l’etichetta si trova nella cella C3.</t>
  </si>
  <si>
    <t>Inizio progetto:</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</si>
  <si>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</si>
  <si>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</si>
  <si>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</si>
  <si>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ATTIVITÀ</t>
  </si>
  <si>
    <t>INIZIO</t>
  </si>
  <si>
    <t>FINE</t>
  </si>
  <si>
    <t>GIORNI</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</si>
  <si>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</si>
  <si>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</si>
  <si>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 xml:space="preserve">Identificazione esigenze e requisti funzionali </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</si>
  <si>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</si>
  <si>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Analisi delle normative</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</si>
  <si>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</si>
  <si>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Definizione degli scenari di utilizzo</t>
  </si>
  <si>
    <t>Validazione dei requisiti con gli stakeholder</t>
  </si>
  <si>
    <t>Identificazione risorse HW</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</si>
  <si>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</si>
  <si>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Ricerca, Sviluppo e Implementazione</t>
  </si>
  <si>
    <t>Studio stato dell'arte modelli AI</t>
  </si>
  <si>
    <t>Addestramento modelli AI</t>
  </si>
  <si>
    <t>Scelta e configurazione HW</t>
  </si>
  <si>
    <t>Integrazione servizio AI/HW</t>
  </si>
  <si>
    <t>Esempio di blocco con titolo di fase</t>
  </si>
  <si>
    <t>Configurazione modello AI</t>
  </si>
  <si>
    <t xml:space="preserve">      Realizzazione testbed in ambiente operativo</t>
  </si>
  <si>
    <t xml:space="preserve">      Verifica prestazioni modello</t>
  </si>
  <si>
    <t xml:space="preserve">      Verifica conformità requisiti di sicurezza</t>
  </si>
  <si>
    <t>Azioni correttive</t>
  </si>
  <si>
    <t>Deployment</t>
  </si>
  <si>
    <t>Formazione personale</t>
  </si>
  <si>
    <t>Questa è una riga vuota</t>
  </si>
  <si>
    <t>Attivazione e monitoraggio sistema in "test"</t>
  </si>
  <si>
    <t>Messa in produzione controllata</t>
  </si>
  <si>
    <t>Questa riga indica la fine della Pianificazione del progetto. NON immettere dati in questa riga. 
È possibile inserire nuove righe SOPRA per continuare a costruire la pianificazione del progetto.</t>
  </si>
  <si>
    <t>Adattamento sistema a flussi esistenti</t>
  </si>
  <si>
    <t>Realizzazione web application</t>
  </si>
  <si>
    <t xml:space="preserve">Solution Architect </t>
  </si>
  <si>
    <t>AI Engineer</t>
  </si>
  <si>
    <t>CyberSecurity Specialist</t>
  </si>
  <si>
    <t>Innovation Manager</t>
  </si>
  <si>
    <t>Full Stack Developer</t>
  </si>
  <si>
    <t>Tester</t>
  </si>
  <si>
    <t>Sistemista</t>
  </si>
  <si>
    <t>Costo totale</t>
  </si>
  <si>
    <t>Costo Giornaliero</t>
  </si>
  <si>
    <t>Costi personale</t>
  </si>
  <si>
    <t>Costi Attrezzature</t>
  </si>
  <si>
    <t>cablaggi</t>
  </si>
  <si>
    <t>2 serrature elettromeccaniche</t>
  </si>
  <si>
    <t>manodopera</t>
  </si>
  <si>
    <t>4 telecamere IP (UniFi AI Professional)</t>
  </si>
  <si>
    <t>Costi Totali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</si>
</sst>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 numFmtId="170" formatCode="#,##0.00\ &quot;€&quot;"/>
    <numFmt numFmtId="171" formatCode="0.000"/>
    <numFmt numFmtId="172" formatCode="#,##0.000\ &quot;€&quot;"/>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Abadi"/>
      <family val="2"/>
    </font>
    <font>
      <sz val="8"/>
      <color theme="1"/>
      <name val="Calibri"/>
      <family val="2"/>
      <scheme val="minor"/>
    </font>
    <font>
      <b/>
      <sz val="11"/>
      <color rgb="FFFF0000"/>
      <name val="Calibri"/>
      <family val="2"/>
      <scheme val="minor"/>
    </font>
    <font>
      <b/>
      <sz val="14"/>
      <color rgb="FF427FC2"/>
      <name val="Calibri"/>
      <family val="2"/>
      <scheme val="minor"/>
    </font>
  </fonts>
  <fills count="5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tint="-0.499984740745262"/>
        <bgColor indexed="64"/>
      </patternFill>
    </fill>
    <fill>
      <patternFill patternType="gray0625">
        <bgColor theme="9" tint="0.39994506668294322"/>
      </patternFill>
    </fill>
  </fills>
  <borders count="4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style="medium">
        <color rgb="FF427FC2"/>
      </left>
      <right/>
      <top style="medium">
        <color theme="0" tint="-0.14996795556505021"/>
      </top>
      <bottom style="medium">
        <color theme="0" tint="-0.14996795556505021"/>
      </bottom>
      <diagonal/>
    </border>
    <border>
      <left/>
      <right style="medium">
        <color rgb="FF427FC2"/>
      </right>
      <top style="medium">
        <color theme="0" tint="-0.14996795556505021"/>
      </top>
      <bottom style="medium">
        <color theme="0" tint="-0.14996795556505021"/>
      </bottom>
      <diagonal/>
    </border>
    <border>
      <left style="medium">
        <color rgb="FF427FC2"/>
      </left>
      <right style="thin">
        <color theme="0" tint="-0.14993743705557422"/>
      </right>
      <top style="medium">
        <color theme="0" tint="-0.14996795556505021"/>
      </top>
      <bottom style="medium">
        <color theme="0" tint="-0.14996795556505021"/>
      </bottom>
      <diagonal/>
    </border>
    <border>
      <left style="thin">
        <color theme="0" tint="-0.14993743705557422"/>
      </left>
      <right style="medium">
        <color rgb="FF427FC2"/>
      </right>
      <top style="medium">
        <color theme="0" tint="-0.14996795556505021"/>
      </top>
      <bottom style="medium">
        <color theme="0" tint="-0.14996795556505021"/>
      </bottom>
      <diagonal/>
    </border>
    <border>
      <left style="medium">
        <color rgb="FF427FC2"/>
      </left>
      <right style="thin">
        <color theme="0" tint="-0.14993743705557422"/>
      </right>
      <top style="medium">
        <color theme="0" tint="-0.14996795556505021"/>
      </top>
      <bottom/>
      <diagonal/>
    </border>
    <border>
      <left style="medium">
        <color rgb="FF427FC2"/>
      </left>
      <right/>
      <top/>
      <bottom/>
      <diagonal/>
    </border>
    <border>
      <left style="thin">
        <color theme="0" tint="-0.14993743705557422"/>
      </left>
      <right/>
      <top style="medium">
        <color theme="0" tint="-0.14996795556505021"/>
      </top>
      <bottom style="medium">
        <color theme="0" tint="-0.14996795556505021"/>
      </bottom>
      <diagonal/>
    </border>
    <border>
      <left style="medium">
        <color theme="5" tint="0.39994506668294322"/>
      </left>
      <right style="medium">
        <color rgb="FF427FC2"/>
      </right>
      <top style="medium">
        <color theme="0" tint="-0.14996795556505021"/>
      </top>
      <bottom style="medium">
        <color theme="0" tint="-0.14996795556505021"/>
      </bottom>
      <diagonal/>
    </border>
    <border>
      <left/>
      <right style="medium">
        <color theme="5" tint="0.39994506668294322"/>
      </right>
      <top style="medium">
        <color theme="0" tint="-0.14996795556505021"/>
      </top>
      <bottom style="medium">
        <color theme="0" tint="-0.14996795556505021"/>
      </bottom>
      <diagonal/>
    </border>
    <border>
      <left style="thin">
        <color theme="0" tint="-0.14993743705557422"/>
      </left>
      <right style="medium">
        <color theme="5" tint="0.39994506668294322"/>
      </right>
      <top style="medium">
        <color theme="0" tint="-0.14996795556505021"/>
      </top>
      <bottom style="medium">
        <color theme="0" tint="-0.14996795556505021"/>
      </bottom>
      <diagonal/>
    </border>
    <border>
      <left style="medium">
        <color theme="5" tint="0.39994506668294322"/>
      </left>
      <right style="medium">
        <color rgb="FF427FC2"/>
      </right>
      <top/>
      <bottom/>
      <diagonal/>
    </border>
    <border>
      <left/>
      <right style="medium">
        <color theme="5" tint="0.39994506668294322"/>
      </right>
      <top/>
      <bottom/>
      <diagonal/>
    </border>
    <border>
      <left style="medium">
        <color theme="6" tint="-0.24994659260841701"/>
      </left>
      <right/>
      <top style="medium">
        <color theme="0" tint="-0.14996795556505021"/>
      </top>
      <bottom style="medium">
        <color theme="0" tint="-0.14996795556505021"/>
      </bottom>
      <diagonal/>
    </border>
    <border>
      <left/>
      <right style="medium">
        <color theme="6" tint="-0.24994659260841701"/>
      </right>
      <top style="medium">
        <color theme="0" tint="-0.14996795556505021"/>
      </top>
      <bottom style="medium">
        <color theme="0" tint="-0.14996795556505021"/>
      </bottom>
      <diagonal/>
    </border>
    <border>
      <left style="medium">
        <color theme="6" tint="-0.24994659260841701"/>
      </left>
      <right style="thin">
        <color theme="0" tint="-0.14993743705557422"/>
      </right>
      <top style="medium">
        <color theme="0" tint="-0.14996795556505021"/>
      </top>
      <bottom style="medium">
        <color theme="0" tint="-0.14996795556505021"/>
      </bottom>
      <diagonal/>
    </border>
    <border>
      <left style="thin">
        <color theme="0" tint="-0.14993743705557422"/>
      </left>
      <right style="medium">
        <color theme="6" tint="-0.24994659260841701"/>
      </right>
      <top style="medium">
        <color theme="0" tint="-0.14996795556505021"/>
      </top>
      <bottom style="medium">
        <color theme="0" tint="-0.14996795556505021"/>
      </bottom>
      <diagonal/>
    </border>
    <border>
      <left style="medium">
        <color theme="6" tint="-0.24994659260841701"/>
      </left>
      <right/>
      <top/>
      <bottom/>
      <diagonal/>
    </border>
    <border>
      <left/>
      <right style="medium">
        <color theme="6" tint="-0.24994659260841701"/>
      </right>
      <top/>
      <bottom/>
      <diagonal/>
    </border>
    <border>
      <left style="thin">
        <color theme="0" tint="-0.14993743705557422"/>
      </left>
      <right style="medium">
        <color theme="9" tint="-0.24994659260841701"/>
      </right>
      <top style="medium">
        <color theme="0" tint="-0.14996795556505021"/>
      </top>
      <bottom style="medium">
        <color theme="0" tint="-0.14996795556505021"/>
      </bottom>
      <diagonal/>
    </border>
    <border>
      <left style="hair">
        <color auto="1"/>
      </left>
      <right style="hair">
        <color auto="1"/>
      </right>
      <top style="hair">
        <color auto="1"/>
      </top>
      <bottom style="hair">
        <color auto="1"/>
      </bottom>
      <diagonal/>
    </border>
    <border>
      <left style="thin">
        <color theme="0" tint="-0.14993743705557422"/>
      </left>
      <right style="thin">
        <color theme="0" tint="-0.14990691854609822"/>
      </right>
      <top style="medium">
        <color theme="0" tint="-0.14996795556505021"/>
      </top>
      <bottom style="medium">
        <color theme="0" tint="-0.14996795556505021"/>
      </bottom>
      <diagonal/>
    </border>
    <border>
      <left style="thin">
        <color theme="0" tint="-0.14990691854609822"/>
      </left>
      <right style="thin">
        <color theme="0" tint="-0.14993743705557422"/>
      </right>
      <top style="medium">
        <color theme="0" tint="-0.14996795556505021"/>
      </top>
      <bottom style="medium">
        <color theme="0" tint="-0.14996795556505021"/>
      </bottom>
      <diagonal/>
    </border>
    <border>
      <left style="medium">
        <color theme="9"/>
      </left>
      <right/>
      <top style="medium">
        <color theme="0" tint="-0.14996795556505021"/>
      </top>
      <bottom style="medium">
        <color theme="0" tint="-0.14996795556505021"/>
      </bottom>
      <diagonal/>
    </border>
    <border>
      <left style="medium">
        <color theme="9"/>
      </left>
      <right style="thin">
        <color theme="0" tint="-0.14993743705557422"/>
      </right>
      <top style="medium">
        <color theme="0" tint="-0.14996795556505021"/>
      </top>
      <bottom style="medium">
        <color theme="0" tint="-0.14996795556505021"/>
      </bottom>
      <diagonal/>
    </border>
    <border>
      <left style="medium">
        <color theme="9"/>
      </left>
      <right/>
      <top/>
      <bottom/>
      <diagonal/>
    </border>
    <border>
      <left/>
      <right style="medium">
        <color theme="9"/>
      </right>
      <top style="medium">
        <color theme="0" tint="-0.14996795556505021"/>
      </top>
      <bottom style="medium">
        <color theme="0" tint="-0.14996795556505021"/>
      </bottom>
      <diagonal/>
    </border>
    <border>
      <left style="thin">
        <color theme="0" tint="-0.14993743705557422"/>
      </left>
      <right style="medium">
        <color theme="9"/>
      </right>
      <top style="medium">
        <color theme="0" tint="-0.14996795556505021"/>
      </top>
      <bottom style="medium">
        <color theme="0" tint="-0.14996795556505021"/>
      </bottom>
      <diagonal/>
    </border>
    <border>
      <left/>
      <right style="medium">
        <color theme="9"/>
      </right>
      <top/>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7"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5"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6" fillId="0" borderId="0" applyNumberFormat="0" applyFill="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20" fillId="14" borderId="11" applyNumberFormat="0" applyAlignment="0" applyProtection="0"/>
    <xf numFmtId="0" fontId="21" fillId="15" borderId="12" applyNumberFormat="0" applyAlignment="0" applyProtection="0"/>
    <xf numFmtId="0" fontId="22" fillId="15" borderId="11" applyNumberFormat="0" applyAlignment="0" applyProtection="0"/>
    <xf numFmtId="0" fontId="23" fillId="0" borderId="13" applyNumberFormat="0" applyFill="0" applyAlignment="0" applyProtection="0"/>
    <xf numFmtId="0" fontId="24" fillId="16" borderId="14" applyNumberFormat="0" applyAlignment="0" applyProtection="0"/>
    <xf numFmtId="0" fontId="25" fillId="0" borderId="0" applyNumberFormat="0" applyFill="0" applyBorder="0" applyAlignment="0" applyProtection="0"/>
    <xf numFmtId="0" fontId="7" fillId="17"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2"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12"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12"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12"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12"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2"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14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2" fillId="0" borderId="0" xfId="3"/>
    <xf numFmtId="0" fontId="12" fillId="0" borderId="0" xfId="3" applyAlignment="1">
      <alignment wrapText="1"/>
    </xf>
    <xf numFmtId="0" fontId="12"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6" borderId="2" xfId="11" applyFill="1">
      <alignment horizontal="center" vertical="center"/>
    </xf>
    <xf numFmtId="0" fontId="7" fillId="2" borderId="2" xfId="11" applyFill="1">
      <alignment horizontal="center" vertical="center"/>
    </xf>
    <xf numFmtId="0" fontId="7" fillId="7"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8"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8" borderId="2" xfId="12" applyFill="1">
      <alignment horizontal="left" vertical="center" indent="2"/>
    </xf>
    <xf numFmtId="0" fontId="0" fillId="0" borderId="10" xfId="0" applyBorder="1"/>
    <xf numFmtId="0" fontId="13" fillId="0" borderId="0" xfId="0" applyFont="1"/>
    <xf numFmtId="0" fontId="14" fillId="0" borderId="0" xfId="1" applyFont="1" applyProtection="1">
      <alignment vertical="top"/>
    </xf>
    <xf numFmtId="166" fontId="0" fillId="6" borderId="2" xfId="0" applyNumberFormat="1" applyFill="1" applyBorder="1" applyAlignment="1">
      <alignment horizontal="center" vertical="center"/>
    </xf>
    <xf numFmtId="166" fontId="4" fillId="6" borderId="2" xfId="0" applyNumberFormat="1" applyFont="1" applyFill="1" applyBorder="1" applyAlignment="1">
      <alignment horizontal="center" vertical="center"/>
    </xf>
    <xf numFmtId="166" fontId="7" fillId="2" borderId="2" xfId="10" applyFill="1">
      <alignment horizontal="center" vertical="center"/>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3"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8" borderId="2" xfId="10" applyFill="1">
      <alignment horizontal="center" vertical="center"/>
    </xf>
    <xf numFmtId="169" fontId="9" fillId="5" borderId="6" xfId="0" applyNumberFormat="1" applyFont="1" applyFill="1" applyBorder="1" applyAlignment="1">
      <alignment horizontal="center" vertical="center"/>
    </xf>
    <xf numFmtId="169" fontId="9" fillId="5" borderId="0" xfId="0" applyNumberFormat="1" applyFont="1" applyFill="1" applyAlignment="1">
      <alignment horizontal="center" vertical="center"/>
    </xf>
    <xf numFmtId="169" fontId="9" fillId="5" borderId="7" xfId="0" applyNumberFormat="1" applyFont="1" applyFill="1" applyBorder="1" applyAlignment="1">
      <alignment horizontal="center" vertical="center"/>
    </xf>
    <xf numFmtId="0" fontId="7" fillId="42" borderId="2" xfId="11" applyFill="1">
      <alignment horizontal="center" vertical="center"/>
    </xf>
    <xf numFmtId="9" fontId="4" fillId="42" borderId="2" xfId="2" applyFont="1" applyFill="1" applyBorder="1" applyAlignment="1">
      <alignment horizontal="center" vertical="center"/>
    </xf>
    <xf numFmtId="166" fontId="7" fillId="42" borderId="2" xfId="10" applyFill="1">
      <alignment horizontal="center" vertical="center"/>
    </xf>
    <xf numFmtId="0" fontId="7" fillId="42" borderId="2" xfId="12" applyFill="1">
      <alignment horizontal="left" vertical="center" indent="2"/>
    </xf>
    <xf numFmtId="0" fontId="5" fillId="43" borderId="2" xfId="0" applyFont="1" applyFill="1" applyBorder="1" applyAlignment="1">
      <alignment horizontal="left" vertical="center" indent="1"/>
    </xf>
    <xf numFmtId="0" fontId="7" fillId="43" borderId="2" xfId="11" applyFill="1">
      <alignment horizontal="center" vertical="center"/>
    </xf>
    <xf numFmtId="9" fontId="4" fillId="43" borderId="2" xfId="2" applyFont="1" applyFill="1" applyBorder="1" applyAlignment="1">
      <alignment horizontal="center" vertical="center"/>
    </xf>
    <xf numFmtId="166" fontId="0" fillId="43" borderId="2" xfId="0" applyNumberFormat="1" applyFill="1" applyBorder="1" applyAlignment="1">
      <alignment horizontal="center" vertical="center"/>
    </xf>
    <xf numFmtId="166" fontId="4" fillId="43" borderId="2" xfId="0" applyNumberFormat="1" applyFont="1" applyFill="1" applyBorder="1" applyAlignment="1">
      <alignment horizontal="center" vertical="center"/>
    </xf>
    <xf numFmtId="0" fontId="7" fillId="8" borderId="2" xfId="11" applyFill="1" applyAlignment="1">
      <alignment horizontal="left" vertical="center"/>
    </xf>
    <xf numFmtId="9" fontId="7" fillId="8" borderId="2" xfId="11" applyNumberFormat="1" applyFill="1">
      <alignment horizontal="center" vertical="center"/>
    </xf>
    <xf numFmtId="166" fontId="7" fillId="8" borderId="2" xfId="11" applyNumberFormat="1" applyFill="1">
      <alignment horizontal="center"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166" fontId="0" fillId="6" borderId="20" xfId="0" applyNumberFormat="1" applyFill="1" applyBorder="1" applyAlignment="1">
      <alignment horizontal="center" vertical="center"/>
    </xf>
    <xf numFmtId="166" fontId="0" fillId="6" borderId="21" xfId="0" applyNumberFormat="1" applyFill="1" applyBorder="1" applyAlignment="1">
      <alignment horizontal="center"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xf numFmtId="0" fontId="0" fillId="0" borderId="26" xfId="0" applyBorder="1" applyAlignment="1">
      <alignment vertical="center"/>
    </xf>
    <xf numFmtId="166" fontId="0" fillId="7" borderId="27" xfId="0" applyNumberFormat="1" applyFill="1" applyBorder="1" applyAlignment="1">
      <alignment horizontal="center" vertical="center"/>
    </xf>
    <xf numFmtId="166" fontId="0" fillId="7" borderId="28" xfId="0" applyNumberFormat="1" applyFill="1" applyBorder="1" applyAlignment="1">
      <alignment horizontal="center" vertical="center"/>
    </xf>
    <xf numFmtId="0" fontId="0" fillId="0" borderId="27" xfId="0" applyBorder="1" applyAlignment="1">
      <alignment vertical="center"/>
    </xf>
    <xf numFmtId="0" fontId="0" fillId="0" borderId="29" xfId="0" applyBorder="1" applyAlignment="1">
      <alignment vertical="center"/>
    </xf>
    <xf numFmtId="166" fontId="0" fillId="4" borderId="28" xfId="0" applyNumberFormat="1" applyFill="1" applyBorder="1" applyAlignment="1">
      <alignment horizontal="center" vertical="center"/>
    </xf>
    <xf numFmtId="0" fontId="0" fillId="0" borderId="30" xfId="0" applyBorder="1"/>
    <xf numFmtId="0" fontId="0" fillId="0" borderId="31" xfId="0" applyBorder="1" applyAlignment="1">
      <alignment vertical="center"/>
    </xf>
    <xf numFmtId="0" fontId="0" fillId="0" borderId="31" xfId="0" applyBorder="1"/>
    <xf numFmtId="166" fontId="0" fillId="4" borderId="32" xfId="0" applyNumberFormat="1" applyFill="1" applyBorder="1" applyAlignment="1">
      <alignment horizontal="center" vertical="center"/>
    </xf>
    <xf numFmtId="166" fontId="0" fillId="4" borderId="33" xfId="0" applyNumberFormat="1" applyFill="1" applyBorder="1" applyAlignment="1">
      <alignment horizontal="center" vertical="center"/>
    </xf>
    <xf numFmtId="0" fontId="0" fillId="0" borderId="34" xfId="0" applyBorder="1" applyAlignment="1">
      <alignment vertical="center"/>
    </xf>
    <xf numFmtId="0" fontId="0" fillId="0" borderId="35" xfId="0" applyBorder="1" applyAlignment="1">
      <alignment vertical="center"/>
    </xf>
    <xf numFmtId="166" fontId="0" fillId="43" borderId="33" xfId="0" applyNumberFormat="1" applyFill="1" applyBorder="1" applyAlignment="1">
      <alignment horizontal="center" vertical="center"/>
    </xf>
    <xf numFmtId="0" fontId="0" fillId="0" borderId="36" xfId="0" applyBorder="1" applyAlignment="1">
      <alignment vertical="center"/>
    </xf>
    <xf numFmtId="0" fontId="0" fillId="0" borderId="37" xfId="0" applyBorder="1" applyAlignment="1">
      <alignment vertical="center"/>
    </xf>
    <xf numFmtId="0" fontId="0" fillId="0" borderId="36" xfId="0" applyBorder="1"/>
    <xf numFmtId="0" fontId="0" fillId="0" borderId="37" xfId="0" applyBorder="1"/>
    <xf numFmtId="0" fontId="0" fillId="0" borderId="38" xfId="0" applyBorder="1" applyAlignment="1">
      <alignment vertical="center"/>
    </xf>
    <xf numFmtId="0" fontId="27" fillId="0" borderId="39" xfId="0" applyFont="1" applyBorder="1"/>
    <xf numFmtId="170" fontId="27" fillId="0" borderId="39" xfId="0" applyNumberFormat="1" applyFont="1" applyBorder="1" applyAlignment="1">
      <alignment horizontal="center"/>
    </xf>
    <xf numFmtId="171" fontId="0" fillId="0" borderId="0" xfId="0" applyNumberFormat="1"/>
    <xf numFmtId="172" fontId="0" fillId="0" borderId="0" xfId="0" applyNumberFormat="1" applyAlignment="1">
      <alignment horizontal="center"/>
    </xf>
    <xf numFmtId="172" fontId="29" fillId="0" borderId="0" xfId="0" applyNumberFormat="1" applyFont="1" applyAlignment="1">
      <alignment horizontal="center"/>
    </xf>
    <xf numFmtId="0" fontId="27" fillId="0" borderId="0" xfId="0" applyFont="1"/>
    <xf numFmtId="172" fontId="30" fillId="0" borderId="0" xfId="0" applyNumberFormat="1" applyFont="1" applyAlignment="1">
      <alignment horizontal="center"/>
    </xf>
    <xf numFmtId="0" fontId="29" fillId="0" borderId="0" xfId="0" applyFont="1" applyAlignment="1">
      <alignment horizontal="right"/>
    </xf>
    <xf numFmtId="0" fontId="30" fillId="0" borderId="0" xfId="0" applyFont="1" applyAlignment="1">
      <alignment horizontal="right"/>
    </xf>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0" fontId="7" fillId="0" borderId="0" xfId="8">
      <alignment horizontal="right" indent="1"/>
    </xf>
    <xf numFmtId="0" fontId="7" fillId="0" borderId="7" xfId="8" applyBorder="1">
      <alignment horizontal="right" indent="1"/>
    </xf>
    <xf numFmtId="0" fontId="12" fillId="0" borderId="1" xfId="8" applyFont="1" applyBorder="1">
      <alignment horizontal="right" indent="1"/>
    </xf>
    <xf numFmtId="167" fontId="7" fillId="0" borderId="3" xfId="9">
      <alignment horizontal="center" vertical="center"/>
    </xf>
    <xf numFmtId="171" fontId="28" fillId="44" borderId="25" xfId="0" applyNumberFormat="1" applyFont="1" applyFill="1" applyBorder="1"/>
    <xf numFmtId="171" fontId="28" fillId="44" borderId="0" xfId="0" applyNumberFormat="1" applyFont="1" applyFill="1"/>
    <xf numFmtId="0" fontId="0" fillId="44" borderId="25" xfId="0" applyFill="1" applyBorder="1"/>
    <xf numFmtId="0" fontId="0" fillId="44" borderId="0" xfId="0" applyFill="1"/>
    <xf numFmtId="171" fontId="28" fillId="45" borderId="30" xfId="0" applyNumberFormat="1" applyFont="1" applyFill="1" applyBorder="1"/>
    <xf numFmtId="0" fontId="0" fillId="45" borderId="30" xfId="0" applyFill="1" applyBorder="1"/>
    <xf numFmtId="171" fontId="0" fillId="7" borderId="0" xfId="0" applyNumberFormat="1" applyFill="1"/>
    <xf numFmtId="0" fontId="0" fillId="7" borderId="0" xfId="0" applyFill="1"/>
    <xf numFmtId="0" fontId="0" fillId="0" borderId="40" xfId="0" applyBorder="1" applyAlignment="1">
      <alignment vertical="center"/>
    </xf>
    <xf numFmtId="0" fontId="0" fillId="0" borderId="41" xfId="0" applyBorder="1" applyAlignment="1">
      <alignment vertical="center"/>
    </xf>
    <xf numFmtId="171" fontId="0" fillId="46" borderId="36" xfId="0" applyNumberFormat="1" applyFill="1" applyBorder="1"/>
    <xf numFmtId="171" fontId="0" fillId="46" borderId="0" xfId="0" applyNumberFormat="1" applyFill="1"/>
    <xf numFmtId="171" fontId="0" fillId="4" borderId="0" xfId="0" applyNumberFormat="1" applyFill="1"/>
    <xf numFmtId="171" fontId="0" fillId="47" borderId="0" xfId="0" applyNumberFormat="1" applyFill="1"/>
    <xf numFmtId="171" fontId="0" fillId="47" borderId="37" xfId="0" applyNumberFormat="1" applyFill="1" applyBorder="1"/>
    <xf numFmtId="166" fontId="0" fillId="43" borderId="42" xfId="0" applyNumberFormat="1" applyFill="1" applyBorder="1" applyAlignment="1">
      <alignment horizontal="center" vertical="center"/>
    </xf>
    <xf numFmtId="0" fontId="0" fillId="0" borderId="43" xfId="0" applyBorder="1" applyAlignment="1">
      <alignment vertical="center"/>
    </xf>
    <xf numFmtId="0" fontId="0" fillId="0" borderId="44" xfId="0" applyBorder="1" applyAlignment="1">
      <alignment vertical="center"/>
    </xf>
    <xf numFmtId="0" fontId="0" fillId="0" borderId="44" xfId="0" applyBorder="1"/>
    <xf numFmtId="166" fontId="0" fillId="43" borderId="45" xfId="0" applyNumberFormat="1" applyFill="1" applyBorder="1" applyAlignment="1">
      <alignment horizontal="center" vertical="center"/>
    </xf>
    <xf numFmtId="0" fontId="0" fillId="0" borderId="46" xfId="0" applyBorder="1" applyAlignment="1">
      <alignment vertical="center"/>
    </xf>
    <xf numFmtId="0" fontId="0" fillId="0" borderId="47" xfId="0" applyBorder="1" applyAlignment="1">
      <alignment vertical="center"/>
    </xf>
    <xf numFmtId="0" fontId="0" fillId="0" borderId="47" xfId="0" applyBorder="1"/>
    <xf numFmtId="171" fontId="0" fillId="43" borderId="0" xfId="0" applyNumberFormat="1" applyFill="1"/>
    <xf numFmtId="0" fontId="0" fillId="43" borderId="0" xfId="0" applyFill="1" applyAlignment="1">
      <alignment vertical="center"/>
    </xf>
    <xf numFmtId="0" fontId="0" fillId="43" borderId="0" xfId="0" applyFill="1"/>
    <xf numFmtId="0" fontId="0" fillId="48" borderId="0" xfId="0" applyFill="1"/>
    <xf numFmtId="171" fontId="28" fillId="48" borderId="0" xfId="0" applyNumberFormat="1" applyFont="1" applyFill="1"/>
    <xf numFmtId="171" fontId="0" fillId="48" borderId="0" xfId="0" applyNumberFormat="1" applyFill="1"/>
    <xf numFmtId="171" fontId="0" fillId="7" borderId="0" xfId="0" quotePrefix="1" applyNumberFormat="1" applyFill="1"/>
    <xf numFmtId="171" fontId="0" fillId="48" borderId="31" xfId="0" applyNumberFormat="1" applyFill="1" applyBorder="1"/>
    <xf numFmtId="171" fontId="0" fillId="48" borderId="44" xfId="0" applyNumberFormat="1" applyFill="1" applyBorder="1"/>
    <xf numFmtId="0" fontId="0" fillId="49" borderId="0" xfId="0" applyFill="1"/>
    <xf numFmtId="2" fontId="0" fillId="43" borderId="47" xfId="0" applyNumberFormat="1" applyFill="1" applyBorder="1"/>
    <xf numFmtId="2" fontId="0" fillId="43" borderId="0" xfId="0" applyNumberFormat="1" applyFill="1"/>
    <xf numFmtId="2" fontId="0" fillId="48" borderId="0" xfId="0" applyNumberFormat="1" applyFill="1"/>
    <xf numFmtId="2" fontId="0" fillId="0" borderId="0" xfId="0" applyNumberFormat="1"/>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ttività" xfId="12" xr:uid="{6391D789-272B-4DD2-9BF3-2CDCF610FA4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a"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izio progetto" xfId="9" xr:uid="{8EB8A09A-C31C-40A3-B2C1-9449520178B8}"/>
    <cellStyle name="Input" xfId="21" builtinId="20" customBuiltin="1"/>
    <cellStyle name="Linked Cell" xfId="24" builtinId="24" customBuiltin="1"/>
    <cellStyle name="Neutral" xfId="20" builtinId="28" customBuiltin="1"/>
    <cellStyle name="Nome" xfId="11" xr:uid="{B2D3C1EE-6B41-4801-AAFC-C2274E49E503}"/>
    <cellStyle name="Normal" xfId="0" builtinId="0" customBuiltin="1"/>
    <cellStyle name="Note" xfId="27" builtinId="10" customBuiltin="1"/>
    <cellStyle name="Output" xfId="22" builtinId="21" customBuiltin="1"/>
    <cellStyle name="Percent" xfId="2" builtinId="5" customBuiltin="1"/>
    <cellStyle name="Title" xfId="5" builtinId="15" customBuiltin="1"/>
    <cellStyle name="Total" xfId="29" builtinId="25" customBuiltin="1"/>
    <cellStyle name="Warning Text" xfId="26" builtinId="11" customBuiltin="1"/>
    <cellStyle name="zTestoNascosto" xfId="3" xr:uid="{26E66EE6-E33F-4D77-BAE4-0FB4F5BBF673}"/>
  </cellStyles>
  <dxfs count="4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DEADB"/>
      <color rgb="FF427FC2"/>
      <color rgb="FF215881"/>
      <color rgb="FF42648A"/>
      <color rgb="FF969696"/>
      <color rgb="FFC0C0C0"/>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H46"/>
  <sheetViews>
    <sheetView showGridLines="0" tabSelected="1" showRuler="0" topLeftCell="B1" zoomScale="90" zoomScaleNormal="90" zoomScalePageLayoutView="70" workbookViewId="0">
      <pane xSplit="7" ySplit="7" topLeftCell="I33" activePane="bottomRight" state="frozen"/>
      <selection activeCell="B1" sqref="B1"/>
      <selection pane="topRight" activeCell="I1" sqref="I1"/>
      <selection pane="bottomLeft" activeCell="B8" sqref="B8"/>
      <selection pane="bottomRight" activeCell="GY37" sqref="GY37"/>
    </sheetView>
  </sheetViews>
  <sheetFormatPr defaultRowHeight="30" customHeight="1" x14ac:dyDescent="0.3"/>
  <cols>
    <col min="1" max="1" width="2.6640625" style="23" customWidth="1"/>
    <col min="2" max="2" width="30.6640625" customWidth="1"/>
    <col min="3" max="3" width="15.6640625" customWidth="1"/>
    <col min="4" max="4" width="2" customWidth="1"/>
    <col min="5" max="5" width="28.5546875" style="5" customWidth="1"/>
    <col min="6" max="6" width="10.44140625" customWidth="1"/>
    <col min="7" max="7" width="4.6640625" customWidth="1"/>
    <col min="8" max="8" width="11.109375" customWidth="1"/>
    <col min="9" max="372" width="2" customWidth="1"/>
  </cols>
  <sheetData>
    <row r="1" spans="1:372" ht="30" customHeight="1" x14ac:dyDescent="0.55000000000000004">
      <c r="A1" s="24" t="s">
        <v>0</v>
      </c>
      <c r="B1" s="27" t="s">
        <v>1</v>
      </c>
      <c r="C1" s="1"/>
      <c r="D1" s="2"/>
      <c r="E1" s="4"/>
      <c r="F1" s="22"/>
      <c r="H1" s="2"/>
      <c r="I1" s="40"/>
    </row>
    <row r="2" spans="1:372" ht="30" customHeight="1" x14ac:dyDescent="0.35">
      <c r="A2" s="23" t="s">
        <v>2</v>
      </c>
      <c r="B2" s="28" t="s">
        <v>3</v>
      </c>
      <c r="I2" s="41"/>
    </row>
    <row r="3" spans="1:372" ht="30" customHeight="1" x14ac:dyDescent="0.3">
      <c r="A3" s="23" t="s">
        <v>4</v>
      </c>
      <c r="B3" s="29"/>
      <c r="C3" s="106" t="s">
        <v>5</v>
      </c>
      <c r="D3" s="107"/>
      <c r="E3" s="109">
        <f>DATE(2024, 12, 1)</f>
        <v>45627</v>
      </c>
      <c r="F3" s="109"/>
    </row>
    <row r="4" spans="1:372" ht="30" customHeight="1" x14ac:dyDescent="0.3">
      <c r="A4" s="24" t="s">
        <v>6</v>
      </c>
      <c r="C4" s="106"/>
      <c r="D4" s="106"/>
      <c r="E4" s="108">
        <v>1</v>
      </c>
      <c r="F4" s="108"/>
      <c r="I4" s="103">
        <f>I5</f>
        <v>45628</v>
      </c>
      <c r="J4" s="104"/>
      <c r="K4" s="104"/>
      <c r="L4" s="104"/>
      <c r="M4" s="104"/>
      <c r="N4" s="104"/>
      <c r="O4" s="105"/>
      <c r="P4" s="103">
        <f>P5</f>
        <v>45635</v>
      </c>
      <c r="Q4" s="104"/>
      <c r="R4" s="104"/>
      <c r="S4" s="104"/>
      <c r="T4" s="104"/>
      <c r="U4" s="104"/>
      <c r="V4" s="105"/>
      <c r="W4" s="103">
        <f>W5</f>
        <v>45642</v>
      </c>
      <c r="X4" s="104"/>
      <c r="Y4" s="104"/>
      <c r="Z4" s="104"/>
      <c r="AA4" s="104"/>
      <c r="AB4" s="104"/>
      <c r="AC4" s="105"/>
      <c r="AD4" s="103">
        <f>AD5</f>
        <v>45649</v>
      </c>
      <c r="AE4" s="104"/>
      <c r="AF4" s="104"/>
      <c r="AG4" s="104"/>
      <c r="AH4" s="104"/>
      <c r="AI4" s="104"/>
      <c r="AJ4" s="105"/>
      <c r="AK4" s="103">
        <f>AK5</f>
        <v>45656</v>
      </c>
      <c r="AL4" s="104"/>
      <c r="AM4" s="104"/>
      <c r="AN4" s="104"/>
      <c r="AO4" s="104"/>
      <c r="AP4" s="104"/>
      <c r="AQ4" s="105"/>
      <c r="AR4" s="103">
        <f>AR5</f>
        <v>45663</v>
      </c>
      <c r="AS4" s="104"/>
      <c r="AT4" s="104"/>
      <c r="AU4" s="104"/>
      <c r="AV4" s="104"/>
      <c r="AW4" s="104"/>
      <c r="AX4" s="105"/>
      <c r="AY4" s="103">
        <f>AY5</f>
        <v>45670</v>
      </c>
      <c r="AZ4" s="104"/>
      <c r="BA4" s="104"/>
      <c r="BB4" s="104"/>
      <c r="BC4" s="104"/>
      <c r="BD4" s="104"/>
      <c r="BE4" s="105"/>
      <c r="BF4" s="103">
        <f>BF5</f>
        <v>45677</v>
      </c>
      <c r="BG4" s="104"/>
      <c r="BH4" s="104"/>
      <c r="BI4" s="104"/>
      <c r="BJ4" s="104"/>
      <c r="BK4" s="104"/>
      <c r="BL4" s="105"/>
      <c r="BM4" s="103">
        <f>BM5</f>
        <v>45684</v>
      </c>
      <c r="BN4" s="104"/>
      <c r="BO4" s="104"/>
      <c r="BP4" s="104"/>
      <c r="BQ4" s="104"/>
      <c r="BR4" s="104"/>
      <c r="BS4" s="105"/>
      <c r="BT4" s="103">
        <f>BT5</f>
        <v>45691</v>
      </c>
      <c r="BU4" s="104"/>
      <c r="BV4" s="104"/>
      <c r="BW4" s="104"/>
      <c r="BX4" s="104"/>
      <c r="BY4" s="104"/>
      <c r="BZ4" s="105"/>
      <c r="CA4" s="103">
        <f>CA5</f>
        <v>45698</v>
      </c>
      <c r="CB4" s="104"/>
      <c r="CC4" s="104"/>
      <c r="CD4" s="104"/>
      <c r="CE4" s="104"/>
      <c r="CF4" s="104"/>
      <c r="CG4" s="105"/>
      <c r="CH4" s="103">
        <f>CH5</f>
        <v>45705</v>
      </c>
      <c r="CI4" s="104"/>
      <c r="CJ4" s="104"/>
      <c r="CK4" s="104"/>
      <c r="CL4" s="104"/>
      <c r="CM4" s="104"/>
      <c r="CN4" s="105"/>
      <c r="CO4" s="103">
        <f>CO5</f>
        <v>45712</v>
      </c>
      <c r="CP4" s="104"/>
      <c r="CQ4" s="104"/>
      <c r="CR4" s="104"/>
      <c r="CS4" s="104"/>
      <c r="CT4" s="104"/>
      <c r="CU4" s="105"/>
      <c r="CV4" s="103">
        <f>CV5</f>
        <v>45719</v>
      </c>
      <c r="CW4" s="104"/>
      <c r="CX4" s="104"/>
      <c r="CY4" s="104"/>
      <c r="CZ4" s="104"/>
      <c r="DA4" s="104"/>
      <c r="DB4" s="105"/>
      <c r="DC4" s="103">
        <f>DC5</f>
        <v>45726</v>
      </c>
      <c r="DD4" s="104"/>
      <c r="DE4" s="104"/>
      <c r="DF4" s="104"/>
      <c r="DG4" s="104"/>
      <c r="DH4" s="104"/>
      <c r="DI4" s="105"/>
      <c r="DJ4" s="103">
        <f>DJ5</f>
        <v>45733</v>
      </c>
      <c r="DK4" s="104"/>
      <c r="DL4" s="104"/>
      <c r="DM4" s="104"/>
      <c r="DN4" s="104"/>
      <c r="DO4" s="104"/>
      <c r="DP4" s="105"/>
      <c r="DQ4" s="103">
        <f>DQ5</f>
        <v>45740</v>
      </c>
      <c r="DR4" s="104"/>
      <c r="DS4" s="104"/>
      <c r="DT4" s="104"/>
      <c r="DU4" s="104"/>
      <c r="DV4" s="104"/>
      <c r="DW4" s="105"/>
      <c r="DX4" s="103">
        <f>DX5</f>
        <v>45747</v>
      </c>
      <c r="DY4" s="104"/>
      <c r="DZ4" s="104"/>
      <c r="EA4" s="104"/>
      <c r="EB4" s="104"/>
      <c r="EC4" s="104"/>
      <c r="ED4" s="105"/>
      <c r="EE4" s="103">
        <f>EE5</f>
        <v>45754</v>
      </c>
      <c r="EF4" s="104"/>
      <c r="EG4" s="104"/>
      <c r="EH4" s="104"/>
      <c r="EI4" s="104"/>
      <c r="EJ4" s="104"/>
      <c r="EK4" s="105"/>
      <c r="EL4" s="103">
        <f>EL5</f>
        <v>45761</v>
      </c>
      <c r="EM4" s="104"/>
      <c r="EN4" s="104"/>
      <c r="EO4" s="104"/>
      <c r="EP4" s="104"/>
      <c r="EQ4" s="104"/>
      <c r="ER4" s="105"/>
      <c r="ES4" s="103">
        <f>ES5</f>
        <v>45768</v>
      </c>
      <c r="ET4" s="104"/>
      <c r="EU4" s="104"/>
      <c r="EV4" s="104"/>
      <c r="EW4" s="104"/>
      <c r="EX4" s="104"/>
      <c r="EY4" s="105"/>
      <c r="EZ4" s="103">
        <f>EZ5</f>
        <v>45775</v>
      </c>
      <c r="FA4" s="104"/>
      <c r="FB4" s="104"/>
      <c r="FC4" s="104"/>
      <c r="FD4" s="104"/>
      <c r="FE4" s="104"/>
      <c r="FF4" s="105"/>
      <c r="FG4" s="103">
        <f>FG5</f>
        <v>45782</v>
      </c>
      <c r="FH4" s="104"/>
      <c r="FI4" s="104"/>
      <c r="FJ4" s="104"/>
      <c r="FK4" s="104"/>
      <c r="FL4" s="104"/>
      <c r="FM4" s="105"/>
      <c r="FN4" s="103">
        <f>FN5</f>
        <v>45789</v>
      </c>
      <c r="FO4" s="104"/>
      <c r="FP4" s="104"/>
      <c r="FQ4" s="104"/>
      <c r="FR4" s="104"/>
      <c r="FS4" s="104"/>
      <c r="FT4" s="105"/>
      <c r="FU4" s="103">
        <f>FU5</f>
        <v>45796</v>
      </c>
      <c r="FV4" s="104"/>
      <c r="FW4" s="104"/>
      <c r="FX4" s="104"/>
      <c r="FY4" s="104"/>
      <c r="FZ4" s="104"/>
      <c r="GA4" s="105"/>
      <c r="GB4" s="103">
        <f>GB5</f>
        <v>45803</v>
      </c>
      <c r="GC4" s="104"/>
      <c r="GD4" s="104"/>
      <c r="GE4" s="104"/>
      <c r="GF4" s="104"/>
      <c r="GG4" s="104"/>
      <c r="GH4" s="105"/>
      <c r="GI4" s="103">
        <f>GI5</f>
        <v>45810</v>
      </c>
      <c r="GJ4" s="104"/>
      <c r="GK4" s="104"/>
      <c r="GL4" s="104"/>
      <c r="GM4" s="104"/>
      <c r="GN4" s="104"/>
      <c r="GO4" s="105"/>
      <c r="GP4" s="103">
        <f>GP5</f>
        <v>45817</v>
      </c>
      <c r="GQ4" s="104"/>
      <c r="GR4" s="104"/>
      <c r="GS4" s="104"/>
      <c r="GT4" s="104"/>
      <c r="GU4" s="104"/>
      <c r="GV4" s="105"/>
      <c r="GW4" s="103">
        <f>GW5</f>
        <v>45824</v>
      </c>
      <c r="GX4" s="104"/>
      <c r="GY4" s="104"/>
      <c r="GZ4" s="104"/>
      <c r="HA4" s="104"/>
      <c r="HB4" s="104"/>
      <c r="HC4" s="105"/>
      <c r="HD4" s="103">
        <f>HD5</f>
        <v>45831</v>
      </c>
      <c r="HE4" s="104"/>
      <c r="HF4" s="104"/>
      <c r="HG4" s="104"/>
      <c r="HH4" s="104"/>
      <c r="HI4" s="104"/>
      <c r="HJ4" s="105"/>
      <c r="HK4" s="103">
        <f>HK5</f>
        <v>45838</v>
      </c>
      <c r="HL4" s="104"/>
      <c r="HM4" s="104"/>
      <c r="HN4" s="104"/>
      <c r="HO4" s="104"/>
      <c r="HP4" s="104"/>
      <c r="HQ4" s="105"/>
      <c r="HR4" s="103">
        <f>HR5</f>
        <v>45845</v>
      </c>
      <c r="HS4" s="104"/>
      <c r="HT4" s="104"/>
      <c r="HU4" s="104"/>
      <c r="HV4" s="104"/>
      <c r="HW4" s="104"/>
      <c r="HX4" s="105"/>
      <c r="HY4" s="103">
        <f>HY5</f>
        <v>45852</v>
      </c>
      <c r="HZ4" s="104"/>
      <c r="IA4" s="104"/>
      <c r="IB4" s="104"/>
      <c r="IC4" s="104"/>
      <c r="ID4" s="104"/>
      <c r="IE4" s="105"/>
      <c r="IF4" s="103">
        <f>IF5</f>
        <v>45859</v>
      </c>
      <c r="IG4" s="104"/>
      <c r="IH4" s="104"/>
      <c r="II4" s="104"/>
      <c r="IJ4" s="104"/>
      <c r="IK4" s="104"/>
      <c r="IL4" s="105"/>
      <c r="IM4" s="103">
        <f>IM5</f>
        <v>45866</v>
      </c>
      <c r="IN4" s="104"/>
      <c r="IO4" s="104"/>
      <c r="IP4" s="104"/>
      <c r="IQ4" s="104"/>
      <c r="IR4" s="104"/>
      <c r="IS4" s="105"/>
      <c r="IT4" s="103">
        <f>IT5</f>
        <v>45873</v>
      </c>
      <c r="IU4" s="104"/>
      <c r="IV4" s="104"/>
      <c r="IW4" s="104"/>
      <c r="IX4" s="104"/>
      <c r="IY4" s="104"/>
      <c r="IZ4" s="105"/>
      <c r="JA4" s="103">
        <f>JA5</f>
        <v>45880</v>
      </c>
      <c r="JB4" s="104"/>
      <c r="JC4" s="104"/>
      <c r="JD4" s="104"/>
      <c r="JE4" s="104"/>
      <c r="JF4" s="104"/>
      <c r="JG4" s="105"/>
      <c r="JH4" s="103">
        <f>JH5</f>
        <v>45887</v>
      </c>
      <c r="JI4" s="104"/>
      <c r="JJ4" s="104"/>
      <c r="JK4" s="104"/>
      <c r="JL4" s="104"/>
      <c r="JM4" s="104"/>
      <c r="JN4" s="105"/>
      <c r="JO4" s="103">
        <f>JO5</f>
        <v>45894</v>
      </c>
      <c r="JP4" s="104"/>
      <c r="JQ4" s="104"/>
      <c r="JR4" s="104"/>
      <c r="JS4" s="104"/>
      <c r="JT4" s="104"/>
      <c r="JU4" s="105"/>
      <c r="JV4" s="103">
        <f>JV5</f>
        <v>45901</v>
      </c>
      <c r="JW4" s="104"/>
      <c r="JX4" s="104"/>
      <c r="JY4" s="104"/>
      <c r="JZ4" s="104"/>
      <c r="KA4" s="104"/>
      <c r="KB4" s="105"/>
      <c r="KC4" s="103">
        <f>KC5</f>
        <v>45908</v>
      </c>
      <c r="KD4" s="104"/>
      <c r="KE4" s="104"/>
      <c r="KF4" s="104"/>
      <c r="KG4" s="104"/>
      <c r="KH4" s="104"/>
      <c r="KI4" s="105"/>
      <c r="KJ4" s="103">
        <f>KJ5</f>
        <v>45915</v>
      </c>
      <c r="KK4" s="104"/>
      <c r="KL4" s="104"/>
      <c r="KM4" s="104"/>
      <c r="KN4" s="104"/>
      <c r="KO4" s="104"/>
      <c r="KP4" s="105"/>
      <c r="KQ4" s="103">
        <f>KQ5</f>
        <v>45922</v>
      </c>
      <c r="KR4" s="104"/>
      <c r="KS4" s="104"/>
      <c r="KT4" s="104"/>
      <c r="KU4" s="104"/>
      <c r="KV4" s="104"/>
      <c r="KW4" s="105"/>
      <c r="KX4" s="103">
        <f>KX5</f>
        <v>45929</v>
      </c>
      <c r="KY4" s="104"/>
      <c r="KZ4" s="104"/>
      <c r="LA4" s="104"/>
      <c r="LB4" s="104"/>
      <c r="LC4" s="104"/>
      <c r="LD4" s="105"/>
      <c r="LE4" s="103">
        <f>LE5</f>
        <v>45936</v>
      </c>
      <c r="LF4" s="104"/>
      <c r="LG4" s="104"/>
      <c r="LH4" s="104"/>
      <c r="LI4" s="104"/>
      <c r="LJ4" s="104"/>
      <c r="LK4" s="105"/>
      <c r="LL4" s="103">
        <f>LL5</f>
        <v>45943</v>
      </c>
      <c r="LM4" s="104"/>
      <c r="LN4" s="104"/>
      <c r="LO4" s="104"/>
      <c r="LP4" s="104"/>
      <c r="LQ4" s="104"/>
      <c r="LR4" s="105"/>
      <c r="LS4" s="103">
        <f>LS5</f>
        <v>45950</v>
      </c>
      <c r="LT4" s="104"/>
      <c r="LU4" s="104"/>
      <c r="LV4" s="104"/>
      <c r="LW4" s="104"/>
      <c r="LX4" s="104"/>
      <c r="LY4" s="105"/>
      <c r="LZ4" s="103">
        <f>LZ5</f>
        <v>45957</v>
      </c>
      <c r="MA4" s="104"/>
      <c r="MB4" s="104"/>
      <c r="MC4" s="104"/>
      <c r="MD4" s="104"/>
      <c r="ME4" s="104"/>
      <c r="MF4" s="105"/>
      <c r="MG4" s="103">
        <f>MG5</f>
        <v>45964</v>
      </c>
      <c r="MH4" s="104"/>
      <c r="MI4" s="104"/>
      <c r="MJ4" s="104"/>
      <c r="MK4" s="104"/>
      <c r="ML4" s="104"/>
      <c r="MM4" s="105"/>
      <c r="MN4" s="103">
        <f>MN5</f>
        <v>45971</v>
      </c>
      <c r="MO4" s="104"/>
      <c r="MP4" s="104"/>
      <c r="MQ4" s="104"/>
      <c r="MR4" s="104"/>
      <c r="MS4" s="104"/>
      <c r="MT4" s="105"/>
      <c r="MU4" s="103">
        <f>MU5</f>
        <v>45978</v>
      </c>
      <c r="MV4" s="104"/>
      <c r="MW4" s="104"/>
      <c r="MX4" s="104"/>
      <c r="MY4" s="104"/>
      <c r="MZ4" s="104"/>
      <c r="NA4" s="105"/>
      <c r="NB4" s="103">
        <f>NB5</f>
        <v>45985</v>
      </c>
      <c r="NC4" s="104"/>
      <c r="ND4" s="104"/>
      <c r="NE4" s="104"/>
      <c r="NF4" s="104"/>
      <c r="NG4" s="104"/>
      <c r="NH4" s="105"/>
    </row>
    <row r="5" spans="1:372" ht="15" customHeight="1" x14ac:dyDescent="0.3">
      <c r="A5" s="24" t="s">
        <v>7</v>
      </c>
      <c r="B5" s="39"/>
      <c r="C5" s="39"/>
      <c r="D5" s="39"/>
      <c r="E5" s="39"/>
      <c r="F5" s="39"/>
      <c r="G5" s="39"/>
      <c r="I5" s="51">
        <f>Inizio_progetto-WEEKDAY(Inizio_progetto,1)+2+7*(Visualizza_settimana-1)</f>
        <v>45628</v>
      </c>
      <c r="J5" s="52">
        <f>I5+1</f>
        <v>45629</v>
      </c>
      <c r="K5" s="52">
        <f t="shared" ref="K5:AQ5" si="0">J5+1</f>
        <v>45630</v>
      </c>
      <c r="L5" s="52">
        <f t="shared" si="0"/>
        <v>45631</v>
      </c>
      <c r="M5" s="52">
        <f t="shared" si="0"/>
        <v>45632</v>
      </c>
      <c r="N5" s="52">
        <f t="shared" si="0"/>
        <v>45633</v>
      </c>
      <c r="O5" s="53">
        <f t="shared" si="0"/>
        <v>45634</v>
      </c>
      <c r="P5" s="51">
        <f>O5+1</f>
        <v>45635</v>
      </c>
      <c r="Q5" s="52">
        <f>P5+1</f>
        <v>45636</v>
      </c>
      <c r="R5" s="52">
        <f t="shared" si="0"/>
        <v>45637</v>
      </c>
      <c r="S5" s="52">
        <f t="shared" si="0"/>
        <v>45638</v>
      </c>
      <c r="T5" s="52">
        <f t="shared" si="0"/>
        <v>45639</v>
      </c>
      <c r="U5" s="52">
        <f t="shared" si="0"/>
        <v>45640</v>
      </c>
      <c r="V5" s="53">
        <f t="shared" si="0"/>
        <v>45641</v>
      </c>
      <c r="W5" s="51">
        <f>V5+1</f>
        <v>45642</v>
      </c>
      <c r="X5" s="52">
        <f>W5+1</f>
        <v>45643</v>
      </c>
      <c r="Y5" s="52">
        <f t="shared" si="0"/>
        <v>45644</v>
      </c>
      <c r="Z5" s="52">
        <f t="shared" si="0"/>
        <v>45645</v>
      </c>
      <c r="AA5" s="52">
        <f t="shared" si="0"/>
        <v>45646</v>
      </c>
      <c r="AB5" s="52">
        <f t="shared" si="0"/>
        <v>45647</v>
      </c>
      <c r="AC5" s="53">
        <f t="shared" si="0"/>
        <v>45648</v>
      </c>
      <c r="AD5" s="51">
        <f>AC5+1</f>
        <v>45649</v>
      </c>
      <c r="AE5" s="52">
        <f>AD5+1</f>
        <v>45650</v>
      </c>
      <c r="AF5" s="52">
        <f t="shared" si="0"/>
        <v>45651</v>
      </c>
      <c r="AG5" s="52">
        <f t="shared" si="0"/>
        <v>45652</v>
      </c>
      <c r="AH5" s="52">
        <f t="shared" si="0"/>
        <v>45653</v>
      </c>
      <c r="AI5" s="52">
        <f t="shared" si="0"/>
        <v>45654</v>
      </c>
      <c r="AJ5" s="53">
        <f t="shared" si="0"/>
        <v>45655</v>
      </c>
      <c r="AK5" s="51">
        <f>AJ5+1</f>
        <v>45656</v>
      </c>
      <c r="AL5" s="52">
        <f>AK5+1</f>
        <v>45657</v>
      </c>
      <c r="AM5" s="52">
        <f t="shared" si="0"/>
        <v>45658</v>
      </c>
      <c r="AN5" s="52">
        <f t="shared" si="0"/>
        <v>45659</v>
      </c>
      <c r="AO5" s="52">
        <f t="shared" si="0"/>
        <v>45660</v>
      </c>
      <c r="AP5" s="52">
        <f t="shared" si="0"/>
        <v>45661</v>
      </c>
      <c r="AQ5" s="53">
        <f t="shared" si="0"/>
        <v>45662</v>
      </c>
      <c r="AR5" s="51">
        <f>AQ5+1</f>
        <v>45663</v>
      </c>
      <c r="AS5" s="52">
        <f>AR5+1</f>
        <v>45664</v>
      </c>
      <c r="AT5" s="52">
        <f t="shared" ref="AT5" si="1">AS5+1</f>
        <v>45665</v>
      </c>
      <c r="AU5" s="52">
        <f t="shared" ref="AU5" si="2">AT5+1</f>
        <v>45666</v>
      </c>
      <c r="AV5" s="52">
        <f t="shared" ref="AV5" si="3">AU5+1</f>
        <v>45667</v>
      </c>
      <c r="AW5" s="52">
        <f t="shared" ref="AW5" si="4">AV5+1</f>
        <v>45668</v>
      </c>
      <c r="AX5" s="53">
        <f>AW5+1</f>
        <v>45669</v>
      </c>
      <c r="AY5" s="51">
        <f>AX5+1</f>
        <v>45670</v>
      </c>
      <c r="AZ5" s="52">
        <f>AY5+1</f>
        <v>45671</v>
      </c>
      <c r="BA5" s="52">
        <f t="shared" ref="BA5" si="5">AZ5+1</f>
        <v>45672</v>
      </c>
      <c r="BB5" s="52">
        <f t="shared" ref="BB5" si="6">BA5+1</f>
        <v>45673</v>
      </c>
      <c r="BC5" s="52">
        <f t="shared" ref="BC5" si="7">BB5+1</f>
        <v>45674</v>
      </c>
      <c r="BD5" s="52">
        <f t="shared" ref="BD5" si="8">BC5+1</f>
        <v>45675</v>
      </c>
      <c r="BE5" s="53">
        <f t="shared" ref="BE5" si="9">BD5+1</f>
        <v>45676</v>
      </c>
      <c r="BF5" s="51">
        <f>BE5+1</f>
        <v>45677</v>
      </c>
      <c r="BG5" s="52">
        <f>BF5+1</f>
        <v>45678</v>
      </c>
      <c r="BH5" s="52">
        <f t="shared" ref="BH5" si="10">BG5+1</f>
        <v>45679</v>
      </c>
      <c r="BI5" s="52">
        <f t="shared" ref="BI5" si="11">BH5+1</f>
        <v>45680</v>
      </c>
      <c r="BJ5" s="52">
        <f t="shared" ref="BJ5" si="12">BI5+1</f>
        <v>45681</v>
      </c>
      <c r="BK5" s="52">
        <f t="shared" ref="BK5" si="13">BJ5+1</f>
        <v>45682</v>
      </c>
      <c r="BL5" s="53">
        <f t="shared" ref="BL5" si="14">BK5+1</f>
        <v>45683</v>
      </c>
      <c r="BM5" s="51">
        <f>BL5+1</f>
        <v>45684</v>
      </c>
      <c r="BN5" s="52">
        <f>BM5+1</f>
        <v>45685</v>
      </c>
      <c r="BO5" s="52">
        <f t="shared" ref="BO5" si="15">BN5+1</f>
        <v>45686</v>
      </c>
      <c r="BP5" s="52">
        <f t="shared" ref="BP5" si="16">BO5+1</f>
        <v>45687</v>
      </c>
      <c r="BQ5" s="52">
        <f t="shared" ref="BQ5" si="17">BP5+1</f>
        <v>45688</v>
      </c>
      <c r="BR5" s="52">
        <f t="shared" ref="BR5" si="18">BQ5+1</f>
        <v>45689</v>
      </c>
      <c r="BS5" s="53">
        <f t="shared" ref="BS5" si="19">BR5+1</f>
        <v>45690</v>
      </c>
      <c r="BT5" s="51">
        <f>BS5+1</f>
        <v>45691</v>
      </c>
      <c r="BU5" s="52">
        <f>BT5+1</f>
        <v>45692</v>
      </c>
      <c r="BV5" s="52">
        <f t="shared" ref="BV5" si="20">BU5+1</f>
        <v>45693</v>
      </c>
      <c r="BW5" s="52">
        <f t="shared" ref="BW5" si="21">BV5+1</f>
        <v>45694</v>
      </c>
      <c r="BX5" s="52">
        <f t="shared" ref="BX5" si="22">BW5+1</f>
        <v>45695</v>
      </c>
      <c r="BY5" s="52">
        <f t="shared" ref="BY5" si="23">BX5+1</f>
        <v>45696</v>
      </c>
      <c r="BZ5" s="53">
        <f>BY5+1</f>
        <v>45697</v>
      </c>
      <c r="CA5" s="51">
        <f>BZ5+1</f>
        <v>45698</v>
      </c>
      <c r="CB5" s="52">
        <f>CA5+1</f>
        <v>45699</v>
      </c>
      <c r="CC5" s="52">
        <f t="shared" ref="CC5" si="24">CB5+1</f>
        <v>45700</v>
      </c>
      <c r="CD5" s="52">
        <f t="shared" ref="CD5" si="25">CC5+1</f>
        <v>45701</v>
      </c>
      <c r="CE5" s="52">
        <f t="shared" ref="CE5" si="26">CD5+1</f>
        <v>45702</v>
      </c>
      <c r="CF5" s="52">
        <f t="shared" ref="CF5" si="27">CE5+1</f>
        <v>45703</v>
      </c>
      <c r="CG5" s="53">
        <f t="shared" ref="CG5" si="28">CF5+1</f>
        <v>45704</v>
      </c>
      <c r="CH5" s="51">
        <f>CG5+1</f>
        <v>45705</v>
      </c>
      <c r="CI5" s="52">
        <f>CH5+1</f>
        <v>45706</v>
      </c>
      <c r="CJ5" s="52">
        <f t="shared" ref="CJ5" si="29">CI5+1</f>
        <v>45707</v>
      </c>
      <c r="CK5" s="52">
        <f t="shared" ref="CK5" si="30">CJ5+1</f>
        <v>45708</v>
      </c>
      <c r="CL5" s="52">
        <f t="shared" ref="CL5" si="31">CK5+1</f>
        <v>45709</v>
      </c>
      <c r="CM5" s="52">
        <f t="shared" ref="CM5" si="32">CL5+1</f>
        <v>45710</v>
      </c>
      <c r="CN5" s="53">
        <f t="shared" ref="CN5" si="33">CM5+1</f>
        <v>45711</v>
      </c>
      <c r="CO5" s="51">
        <f>CN5+1</f>
        <v>45712</v>
      </c>
      <c r="CP5" s="52">
        <f>CO5+1</f>
        <v>45713</v>
      </c>
      <c r="CQ5" s="52">
        <f t="shared" ref="CQ5" si="34">CP5+1</f>
        <v>45714</v>
      </c>
      <c r="CR5" s="52">
        <f t="shared" ref="CR5" si="35">CQ5+1</f>
        <v>45715</v>
      </c>
      <c r="CS5" s="52">
        <f t="shared" ref="CS5" si="36">CR5+1</f>
        <v>45716</v>
      </c>
      <c r="CT5" s="52">
        <f t="shared" ref="CT5" si="37">CS5+1</f>
        <v>45717</v>
      </c>
      <c r="CU5" s="53">
        <f t="shared" ref="CU5" si="38">CT5+1</f>
        <v>45718</v>
      </c>
      <c r="CV5" s="51">
        <f>CU5+1</f>
        <v>45719</v>
      </c>
      <c r="CW5" s="52">
        <f>CV5+1</f>
        <v>45720</v>
      </c>
      <c r="CX5" s="52">
        <f t="shared" ref="CX5" si="39">CW5+1</f>
        <v>45721</v>
      </c>
      <c r="CY5" s="52">
        <f t="shared" ref="CY5" si="40">CX5+1</f>
        <v>45722</v>
      </c>
      <c r="CZ5" s="52">
        <f t="shared" ref="CZ5" si="41">CY5+1</f>
        <v>45723</v>
      </c>
      <c r="DA5" s="52">
        <f t="shared" ref="DA5" si="42">CZ5+1</f>
        <v>45724</v>
      </c>
      <c r="DB5" s="53">
        <f>DA5+1</f>
        <v>45725</v>
      </c>
      <c r="DC5" s="51">
        <f>DB5+1</f>
        <v>45726</v>
      </c>
      <c r="DD5" s="52">
        <f>DC5+1</f>
        <v>45727</v>
      </c>
      <c r="DE5" s="52">
        <f t="shared" ref="DE5" si="43">DD5+1</f>
        <v>45728</v>
      </c>
      <c r="DF5" s="52">
        <f t="shared" ref="DF5" si="44">DE5+1</f>
        <v>45729</v>
      </c>
      <c r="DG5" s="52">
        <f t="shared" ref="DG5" si="45">DF5+1</f>
        <v>45730</v>
      </c>
      <c r="DH5" s="52">
        <f t="shared" ref="DH5" si="46">DG5+1</f>
        <v>45731</v>
      </c>
      <c r="DI5" s="53">
        <f t="shared" ref="DI5" si="47">DH5+1</f>
        <v>45732</v>
      </c>
      <c r="DJ5" s="51">
        <f>DI5+1</f>
        <v>45733</v>
      </c>
      <c r="DK5" s="52">
        <f>DJ5+1</f>
        <v>45734</v>
      </c>
      <c r="DL5" s="52">
        <f t="shared" ref="DL5" si="48">DK5+1</f>
        <v>45735</v>
      </c>
      <c r="DM5" s="52">
        <f t="shared" ref="DM5" si="49">DL5+1</f>
        <v>45736</v>
      </c>
      <c r="DN5" s="52">
        <f t="shared" ref="DN5" si="50">DM5+1</f>
        <v>45737</v>
      </c>
      <c r="DO5" s="52">
        <f t="shared" ref="DO5" si="51">DN5+1</f>
        <v>45738</v>
      </c>
      <c r="DP5" s="53">
        <f t="shared" ref="DP5" si="52">DO5+1</f>
        <v>45739</v>
      </c>
      <c r="DQ5" s="51">
        <f>DP5+1</f>
        <v>45740</v>
      </c>
      <c r="DR5" s="52">
        <f>DQ5+1</f>
        <v>45741</v>
      </c>
      <c r="DS5" s="52">
        <f t="shared" ref="DS5" si="53">DR5+1</f>
        <v>45742</v>
      </c>
      <c r="DT5" s="52">
        <f t="shared" ref="DT5" si="54">DS5+1</f>
        <v>45743</v>
      </c>
      <c r="DU5" s="52">
        <f t="shared" ref="DU5" si="55">DT5+1</f>
        <v>45744</v>
      </c>
      <c r="DV5" s="52">
        <f t="shared" ref="DV5" si="56">DU5+1</f>
        <v>45745</v>
      </c>
      <c r="DW5" s="53">
        <f t="shared" ref="DW5" si="57">DV5+1</f>
        <v>45746</v>
      </c>
      <c r="DX5" s="51">
        <f>DW5+1</f>
        <v>45747</v>
      </c>
      <c r="DY5" s="52">
        <f>DX5+1</f>
        <v>45748</v>
      </c>
      <c r="DZ5" s="52">
        <f t="shared" ref="DZ5" si="58">DY5+1</f>
        <v>45749</v>
      </c>
      <c r="EA5" s="52">
        <f t="shared" ref="EA5" si="59">DZ5+1</f>
        <v>45750</v>
      </c>
      <c r="EB5" s="52">
        <f t="shared" ref="EB5" si="60">EA5+1</f>
        <v>45751</v>
      </c>
      <c r="EC5" s="52">
        <f t="shared" ref="EC5" si="61">EB5+1</f>
        <v>45752</v>
      </c>
      <c r="ED5" s="53">
        <f>EC5+1</f>
        <v>45753</v>
      </c>
      <c r="EE5" s="51">
        <f>ED5+1</f>
        <v>45754</v>
      </c>
      <c r="EF5" s="52">
        <f>EE5+1</f>
        <v>45755</v>
      </c>
      <c r="EG5" s="52">
        <f t="shared" ref="EG5" si="62">EF5+1</f>
        <v>45756</v>
      </c>
      <c r="EH5" s="52">
        <f t="shared" ref="EH5" si="63">EG5+1</f>
        <v>45757</v>
      </c>
      <c r="EI5" s="52">
        <f t="shared" ref="EI5" si="64">EH5+1</f>
        <v>45758</v>
      </c>
      <c r="EJ5" s="52">
        <f t="shared" ref="EJ5" si="65">EI5+1</f>
        <v>45759</v>
      </c>
      <c r="EK5" s="53">
        <f t="shared" ref="EK5" si="66">EJ5+1</f>
        <v>45760</v>
      </c>
      <c r="EL5" s="51">
        <f>EK5+1</f>
        <v>45761</v>
      </c>
      <c r="EM5" s="52">
        <f>EL5+1</f>
        <v>45762</v>
      </c>
      <c r="EN5" s="52">
        <f t="shared" ref="EN5" si="67">EM5+1</f>
        <v>45763</v>
      </c>
      <c r="EO5" s="52">
        <f t="shared" ref="EO5" si="68">EN5+1</f>
        <v>45764</v>
      </c>
      <c r="EP5" s="52">
        <f t="shared" ref="EP5" si="69">EO5+1</f>
        <v>45765</v>
      </c>
      <c r="EQ5" s="52">
        <f t="shared" ref="EQ5" si="70">EP5+1</f>
        <v>45766</v>
      </c>
      <c r="ER5" s="53">
        <f t="shared" ref="ER5" si="71">EQ5+1</f>
        <v>45767</v>
      </c>
      <c r="ES5" s="51">
        <f>ER5+1</f>
        <v>45768</v>
      </c>
      <c r="ET5" s="52">
        <f>ES5+1</f>
        <v>45769</v>
      </c>
      <c r="EU5" s="52">
        <f t="shared" ref="EU5" si="72">ET5+1</f>
        <v>45770</v>
      </c>
      <c r="EV5" s="52">
        <f t="shared" ref="EV5" si="73">EU5+1</f>
        <v>45771</v>
      </c>
      <c r="EW5" s="52">
        <f t="shared" ref="EW5" si="74">EV5+1</f>
        <v>45772</v>
      </c>
      <c r="EX5" s="52">
        <f t="shared" ref="EX5" si="75">EW5+1</f>
        <v>45773</v>
      </c>
      <c r="EY5" s="53">
        <f>EX5+1</f>
        <v>45774</v>
      </c>
      <c r="EZ5" s="51">
        <f>EY5+1</f>
        <v>45775</v>
      </c>
      <c r="FA5" s="52">
        <f>EZ5+1</f>
        <v>45776</v>
      </c>
      <c r="FB5" s="52">
        <f t="shared" ref="FB5" si="76">FA5+1</f>
        <v>45777</v>
      </c>
      <c r="FC5" s="52">
        <f t="shared" ref="FC5" si="77">FB5+1</f>
        <v>45778</v>
      </c>
      <c r="FD5" s="52">
        <f t="shared" ref="FD5" si="78">FC5+1</f>
        <v>45779</v>
      </c>
      <c r="FE5" s="52">
        <f t="shared" ref="FE5" si="79">FD5+1</f>
        <v>45780</v>
      </c>
      <c r="FF5" s="53">
        <f t="shared" ref="FF5" si="80">FE5+1</f>
        <v>45781</v>
      </c>
      <c r="FG5" s="51">
        <f>FF5+1</f>
        <v>45782</v>
      </c>
      <c r="FH5" s="52">
        <f>FG5+1</f>
        <v>45783</v>
      </c>
      <c r="FI5" s="52">
        <f t="shared" ref="FI5" si="81">FH5+1</f>
        <v>45784</v>
      </c>
      <c r="FJ5" s="52">
        <f t="shared" ref="FJ5" si="82">FI5+1</f>
        <v>45785</v>
      </c>
      <c r="FK5" s="52">
        <f t="shared" ref="FK5" si="83">FJ5+1</f>
        <v>45786</v>
      </c>
      <c r="FL5" s="52">
        <f t="shared" ref="FL5" si="84">FK5+1</f>
        <v>45787</v>
      </c>
      <c r="FM5" s="53">
        <f t="shared" ref="FM5" si="85">FL5+1</f>
        <v>45788</v>
      </c>
      <c r="FN5" s="51">
        <f>FM5+1</f>
        <v>45789</v>
      </c>
      <c r="FO5" s="52">
        <f>FN5+1</f>
        <v>45790</v>
      </c>
      <c r="FP5" s="52">
        <f t="shared" ref="FP5" si="86">FO5+1</f>
        <v>45791</v>
      </c>
      <c r="FQ5" s="52">
        <f t="shared" ref="FQ5" si="87">FP5+1</f>
        <v>45792</v>
      </c>
      <c r="FR5" s="52">
        <f t="shared" ref="FR5" si="88">FQ5+1</f>
        <v>45793</v>
      </c>
      <c r="FS5" s="52">
        <f t="shared" ref="FS5" si="89">FR5+1</f>
        <v>45794</v>
      </c>
      <c r="FT5" s="53">
        <f t="shared" ref="FT5" si="90">FS5+1</f>
        <v>45795</v>
      </c>
      <c r="FU5" s="51">
        <f>FT5+1</f>
        <v>45796</v>
      </c>
      <c r="FV5" s="52">
        <f>FU5+1</f>
        <v>45797</v>
      </c>
      <c r="FW5" s="52">
        <f t="shared" ref="FW5" si="91">FV5+1</f>
        <v>45798</v>
      </c>
      <c r="FX5" s="52">
        <f t="shared" ref="FX5" si="92">FW5+1</f>
        <v>45799</v>
      </c>
      <c r="FY5" s="52">
        <f t="shared" ref="FY5" si="93">FX5+1</f>
        <v>45800</v>
      </c>
      <c r="FZ5" s="52">
        <f t="shared" ref="FZ5" si="94">FY5+1</f>
        <v>45801</v>
      </c>
      <c r="GA5" s="53">
        <f>FZ5+1</f>
        <v>45802</v>
      </c>
      <c r="GB5" s="51">
        <f>GA5+1</f>
        <v>45803</v>
      </c>
      <c r="GC5" s="52">
        <f>GB5+1</f>
        <v>45804</v>
      </c>
      <c r="GD5" s="52">
        <f t="shared" ref="GD5" si="95">GC5+1</f>
        <v>45805</v>
      </c>
      <c r="GE5" s="52">
        <f t="shared" ref="GE5" si="96">GD5+1</f>
        <v>45806</v>
      </c>
      <c r="GF5" s="52">
        <f t="shared" ref="GF5" si="97">GE5+1</f>
        <v>45807</v>
      </c>
      <c r="GG5" s="52">
        <f t="shared" ref="GG5" si="98">GF5+1</f>
        <v>45808</v>
      </c>
      <c r="GH5" s="53">
        <f t="shared" ref="GH5" si="99">GG5+1</f>
        <v>45809</v>
      </c>
      <c r="GI5" s="51">
        <f>GH5+1</f>
        <v>45810</v>
      </c>
      <c r="GJ5" s="52">
        <f>GI5+1</f>
        <v>45811</v>
      </c>
      <c r="GK5" s="52">
        <f t="shared" ref="GK5" si="100">GJ5+1</f>
        <v>45812</v>
      </c>
      <c r="GL5" s="52">
        <f t="shared" ref="GL5" si="101">GK5+1</f>
        <v>45813</v>
      </c>
      <c r="GM5" s="52">
        <f t="shared" ref="GM5" si="102">GL5+1</f>
        <v>45814</v>
      </c>
      <c r="GN5" s="52">
        <f t="shared" ref="GN5" si="103">GM5+1</f>
        <v>45815</v>
      </c>
      <c r="GO5" s="53">
        <f t="shared" ref="GO5" si="104">GN5+1</f>
        <v>45816</v>
      </c>
      <c r="GP5" s="51">
        <f>GO5+1</f>
        <v>45817</v>
      </c>
      <c r="GQ5" s="52">
        <f>GP5+1</f>
        <v>45818</v>
      </c>
      <c r="GR5" s="52">
        <f t="shared" ref="GR5" si="105">GQ5+1</f>
        <v>45819</v>
      </c>
      <c r="GS5" s="52">
        <f t="shared" ref="GS5" si="106">GR5+1</f>
        <v>45820</v>
      </c>
      <c r="GT5" s="52">
        <f t="shared" ref="GT5" si="107">GS5+1</f>
        <v>45821</v>
      </c>
      <c r="GU5" s="52">
        <f t="shared" ref="GU5" si="108">GT5+1</f>
        <v>45822</v>
      </c>
      <c r="GV5" s="53">
        <f t="shared" ref="GV5" si="109">GU5+1</f>
        <v>45823</v>
      </c>
      <c r="GW5" s="51">
        <f>GV5+1</f>
        <v>45824</v>
      </c>
      <c r="GX5" s="52">
        <f>GW5+1</f>
        <v>45825</v>
      </c>
      <c r="GY5" s="52">
        <f t="shared" ref="GY5" si="110">GX5+1</f>
        <v>45826</v>
      </c>
      <c r="GZ5" s="52">
        <f t="shared" ref="GZ5" si="111">GY5+1</f>
        <v>45827</v>
      </c>
      <c r="HA5" s="52">
        <f t="shared" ref="HA5" si="112">GZ5+1</f>
        <v>45828</v>
      </c>
      <c r="HB5" s="52">
        <f t="shared" ref="HB5" si="113">HA5+1</f>
        <v>45829</v>
      </c>
      <c r="HC5" s="53">
        <f>HB5+1</f>
        <v>45830</v>
      </c>
      <c r="HD5" s="51">
        <f>HC5+1</f>
        <v>45831</v>
      </c>
      <c r="HE5" s="52">
        <f>HD5+1</f>
        <v>45832</v>
      </c>
      <c r="HF5" s="52">
        <f t="shared" ref="HF5" si="114">HE5+1</f>
        <v>45833</v>
      </c>
      <c r="HG5" s="52">
        <f t="shared" ref="HG5" si="115">HF5+1</f>
        <v>45834</v>
      </c>
      <c r="HH5" s="52">
        <f t="shared" ref="HH5" si="116">HG5+1</f>
        <v>45835</v>
      </c>
      <c r="HI5" s="52">
        <f t="shared" ref="HI5" si="117">HH5+1</f>
        <v>45836</v>
      </c>
      <c r="HJ5" s="53">
        <f t="shared" ref="HJ5" si="118">HI5+1</f>
        <v>45837</v>
      </c>
      <c r="HK5" s="51">
        <f>HJ5+1</f>
        <v>45838</v>
      </c>
      <c r="HL5" s="52">
        <f>HK5+1</f>
        <v>45839</v>
      </c>
      <c r="HM5" s="52">
        <f t="shared" ref="HM5" si="119">HL5+1</f>
        <v>45840</v>
      </c>
      <c r="HN5" s="52">
        <f t="shared" ref="HN5" si="120">HM5+1</f>
        <v>45841</v>
      </c>
      <c r="HO5" s="52">
        <f t="shared" ref="HO5" si="121">HN5+1</f>
        <v>45842</v>
      </c>
      <c r="HP5" s="52">
        <f t="shared" ref="HP5" si="122">HO5+1</f>
        <v>45843</v>
      </c>
      <c r="HQ5" s="53">
        <f t="shared" ref="HQ5" si="123">HP5+1</f>
        <v>45844</v>
      </c>
      <c r="HR5" s="51">
        <f>HQ5+1</f>
        <v>45845</v>
      </c>
      <c r="HS5" s="52">
        <f>HR5+1</f>
        <v>45846</v>
      </c>
      <c r="HT5" s="52">
        <f t="shared" ref="HT5" si="124">HS5+1</f>
        <v>45847</v>
      </c>
      <c r="HU5" s="52">
        <f t="shared" ref="HU5" si="125">HT5+1</f>
        <v>45848</v>
      </c>
      <c r="HV5" s="52">
        <f t="shared" ref="HV5" si="126">HU5+1</f>
        <v>45849</v>
      </c>
      <c r="HW5" s="52">
        <f t="shared" ref="HW5" si="127">HV5+1</f>
        <v>45850</v>
      </c>
      <c r="HX5" s="53">
        <f t="shared" ref="HX5" si="128">HW5+1</f>
        <v>45851</v>
      </c>
      <c r="HY5" s="51">
        <f>HX5+1</f>
        <v>45852</v>
      </c>
      <c r="HZ5" s="52">
        <f>HY5+1</f>
        <v>45853</v>
      </c>
      <c r="IA5" s="52">
        <f t="shared" ref="IA5" si="129">HZ5+1</f>
        <v>45854</v>
      </c>
      <c r="IB5" s="52">
        <f t="shared" ref="IB5" si="130">IA5+1</f>
        <v>45855</v>
      </c>
      <c r="IC5" s="52">
        <f t="shared" ref="IC5" si="131">IB5+1</f>
        <v>45856</v>
      </c>
      <c r="ID5" s="52">
        <f t="shared" ref="ID5" si="132">IC5+1</f>
        <v>45857</v>
      </c>
      <c r="IE5" s="53">
        <f>ID5+1</f>
        <v>45858</v>
      </c>
      <c r="IF5" s="51">
        <f>IE5+1</f>
        <v>45859</v>
      </c>
      <c r="IG5" s="52">
        <f>IF5+1</f>
        <v>45860</v>
      </c>
      <c r="IH5" s="52">
        <f t="shared" ref="IH5" si="133">IG5+1</f>
        <v>45861</v>
      </c>
      <c r="II5" s="52">
        <f t="shared" ref="II5" si="134">IH5+1</f>
        <v>45862</v>
      </c>
      <c r="IJ5" s="52">
        <f t="shared" ref="IJ5" si="135">II5+1</f>
        <v>45863</v>
      </c>
      <c r="IK5" s="52">
        <f t="shared" ref="IK5" si="136">IJ5+1</f>
        <v>45864</v>
      </c>
      <c r="IL5" s="53">
        <f t="shared" ref="IL5" si="137">IK5+1</f>
        <v>45865</v>
      </c>
      <c r="IM5" s="51">
        <f>IL5+1</f>
        <v>45866</v>
      </c>
      <c r="IN5" s="52">
        <f>IM5+1</f>
        <v>45867</v>
      </c>
      <c r="IO5" s="52">
        <f t="shared" ref="IO5" si="138">IN5+1</f>
        <v>45868</v>
      </c>
      <c r="IP5" s="52">
        <f t="shared" ref="IP5" si="139">IO5+1</f>
        <v>45869</v>
      </c>
      <c r="IQ5" s="52">
        <f t="shared" ref="IQ5" si="140">IP5+1</f>
        <v>45870</v>
      </c>
      <c r="IR5" s="52">
        <f t="shared" ref="IR5" si="141">IQ5+1</f>
        <v>45871</v>
      </c>
      <c r="IS5" s="53">
        <f t="shared" ref="IS5" si="142">IR5+1</f>
        <v>45872</v>
      </c>
      <c r="IT5" s="51">
        <f>IS5+1</f>
        <v>45873</v>
      </c>
      <c r="IU5" s="52">
        <f>IT5+1</f>
        <v>45874</v>
      </c>
      <c r="IV5" s="52">
        <f t="shared" ref="IV5" si="143">IU5+1</f>
        <v>45875</v>
      </c>
      <c r="IW5" s="52">
        <f t="shared" ref="IW5" si="144">IV5+1</f>
        <v>45876</v>
      </c>
      <c r="IX5" s="52">
        <f t="shared" ref="IX5" si="145">IW5+1</f>
        <v>45877</v>
      </c>
      <c r="IY5" s="52">
        <f t="shared" ref="IY5" si="146">IX5+1</f>
        <v>45878</v>
      </c>
      <c r="IZ5" s="53">
        <f t="shared" ref="IZ5" si="147">IY5+1</f>
        <v>45879</v>
      </c>
      <c r="JA5" s="51">
        <f>IZ5+1</f>
        <v>45880</v>
      </c>
      <c r="JB5" s="52">
        <f>JA5+1</f>
        <v>45881</v>
      </c>
      <c r="JC5" s="52">
        <f t="shared" ref="JC5" si="148">JB5+1</f>
        <v>45882</v>
      </c>
      <c r="JD5" s="52">
        <f t="shared" ref="JD5" si="149">JC5+1</f>
        <v>45883</v>
      </c>
      <c r="JE5" s="52">
        <f t="shared" ref="JE5" si="150">JD5+1</f>
        <v>45884</v>
      </c>
      <c r="JF5" s="52">
        <f t="shared" ref="JF5" si="151">JE5+1</f>
        <v>45885</v>
      </c>
      <c r="JG5" s="53">
        <f t="shared" ref="JG5" si="152">JF5+1</f>
        <v>45886</v>
      </c>
      <c r="JH5" s="51">
        <f>JG5+1</f>
        <v>45887</v>
      </c>
      <c r="JI5" s="52">
        <f>JH5+1</f>
        <v>45888</v>
      </c>
      <c r="JJ5" s="52">
        <f t="shared" ref="JJ5" si="153">JI5+1</f>
        <v>45889</v>
      </c>
      <c r="JK5" s="52">
        <f t="shared" ref="JK5" si="154">JJ5+1</f>
        <v>45890</v>
      </c>
      <c r="JL5" s="52">
        <f t="shared" ref="JL5" si="155">JK5+1</f>
        <v>45891</v>
      </c>
      <c r="JM5" s="52">
        <f t="shared" ref="JM5" si="156">JL5+1</f>
        <v>45892</v>
      </c>
      <c r="JN5" s="53">
        <f t="shared" ref="JN5" si="157">JM5+1</f>
        <v>45893</v>
      </c>
      <c r="JO5" s="51">
        <f>JN5+1</f>
        <v>45894</v>
      </c>
      <c r="JP5" s="52">
        <f>JO5+1</f>
        <v>45895</v>
      </c>
      <c r="JQ5" s="52">
        <f t="shared" ref="JQ5" si="158">JP5+1</f>
        <v>45896</v>
      </c>
      <c r="JR5" s="52">
        <f t="shared" ref="JR5" si="159">JQ5+1</f>
        <v>45897</v>
      </c>
      <c r="JS5" s="52">
        <f t="shared" ref="JS5" si="160">JR5+1</f>
        <v>45898</v>
      </c>
      <c r="JT5" s="52">
        <f t="shared" ref="JT5" si="161">JS5+1</f>
        <v>45899</v>
      </c>
      <c r="JU5" s="53">
        <f t="shared" ref="JU5" si="162">JT5+1</f>
        <v>45900</v>
      </c>
      <c r="JV5" s="51">
        <f>JU5+1</f>
        <v>45901</v>
      </c>
      <c r="JW5" s="52">
        <f>JV5+1</f>
        <v>45902</v>
      </c>
      <c r="JX5" s="52">
        <f t="shared" ref="JX5" si="163">JW5+1</f>
        <v>45903</v>
      </c>
      <c r="JY5" s="52">
        <f t="shared" ref="JY5" si="164">JX5+1</f>
        <v>45904</v>
      </c>
      <c r="JZ5" s="52">
        <f t="shared" ref="JZ5" si="165">JY5+1</f>
        <v>45905</v>
      </c>
      <c r="KA5" s="52">
        <f t="shared" ref="KA5" si="166">JZ5+1</f>
        <v>45906</v>
      </c>
      <c r="KB5" s="53">
        <f t="shared" ref="KB5" si="167">KA5+1</f>
        <v>45907</v>
      </c>
      <c r="KC5" s="51">
        <f>KB5+1</f>
        <v>45908</v>
      </c>
      <c r="KD5" s="52">
        <f>KC5+1</f>
        <v>45909</v>
      </c>
      <c r="KE5" s="52">
        <f t="shared" ref="KE5" si="168">KD5+1</f>
        <v>45910</v>
      </c>
      <c r="KF5" s="52">
        <f t="shared" ref="KF5" si="169">KE5+1</f>
        <v>45911</v>
      </c>
      <c r="KG5" s="52">
        <f t="shared" ref="KG5" si="170">KF5+1</f>
        <v>45912</v>
      </c>
      <c r="KH5" s="52">
        <f t="shared" ref="KH5" si="171">KG5+1</f>
        <v>45913</v>
      </c>
      <c r="KI5" s="53">
        <f t="shared" ref="KI5" si="172">KH5+1</f>
        <v>45914</v>
      </c>
      <c r="KJ5" s="51">
        <f>KI5+1</f>
        <v>45915</v>
      </c>
      <c r="KK5" s="52">
        <f>KJ5+1</f>
        <v>45916</v>
      </c>
      <c r="KL5" s="52">
        <f t="shared" ref="KL5" si="173">KK5+1</f>
        <v>45917</v>
      </c>
      <c r="KM5" s="52">
        <f t="shared" ref="KM5" si="174">KL5+1</f>
        <v>45918</v>
      </c>
      <c r="KN5" s="52">
        <f t="shared" ref="KN5" si="175">KM5+1</f>
        <v>45919</v>
      </c>
      <c r="KO5" s="52">
        <f t="shared" ref="KO5" si="176">KN5+1</f>
        <v>45920</v>
      </c>
      <c r="KP5" s="53">
        <f t="shared" ref="KP5" si="177">KO5+1</f>
        <v>45921</v>
      </c>
      <c r="KQ5" s="51">
        <f>KP5+1</f>
        <v>45922</v>
      </c>
      <c r="KR5" s="52">
        <f>KQ5+1</f>
        <v>45923</v>
      </c>
      <c r="KS5" s="52">
        <f t="shared" ref="KS5" si="178">KR5+1</f>
        <v>45924</v>
      </c>
      <c r="KT5" s="52">
        <f t="shared" ref="KT5" si="179">KS5+1</f>
        <v>45925</v>
      </c>
      <c r="KU5" s="52">
        <f t="shared" ref="KU5" si="180">KT5+1</f>
        <v>45926</v>
      </c>
      <c r="KV5" s="52">
        <f t="shared" ref="KV5" si="181">KU5+1</f>
        <v>45927</v>
      </c>
      <c r="KW5" s="53">
        <f t="shared" ref="KW5" si="182">KV5+1</f>
        <v>45928</v>
      </c>
      <c r="KX5" s="51">
        <f>KW5+1</f>
        <v>45929</v>
      </c>
      <c r="KY5" s="52">
        <f>KX5+1</f>
        <v>45930</v>
      </c>
      <c r="KZ5" s="52">
        <f t="shared" ref="KZ5" si="183">KY5+1</f>
        <v>45931</v>
      </c>
      <c r="LA5" s="52">
        <f t="shared" ref="LA5" si="184">KZ5+1</f>
        <v>45932</v>
      </c>
      <c r="LB5" s="52">
        <f t="shared" ref="LB5" si="185">LA5+1</f>
        <v>45933</v>
      </c>
      <c r="LC5" s="52">
        <f t="shared" ref="LC5" si="186">LB5+1</f>
        <v>45934</v>
      </c>
      <c r="LD5" s="53">
        <f t="shared" ref="LD5" si="187">LC5+1</f>
        <v>45935</v>
      </c>
      <c r="LE5" s="51">
        <f>LD5+1</f>
        <v>45936</v>
      </c>
      <c r="LF5" s="52">
        <f>LE5+1</f>
        <v>45937</v>
      </c>
      <c r="LG5" s="52">
        <f t="shared" ref="LG5" si="188">LF5+1</f>
        <v>45938</v>
      </c>
      <c r="LH5" s="52">
        <f t="shared" ref="LH5" si="189">LG5+1</f>
        <v>45939</v>
      </c>
      <c r="LI5" s="52">
        <f t="shared" ref="LI5" si="190">LH5+1</f>
        <v>45940</v>
      </c>
      <c r="LJ5" s="52">
        <f t="shared" ref="LJ5" si="191">LI5+1</f>
        <v>45941</v>
      </c>
      <c r="LK5" s="53">
        <f t="shared" ref="LK5" si="192">LJ5+1</f>
        <v>45942</v>
      </c>
      <c r="LL5" s="51">
        <f>LK5+1</f>
        <v>45943</v>
      </c>
      <c r="LM5" s="52">
        <f>LL5+1</f>
        <v>45944</v>
      </c>
      <c r="LN5" s="52">
        <f t="shared" ref="LN5" si="193">LM5+1</f>
        <v>45945</v>
      </c>
      <c r="LO5" s="52">
        <f t="shared" ref="LO5" si="194">LN5+1</f>
        <v>45946</v>
      </c>
      <c r="LP5" s="52">
        <f t="shared" ref="LP5" si="195">LO5+1</f>
        <v>45947</v>
      </c>
      <c r="LQ5" s="52">
        <f t="shared" ref="LQ5" si="196">LP5+1</f>
        <v>45948</v>
      </c>
      <c r="LR5" s="53">
        <f t="shared" ref="LR5" si="197">LQ5+1</f>
        <v>45949</v>
      </c>
      <c r="LS5" s="51">
        <f>LR5+1</f>
        <v>45950</v>
      </c>
      <c r="LT5" s="52">
        <f>LS5+1</f>
        <v>45951</v>
      </c>
      <c r="LU5" s="52">
        <f t="shared" ref="LU5" si="198">LT5+1</f>
        <v>45952</v>
      </c>
      <c r="LV5" s="52">
        <f t="shared" ref="LV5" si="199">LU5+1</f>
        <v>45953</v>
      </c>
      <c r="LW5" s="52">
        <f t="shared" ref="LW5" si="200">LV5+1</f>
        <v>45954</v>
      </c>
      <c r="LX5" s="52">
        <f t="shared" ref="LX5" si="201">LW5+1</f>
        <v>45955</v>
      </c>
      <c r="LY5" s="53">
        <f t="shared" ref="LY5" si="202">LX5+1</f>
        <v>45956</v>
      </c>
      <c r="LZ5" s="51">
        <f>LY5+1</f>
        <v>45957</v>
      </c>
      <c r="MA5" s="52">
        <f>LZ5+1</f>
        <v>45958</v>
      </c>
      <c r="MB5" s="52">
        <f t="shared" ref="MB5" si="203">MA5+1</f>
        <v>45959</v>
      </c>
      <c r="MC5" s="52">
        <f t="shared" ref="MC5" si="204">MB5+1</f>
        <v>45960</v>
      </c>
      <c r="MD5" s="52">
        <f t="shared" ref="MD5" si="205">MC5+1</f>
        <v>45961</v>
      </c>
      <c r="ME5" s="52">
        <f t="shared" ref="ME5" si="206">MD5+1</f>
        <v>45962</v>
      </c>
      <c r="MF5" s="53">
        <f t="shared" ref="MF5" si="207">ME5+1</f>
        <v>45963</v>
      </c>
      <c r="MG5" s="51">
        <f>MF5+1</f>
        <v>45964</v>
      </c>
      <c r="MH5" s="52">
        <f>MG5+1</f>
        <v>45965</v>
      </c>
      <c r="MI5" s="52">
        <f t="shared" ref="MI5" si="208">MH5+1</f>
        <v>45966</v>
      </c>
      <c r="MJ5" s="52">
        <f t="shared" ref="MJ5" si="209">MI5+1</f>
        <v>45967</v>
      </c>
      <c r="MK5" s="52">
        <f t="shared" ref="MK5" si="210">MJ5+1</f>
        <v>45968</v>
      </c>
      <c r="ML5" s="52">
        <f t="shared" ref="ML5" si="211">MK5+1</f>
        <v>45969</v>
      </c>
      <c r="MM5" s="53">
        <f t="shared" ref="MM5" si="212">ML5+1</f>
        <v>45970</v>
      </c>
      <c r="MN5" s="51">
        <f>MM5+1</f>
        <v>45971</v>
      </c>
      <c r="MO5" s="52">
        <f>MN5+1</f>
        <v>45972</v>
      </c>
      <c r="MP5" s="52">
        <f t="shared" ref="MP5" si="213">MO5+1</f>
        <v>45973</v>
      </c>
      <c r="MQ5" s="52">
        <f t="shared" ref="MQ5" si="214">MP5+1</f>
        <v>45974</v>
      </c>
      <c r="MR5" s="52">
        <f t="shared" ref="MR5" si="215">MQ5+1</f>
        <v>45975</v>
      </c>
      <c r="MS5" s="52">
        <f t="shared" ref="MS5" si="216">MR5+1</f>
        <v>45976</v>
      </c>
      <c r="MT5" s="53">
        <f t="shared" ref="MT5" si="217">MS5+1</f>
        <v>45977</v>
      </c>
      <c r="MU5" s="51">
        <f>MT5+1</f>
        <v>45978</v>
      </c>
      <c r="MV5" s="52">
        <f>MU5+1</f>
        <v>45979</v>
      </c>
      <c r="MW5" s="52">
        <f t="shared" ref="MW5" si="218">MV5+1</f>
        <v>45980</v>
      </c>
      <c r="MX5" s="52">
        <f t="shared" ref="MX5" si="219">MW5+1</f>
        <v>45981</v>
      </c>
      <c r="MY5" s="52">
        <f t="shared" ref="MY5" si="220">MX5+1</f>
        <v>45982</v>
      </c>
      <c r="MZ5" s="52">
        <f t="shared" ref="MZ5" si="221">MY5+1</f>
        <v>45983</v>
      </c>
      <c r="NA5" s="53">
        <f t="shared" ref="NA5" si="222">MZ5+1</f>
        <v>45984</v>
      </c>
      <c r="NB5" s="51">
        <f>NA5+1</f>
        <v>45985</v>
      </c>
      <c r="NC5" s="52">
        <f>NB5+1</f>
        <v>45986</v>
      </c>
      <c r="ND5" s="52">
        <f t="shared" ref="ND5" si="223">NC5+1</f>
        <v>45987</v>
      </c>
      <c r="NE5" s="52">
        <f t="shared" ref="NE5" si="224">ND5+1</f>
        <v>45988</v>
      </c>
      <c r="NF5" s="52">
        <f t="shared" ref="NF5" si="225">NE5+1</f>
        <v>45989</v>
      </c>
      <c r="NG5" s="52">
        <f t="shared" ref="NG5" si="226">NF5+1</f>
        <v>45990</v>
      </c>
      <c r="NH5" s="53">
        <f t="shared" ref="NH5" si="227">NG5+1</f>
        <v>45991</v>
      </c>
    </row>
    <row r="6" spans="1:372" ht="30" customHeight="1" thickBot="1" x14ac:dyDescent="0.35">
      <c r="A6" s="24" t="s">
        <v>8</v>
      </c>
      <c r="B6" s="7" t="s">
        <v>9</v>
      </c>
      <c r="C6" s="8"/>
      <c r="D6" s="8"/>
      <c r="E6" s="8" t="s">
        <v>10</v>
      </c>
      <c r="F6" s="8" t="s">
        <v>11</v>
      </c>
      <c r="G6" s="8"/>
      <c r="H6" s="8" t="s">
        <v>12</v>
      </c>
      <c r="I6" s="9" t="str">
        <f t="shared" ref="I6:AN6" si="228">LEFT(TEXT(I5,"ggg"),1)</f>
        <v>l</v>
      </c>
      <c r="J6" s="9" t="str">
        <f t="shared" si="228"/>
        <v>m</v>
      </c>
      <c r="K6" s="9" t="str">
        <f t="shared" si="228"/>
        <v>m</v>
      </c>
      <c r="L6" s="9" t="str">
        <f t="shared" si="228"/>
        <v>g</v>
      </c>
      <c r="M6" s="9" t="str">
        <f t="shared" si="228"/>
        <v>v</v>
      </c>
      <c r="N6" s="9" t="str">
        <f t="shared" si="228"/>
        <v>s</v>
      </c>
      <c r="O6" s="9" t="str">
        <f t="shared" si="228"/>
        <v>d</v>
      </c>
      <c r="P6" s="9" t="str">
        <f t="shared" si="228"/>
        <v>l</v>
      </c>
      <c r="Q6" s="9" t="str">
        <f t="shared" si="228"/>
        <v>m</v>
      </c>
      <c r="R6" s="9" t="str">
        <f t="shared" si="228"/>
        <v>m</v>
      </c>
      <c r="S6" s="9" t="str">
        <f t="shared" si="228"/>
        <v>g</v>
      </c>
      <c r="T6" s="9" t="str">
        <f t="shared" si="228"/>
        <v>v</v>
      </c>
      <c r="U6" s="9" t="str">
        <f t="shared" si="228"/>
        <v>s</v>
      </c>
      <c r="V6" s="9" t="str">
        <f t="shared" si="228"/>
        <v>d</v>
      </c>
      <c r="W6" s="9" t="str">
        <f t="shared" si="228"/>
        <v>l</v>
      </c>
      <c r="X6" s="9" t="str">
        <f t="shared" si="228"/>
        <v>m</v>
      </c>
      <c r="Y6" s="9" t="str">
        <f t="shared" si="228"/>
        <v>m</v>
      </c>
      <c r="Z6" s="9" t="str">
        <f t="shared" si="228"/>
        <v>g</v>
      </c>
      <c r="AA6" s="9" t="str">
        <f t="shared" si="228"/>
        <v>v</v>
      </c>
      <c r="AB6" s="9" t="str">
        <f t="shared" si="228"/>
        <v>s</v>
      </c>
      <c r="AC6" s="9" t="str">
        <f t="shared" si="228"/>
        <v>d</v>
      </c>
      <c r="AD6" s="9" t="str">
        <f t="shared" si="228"/>
        <v>l</v>
      </c>
      <c r="AE6" s="9" t="str">
        <f t="shared" si="228"/>
        <v>m</v>
      </c>
      <c r="AF6" s="9" t="str">
        <f t="shared" si="228"/>
        <v>m</v>
      </c>
      <c r="AG6" s="9" t="str">
        <f t="shared" si="228"/>
        <v>g</v>
      </c>
      <c r="AH6" s="9" t="str">
        <f t="shared" si="228"/>
        <v>v</v>
      </c>
      <c r="AI6" s="9" t="str">
        <f t="shared" si="228"/>
        <v>s</v>
      </c>
      <c r="AJ6" s="9" t="str">
        <f t="shared" si="228"/>
        <v>d</v>
      </c>
      <c r="AK6" s="9" t="str">
        <f>LEFT(TEXT(AK5,"ggg"),1)</f>
        <v>l</v>
      </c>
      <c r="AL6" s="9" t="str">
        <f t="shared" si="228"/>
        <v>m</v>
      </c>
      <c r="AM6" s="9" t="str">
        <f t="shared" si="228"/>
        <v>m</v>
      </c>
      <c r="AN6" s="9" t="str">
        <f t="shared" si="228"/>
        <v>g</v>
      </c>
      <c r="AO6" s="9" t="str">
        <f t="shared" ref="AO6:AQ6" si="229">LEFT(TEXT(AO5,"ggg"),1)</f>
        <v>v</v>
      </c>
      <c r="AP6" s="9" t="str">
        <f t="shared" si="229"/>
        <v>s</v>
      </c>
      <c r="AQ6" s="9" t="str">
        <f t="shared" si="229"/>
        <v>d</v>
      </c>
      <c r="AR6" s="9" t="str">
        <f>LEFT(TEXT(AR5,"ggg"),1)</f>
        <v>l</v>
      </c>
      <c r="AS6" s="9" t="str">
        <f t="shared" ref="AS6:AX6" si="230">LEFT(TEXT(AS5,"ggg"),1)</f>
        <v>m</v>
      </c>
      <c r="AT6" s="9" t="str">
        <f t="shared" si="230"/>
        <v>m</v>
      </c>
      <c r="AU6" s="9" t="str">
        <f t="shared" si="230"/>
        <v>g</v>
      </c>
      <c r="AV6" s="9" t="str">
        <f t="shared" si="230"/>
        <v>v</v>
      </c>
      <c r="AW6" s="9" t="str">
        <f t="shared" si="230"/>
        <v>s</v>
      </c>
      <c r="AX6" s="9" t="str">
        <f t="shared" si="230"/>
        <v>d</v>
      </c>
      <c r="AY6" s="9" t="str">
        <f>LEFT(TEXT(AY5,"ggg"),1)</f>
        <v>l</v>
      </c>
      <c r="AZ6" s="9" t="str">
        <f t="shared" ref="AZ6:BE6" si="231">LEFT(TEXT(AZ5,"ggg"),1)</f>
        <v>m</v>
      </c>
      <c r="BA6" s="9" t="str">
        <f t="shared" si="231"/>
        <v>m</v>
      </c>
      <c r="BB6" s="9" t="str">
        <f t="shared" si="231"/>
        <v>g</v>
      </c>
      <c r="BC6" s="9" t="str">
        <f t="shared" si="231"/>
        <v>v</v>
      </c>
      <c r="BD6" s="9" t="str">
        <f t="shared" si="231"/>
        <v>s</v>
      </c>
      <c r="BE6" s="9" t="str">
        <f t="shared" si="231"/>
        <v>d</v>
      </c>
      <c r="BF6" s="9" t="str">
        <f>LEFT(TEXT(BF5,"ggg"),1)</f>
        <v>l</v>
      </c>
      <c r="BG6" s="9" t="str">
        <f t="shared" ref="BG6:BL6" si="232">LEFT(TEXT(BG5,"ggg"),1)</f>
        <v>m</v>
      </c>
      <c r="BH6" s="9" t="str">
        <f t="shared" si="232"/>
        <v>m</v>
      </c>
      <c r="BI6" s="9" t="str">
        <f t="shared" si="232"/>
        <v>g</v>
      </c>
      <c r="BJ6" s="9" t="str">
        <f t="shared" si="232"/>
        <v>v</v>
      </c>
      <c r="BK6" s="9" t="str">
        <f t="shared" si="232"/>
        <v>s</v>
      </c>
      <c r="BL6" s="9" t="str">
        <f t="shared" si="232"/>
        <v>d</v>
      </c>
      <c r="BM6" s="9" t="str">
        <f>LEFT(TEXT(BM5,"ggg"),1)</f>
        <v>l</v>
      </c>
      <c r="BN6" s="9" t="str">
        <f t="shared" ref="BN6:BS6" si="233">LEFT(TEXT(BN5,"ggg"),1)</f>
        <v>m</v>
      </c>
      <c r="BO6" s="9" t="str">
        <f t="shared" si="233"/>
        <v>m</v>
      </c>
      <c r="BP6" s="9" t="str">
        <f t="shared" si="233"/>
        <v>g</v>
      </c>
      <c r="BQ6" s="9" t="str">
        <f t="shared" si="233"/>
        <v>v</v>
      </c>
      <c r="BR6" s="9" t="str">
        <f t="shared" si="233"/>
        <v>s</v>
      </c>
      <c r="BS6" s="9" t="str">
        <f t="shared" si="233"/>
        <v>d</v>
      </c>
      <c r="BT6" s="9" t="str">
        <f>LEFT(TEXT(BT5,"ggg"),1)</f>
        <v>l</v>
      </c>
      <c r="BU6" s="9" t="str">
        <f t="shared" ref="BU6:BZ6" si="234">LEFT(TEXT(BU5,"ggg"),1)</f>
        <v>m</v>
      </c>
      <c r="BV6" s="9" t="str">
        <f t="shared" si="234"/>
        <v>m</v>
      </c>
      <c r="BW6" s="9" t="str">
        <f t="shared" si="234"/>
        <v>g</v>
      </c>
      <c r="BX6" s="9" t="str">
        <f t="shared" si="234"/>
        <v>v</v>
      </c>
      <c r="BY6" s="9" t="str">
        <f t="shared" si="234"/>
        <v>s</v>
      </c>
      <c r="BZ6" s="9" t="str">
        <f t="shared" si="234"/>
        <v>d</v>
      </c>
      <c r="CA6" s="9" t="str">
        <f>LEFT(TEXT(CA5,"ggg"),1)</f>
        <v>l</v>
      </c>
      <c r="CB6" s="9" t="str">
        <f t="shared" ref="CB6:CG6" si="235">LEFT(TEXT(CB5,"ggg"),1)</f>
        <v>m</v>
      </c>
      <c r="CC6" s="9" t="str">
        <f t="shared" si="235"/>
        <v>m</v>
      </c>
      <c r="CD6" s="9" t="str">
        <f t="shared" si="235"/>
        <v>g</v>
      </c>
      <c r="CE6" s="9" t="str">
        <f t="shared" si="235"/>
        <v>v</v>
      </c>
      <c r="CF6" s="9" t="str">
        <f t="shared" si="235"/>
        <v>s</v>
      </c>
      <c r="CG6" s="9" t="str">
        <f t="shared" si="235"/>
        <v>d</v>
      </c>
      <c r="CH6" s="9" t="str">
        <f>LEFT(TEXT(CH5,"ggg"),1)</f>
        <v>l</v>
      </c>
      <c r="CI6" s="9" t="str">
        <f t="shared" ref="CI6:CN6" si="236">LEFT(TEXT(CI5,"ggg"),1)</f>
        <v>m</v>
      </c>
      <c r="CJ6" s="9" t="str">
        <f t="shared" si="236"/>
        <v>m</v>
      </c>
      <c r="CK6" s="9" t="str">
        <f t="shared" si="236"/>
        <v>g</v>
      </c>
      <c r="CL6" s="9" t="str">
        <f t="shared" si="236"/>
        <v>v</v>
      </c>
      <c r="CM6" s="9" t="str">
        <f t="shared" si="236"/>
        <v>s</v>
      </c>
      <c r="CN6" s="9" t="str">
        <f t="shared" si="236"/>
        <v>d</v>
      </c>
      <c r="CO6" s="9" t="str">
        <f>LEFT(TEXT(CO5,"ggg"),1)</f>
        <v>l</v>
      </c>
      <c r="CP6" s="9" t="str">
        <f t="shared" ref="CP6:CU6" si="237">LEFT(TEXT(CP5,"ggg"),1)</f>
        <v>m</v>
      </c>
      <c r="CQ6" s="9" t="str">
        <f t="shared" si="237"/>
        <v>m</v>
      </c>
      <c r="CR6" s="9" t="str">
        <f t="shared" si="237"/>
        <v>g</v>
      </c>
      <c r="CS6" s="9" t="str">
        <f t="shared" si="237"/>
        <v>v</v>
      </c>
      <c r="CT6" s="9" t="str">
        <f t="shared" si="237"/>
        <v>s</v>
      </c>
      <c r="CU6" s="9" t="str">
        <f t="shared" si="237"/>
        <v>d</v>
      </c>
      <c r="CV6" s="9" t="str">
        <f>LEFT(TEXT(CV5,"ggg"),1)</f>
        <v>l</v>
      </c>
      <c r="CW6" s="9" t="str">
        <f t="shared" ref="CW6:DB6" si="238">LEFT(TEXT(CW5,"ggg"),1)</f>
        <v>m</v>
      </c>
      <c r="CX6" s="9" t="str">
        <f t="shared" si="238"/>
        <v>m</v>
      </c>
      <c r="CY6" s="9" t="str">
        <f t="shared" si="238"/>
        <v>g</v>
      </c>
      <c r="CZ6" s="9" t="str">
        <f t="shared" si="238"/>
        <v>v</v>
      </c>
      <c r="DA6" s="9" t="str">
        <f t="shared" si="238"/>
        <v>s</v>
      </c>
      <c r="DB6" s="9" t="str">
        <f t="shared" si="238"/>
        <v>d</v>
      </c>
      <c r="DC6" s="9" t="str">
        <f>LEFT(TEXT(DC5,"ggg"),1)</f>
        <v>l</v>
      </c>
      <c r="DD6" s="9" t="str">
        <f t="shared" ref="DD6:DI6" si="239">LEFT(TEXT(DD5,"ggg"),1)</f>
        <v>m</v>
      </c>
      <c r="DE6" s="9" t="str">
        <f t="shared" si="239"/>
        <v>m</v>
      </c>
      <c r="DF6" s="9" t="str">
        <f t="shared" si="239"/>
        <v>g</v>
      </c>
      <c r="DG6" s="9" t="str">
        <f t="shared" si="239"/>
        <v>v</v>
      </c>
      <c r="DH6" s="9" t="str">
        <f t="shared" si="239"/>
        <v>s</v>
      </c>
      <c r="DI6" s="9" t="str">
        <f t="shared" si="239"/>
        <v>d</v>
      </c>
      <c r="DJ6" s="9" t="str">
        <f>LEFT(TEXT(DJ5,"ggg"),1)</f>
        <v>l</v>
      </c>
      <c r="DK6" s="9" t="str">
        <f t="shared" ref="DK6:DP6" si="240">LEFT(TEXT(DK5,"ggg"),1)</f>
        <v>m</v>
      </c>
      <c r="DL6" s="9" t="str">
        <f t="shared" si="240"/>
        <v>m</v>
      </c>
      <c r="DM6" s="9" t="str">
        <f t="shared" si="240"/>
        <v>g</v>
      </c>
      <c r="DN6" s="9" t="str">
        <f t="shared" si="240"/>
        <v>v</v>
      </c>
      <c r="DO6" s="9" t="str">
        <f t="shared" si="240"/>
        <v>s</v>
      </c>
      <c r="DP6" s="9" t="str">
        <f t="shared" si="240"/>
        <v>d</v>
      </c>
      <c r="DQ6" s="9" t="str">
        <f>LEFT(TEXT(DQ5,"ggg"),1)</f>
        <v>l</v>
      </c>
      <c r="DR6" s="9" t="str">
        <f t="shared" ref="DR6:DW6" si="241">LEFT(TEXT(DR5,"ggg"),1)</f>
        <v>m</v>
      </c>
      <c r="DS6" s="9" t="str">
        <f t="shared" si="241"/>
        <v>m</v>
      </c>
      <c r="DT6" s="9" t="str">
        <f t="shared" si="241"/>
        <v>g</v>
      </c>
      <c r="DU6" s="9" t="str">
        <f t="shared" si="241"/>
        <v>v</v>
      </c>
      <c r="DV6" s="9" t="str">
        <f t="shared" si="241"/>
        <v>s</v>
      </c>
      <c r="DW6" s="9" t="str">
        <f t="shared" si="241"/>
        <v>d</v>
      </c>
      <c r="DX6" s="9" t="str">
        <f>LEFT(TEXT(DX5,"ggg"),1)</f>
        <v>l</v>
      </c>
      <c r="DY6" s="9" t="str">
        <f t="shared" ref="DY6:ED6" si="242">LEFT(TEXT(DY5,"ggg"),1)</f>
        <v>m</v>
      </c>
      <c r="DZ6" s="9" t="str">
        <f t="shared" si="242"/>
        <v>m</v>
      </c>
      <c r="EA6" s="9" t="str">
        <f t="shared" si="242"/>
        <v>g</v>
      </c>
      <c r="EB6" s="9" t="str">
        <f t="shared" si="242"/>
        <v>v</v>
      </c>
      <c r="EC6" s="9" t="str">
        <f t="shared" si="242"/>
        <v>s</v>
      </c>
      <c r="ED6" s="9" t="str">
        <f t="shared" si="242"/>
        <v>d</v>
      </c>
      <c r="EE6" s="9" t="str">
        <f>LEFT(TEXT(EE5,"ggg"),1)</f>
        <v>l</v>
      </c>
      <c r="EF6" s="9" t="str">
        <f t="shared" ref="EF6:EK6" si="243">LEFT(TEXT(EF5,"ggg"),1)</f>
        <v>m</v>
      </c>
      <c r="EG6" s="9" t="str">
        <f t="shared" si="243"/>
        <v>m</v>
      </c>
      <c r="EH6" s="9" t="str">
        <f t="shared" si="243"/>
        <v>g</v>
      </c>
      <c r="EI6" s="9" t="str">
        <f t="shared" si="243"/>
        <v>v</v>
      </c>
      <c r="EJ6" s="9" t="str">
        <f t="shared" si="243"/>
        <v>s</v>
      </c>
      <c r="EK6" s="9" t="str">
        <f t="shared" si="243"/>
        <v>d</v>
      </c>
      <c r="EL6" s="9" t="str">
        <f>LEFT(TEXT(EL5,"ggg"),1)</f>
        <v>l</v>
      </c>
      <c r="EM6" s="9" t="str">
        <f t="shared" ref="EM6:ER6" si="244">LEFT(TEXT(EM5,"ggg"),1)</f>
        <v>m</v>
      </c>
      <c r="EN6" s="9" t="str">
        <f t="shared" si="244"/>
        <v>m</v>
      </c>
      <c r="EO6" s="9" t="str">
        <f t="shared" si="244"/>
        <v>g</v>
      </c>
      <c r="EP6" s="9" t="str">
        <f t="shared" si="244"/>
        <v>v</v>
      </c>
      <c r="EQ6" s="9" t="str">
        <f t="shared" si="244"/>
        <v>s</v>
      </c>
      <c r="ER6" s="9" t="str">
        <f t="shared" si="244"/>
        <v>d</v>
      </c>
      <c r="ES6" s="9" t="str">
        <f>LEFT(TEXT(ES5,"ggg"),1)</f>
        <v>l</v>
      </c>
      <c r="ET6" s="9" t="str">
        <f t="shared" ref="ET6:EY6" si="245">LEFT(TEXT(ET5,"ggg"),1)</f>
        <v>m</v>
      </c>
      <c r="EU6" s="9" t="str">
        <f t="shared" si="245"/>
        <v>m</v>
      </c>
      <c r="EV6" s="9" t="str">
        <f t="shared" si="245"/>
        <v>g</v>
      </c>
      <c r="EW6" s="9" t="str">
        <f t="shared" si="245"/>
        <v>v</v>
      </c>
      <c r="EX6" s="9" t="str">
        <f t="shared" si="245"/>
        <v>s</v>
      </c>
      <c r="EY6" s="9" t="str">
        <f t="shared" si="245"/>
        <v>d</v>
      </c>
      <c r="EZ6" s="9" t="str">
        <f>LEFT(TEXT(EZ5,"ggg"),1)</f>
        <v>l</v>
      </c>
      <c r="FA6" s="9" t="str">
        <f t="shared" ref="FA6:FF6" si="246">LEFT(TEXT(FA5,"ggg"),1)</f>
        <v>m</v>
      </c>
      <c r="FB6" s="9" t="str">
        <f t="shared" si="246"/>
        <v>m</v>
      </c>
      <c r="FC6" s="9" t="str">
        <f t="shared" si="246"/>
        <v>g</v>
      </c>
      <c r="FD6" s="9" t="str">
        <f t="shared" si="246"/>
        <v>v</v>
      </c>
      <c r="FE6" s="9" t="str">
        <f t="shared" si="246"/>
        <v>s</v>
      </c>
      <c r="FF6" s="9" t="str">
        <f t="shared" si="246"/>
        <v>d</v>
      </c>
      <c r="FG6" s="9" t="str">
        <f>LEFT(TEXT(FG5,"ggg"),1)</f>
        <v>l</v>
      </c>
      <c r="FH6" s="9" t="str">
        <f t="shared" ref="FH6:FM6" si="247">LEFT(TEXT(FH5,"ggg"),1)</f>
        <v>m</v>
      </c>
      <c r="FI6" s="9" t="str">
        <f t="shared" si="247"/>
        <v>m</v>
      </c>
      <c r="FJ6" s="9" t="str">
        <f t="shared" si="247"/>
        <v>g</v>
      </c>
      <c r="FK6" s="9" t="str">
        <f t="shared" si="247"/>
        <v>v</v>
      </c>
      <c r="FL6" s="9" t="str">
        <f t="shared" si="247"/>
        <v>s</v>
      </c>
      <c r="FM6" s="9" t="str">
        <f t="shared" si="247"/>
        <v>d</v>
      </c>
      <c r="FN6" s="9" t="str">
        <f>LEFT(TEXT(FN5,"ggg"),1)</f>
        <v>l</v>
      </c>
      <c r="FO6" s="9" t="str">
        <f t="shared" ref="FO6:FT6" si="248">LEFT(TEXT(FO5,"ggg"),1)</f>
        <v>m</v>
      </c>
      <c r="FP6" s="9" t="str">
        <f t="shared" si="248"/>
        <v>m</v>
      </c>
      <c r="FQ6" s="9" t="str">
        <f t="shared" si="248"/>
        <v>g</v>
      </c>
      <c r="FR6" s="9" t="str">
        <f t="shared" si="248"/>
        <v>v</v>
      </c>
      <c r="FS6" s="9" t="str">
        <f t="shared" si="248"/>
        <v>s</v>
      </c>
      <c r="FT6" s="9" t="str">
        <f t="shared" si="248"/>
        <v>d</v>
      </c>
      <c r="FU6" s="9" t="str">
        <f>LEFT(TEXT(FU5,"ggg"),1)</f>
        <v>l</v>
      </c>
      <c r="FV6" s="9" t="str">
        <f t="shared" ref="FV6:GA6" si="249">LEFT(TEXT(FV5,"ggg"),1)</f>
        <v>m</v>
      </c>
      <c r="FW6" s="9" t="str">
        <f t="shared" si="249"/>
        <v>m</v>
      </c>
      <c r="FX6" s="9" t="str">
        <f t="shared" si="249"/>
        <v>g</v>
      </c>
      <c r="FY6" s="9" t="str">
        <f t="shared" si="249"/>
        <v>v</v>
      </c>
      <c r="FZ6" s="9" t="str">
        <f t="shared" si="249"/>
        <v>s</v>
      </c>
      <c r="GA6" s="9" t="str">
        <f t="shared" si="249"/>
        <v>d</v>
      </c>
      <c r="GB6" s="9" t="str">
        <f>LEFT(TEXT(GB5,"ggg"),1)</f>
        <v>l</v>
      </c>
      <c r="GC6" s="9" t="str">
        <f t="shared" ref="GC6:GH6" si="250">LEFT(TEXT(GC5,"ggg"),1)</f>
        <v>m</v>
      </c>
      <c r="GD6" s="9" t="str">
        <f t="shared" si="250"/>
        <v>m</v>
      </c>
      <c r="GE6" s="9" t="str">
        <f t="shared" si="250"/>
        <v>g</v>
      </c>
      <c r="GF6" s="9" t="str">
        <f t="shared" si="250"/>
        <v>v</v>
      </c>
      <c r="GG6" s="9" t="str">
        <f t="shared" si="250"/>
        <v>s</v>
      </c>
      <c r="GH6" s="9" t="str">
        <f t="shared" si="250"/>
        <v>d</v>
      </c>
      <c r="GI6" s="9" t="str">
        <f>LEFT(TEXT(GI5,"ggg"),1)</f>
        <v>l</v>
      </c>
      <c r="GJ6" s="9" t="str">
        <f t="shared" ref="GJ6:GO6" si="251">LEFT(TEXT(GJ5,"ggg"),1)</f>
        <v>m</v>
      </c>
      <c r="GK6" s="9" t="str">
        <f t="shared" si="251"/>
        <v>m</v>
      </c>
      <c r="GL6" s="9" t="str">
        <f t="shared" si="251"/>
        <v>g</v>
      </c>
      <c r="GM6" s="9" t="str">
        <f t="shared" si="251"/>
        <v>v</v>
      </c>
      <c r="GN6" s="9" t="str">
        <f t="shared" si="251"/>
        <v>s</v>
      </c>
      <c r="GO6" s="9" t="str">
        <f t="shared" si="251"/>
        <v>d</v>
      </c>
      <c r="GP6" s="9" t="str">
        <f>LEFT(TEXT(GP5,"ggg"),1)</f>
        <v>l</v>
      </c>
      <c r="GQ6" s="9" t="str">
        <f t="shared" ref="GQ6:GV6" si="252">LEFT(TEXT(GQ5,"ggg"),1)</f>
        <v>m</v>
      </c>
      <c r="GR6" s="9" t="str">
        <f t="shared" si="252"/>
        <v>m</v>
      </c>
      <c r="GS6" s="9" t="str">
        <f t="shared" si="252"/>
        <v>g</v>
      </c>
      <c r="GT6" s="9" t="str">
        <f t="shared" si="252"/>
        <v>v</v>
      </c>
      <c r="GU6" s="9" t="str">
        <f t="shared" si="252"/>
        <v>s</v>
      </c>
      <c r="GV6" s="9" t="str">
        <f t="shared" si="252"/>
        <v>d</v>
      </c>
      <c r="GW6" s="9" t="str">
        <f>LEFT(TEXT(GW5,"ggg"),1)</f>
        <v>l</v>
      </c>
      <c r="GX6" s="9" t="str">
        <f t="shared" ref="GX6:HC6" si="253">LEFT(TEXT(GX5,"ggg"),1)</f>
        <v>m</v>
      </c>
      <c r="GY6" s="9" t="str">
        <f t="shared" si="253"/>
        <v>m</v>
      </c>
      <c r="GZ6" s="9" t="str">
        <f t="shared" si="253"/>
        <v>g</v>
      </c>
      <c r="HA6" s="9" t="str">
        <f t="shared" si="253"/>
        <v>v</v>
      </c>
      <c r="HB6" s="9" t="str">
        <f t="shared" si="253"/>
        <v>s</v>
      </c>
      <c r="HC6" s="9" t="str">
        <f t="shared" si="253"/>
        <v>d</v>
      </c>
      <c r="HD6" s="9" t="str">
        <f>LEFT(TEXT(HD5,"ggg"),1)</f>
        <v>l</v>
      </c>
      <c r="HE6" s="9" t="str">
        <f t="shared" ref="HE6:HJ6" si="254">LEFT(TEXT(HE5,"ggg"),1)</f>
        <v>m</v>
      </c>
      <c r="HF6" s="9" t="str">
        <f t="shared" si="254"/>
        <v>m</v>
      </c>
      <c r="HG6" s="9" t="str">
        <f t="shared" si="254"/>
        <v>g</v>
      </c>
      <c r="HH6" s="9" t="str">
        <f t="shared" si="254"/>
        <v>v</v>
      </c>
      <c r="HI6" s="9" t="str">
        <f t="shared" si="254"/>
        <v>s</v>
      </c>
      <c r="HJ6" s="9" t="str">
        <f t="shared" si="254"/>
        <v>d</v>
      </c>
      <c r="HK6" s="9" t="str">
        <f>LEFT(TEXT(HK5,"ggg"),1)</f>
        <v>l</v>
      </c>
      <c r="HL6" s="9" t="str">
        <f t="shared" ref="HL6:HQ6" si="255">LEFT(TEXT(HL5,"ggg"),1)</f>
        <v>m</v>
      </c>
      <c r="HM6" s="9" t="str">
        <f t="shared" si="255"/>
        <v>m</v>
      </c>
      <c r="HN6" s="9" t="str">
        <f t="shared" si="255"/>
        <v>g</v>
      </c>
      <c r="HO6" s="9" t="str">
        <f t="shared" si="255"/>
        <v>v</v>
      </c>
      <c r="HP6" s="9" t="str">
        <f t="shared" si="255"/>
        <v>s</v>
      </c>
      <c r="HQ6" s="9" t="str">
        <f t="shared" si="255"/>
        <v>d</v>
      </c>
      <c r="HR6" s="9" t="str">
        <f>LEFT(TEXT(HR5,"ggg"),1)</f>
        <v>l</v>
      </c>
      <c r="HS6" s="9" t="str">
        <f t="shared" ref="HS6:HX6" si="256">LEFT(TEXT(HS5,"ggg"),1)</f>
        <v>m</v>
      </c>
      <c r="HT6" s="9" t="str">
        <f t="shared" si="256"/>
        <v>m</v>
      </c>
      <c r="HU6" s="9" t="str">
        <f t="shared" si="256"/>
        <v>g</v>
      </c>
      <c r="HV6" s="9" t="str">
        <f t="shared" si="256"/>
        <v>v</v>
      </c>
      <c r="HW6" s="9" t="str">
        <f t="shared" si="256"/>
        <v>s</v>
      </c>
      <c r="HX6" s="9" t="str">
        <f t="shared" si="256"/>
        <v>d</v>
      </c>
      <c r="HY6" s="9" t="str">
        <f>LEFT(TEXT(HY5,"ggg"),1)</f>
        <v>l</v>
      </c>
      <c r="HZ6" s="9" t="str">
        <f t="shared" ref="HZ6:IE6" si="257">LEFT(TEXT(HZ5,"ggg"),1)</f>
        <v>m</v>
      </c>
      <c r="IA6" s="9" t="str">
        <f t="shared" si="257"/>
        <v>m</v>
      </c>
      <c r="IB6" s="9" t="str">
        <f t="shared" si="257"/>
        <v>g</v>
      </c>
      <c r="IC6" s="9" t="str">
        <f t="shared" si="257"/>
        <v>v</v>
      </c>
      <c r="ID6" s="9" t="str">
        <f t="shared" si="257"/>
        <v>s</v>
      </c>
      <c r="IE6" s="9" t="str">
        <f t="shared" si="257"/>
        <v>d</v>
      </c>
      <c r="IF6" s="9" t="str">
        <f>LEFT(TEXT(IF5,"ggg"),1)</f>
        <v>l</v>
      </c>
      <c r="IG6" s="9" t="str">
        <f t="shared" ref="IG6:IL6" si="258">LEFT(TEXT(IG5,"ggg"),1)</f>
        <v>m</v>
      </c>
      <c r="IH6" s="9" t="str">
        <f t="shared" si="258"/>
        <v>m</v>
      </c>
      <c r="II6" s="9" t="str">
        <f t="shared" si="258"/>
        <v>g</v>
      </c>
      <c r="IJ6" s="9" t="str">
        <f t="shared" si="258"/>
        <v>v</v>
      </c>
      <c r="IK6" s="9" t="str">
        <f t="shared" si="258"/>
        <v>s</v>
      </c>
      <c r="IL6" s="9" t="str">
        <f t="shared" si="258"/>
        <v>d</v>
      </c>
      <c r="IM6" s="9" t="str">
        <f>LEFT(TEXT(IM5,"ggg"),1)</f>
        <v>l</v>
      </c>
      <c r="IN6" s="9" t="str">
        <f t="shared" ref="IN6:IS6" si="259">LEFT(TEXT(IN5,"ggg"),1)</f>
        <v>m</v>
      </c>
      <c r="IO6" s="9" t="str">
        <f t="shared" si="259"/>
        <v>m</v>
      </c>
      <c r="IP6" s="9" t="str">
        <f t="shared" si="259"/>
        <v>g</v>
      </c>
      <c r="IQ6" s="9" t="str">
        <f t="shared" si="259"/>
        <v>v</v>
      </c>
      <c r="IR6" s="9" t="str">
        <f t="shared" si="259"/>
        <v>s</v>
      </c>
      <c r="IS6" s="9" t="str">
        <f t="shared" si="259"/>
        <v>d</v>
      </c>
      <c r="IT6" s="9" t="str">
        <f>LEFT(TEXT(IT5,"ggg"),1)</f>
        <v>l</v>
      </c>
      <c r="IU6" s="9" t="str">
        <f t="shared" ref="IU6:IZ6" si="260">LEFT(TEXT(IU5,"ggg"),1)</f>
        <v>m</v>
      </c>
      <c r="IV6" s="9" t="str">
        <f t="shared" si="260"/>
        <v>m</v>
      </c>
      <c r="IW6" s="9" t="str">
        <f t="shared" si="260"/>
        <v>g</v>
      </c>
      <c r="IX6" s="9" t="str">
        <f t="shared" si="260"/>
        <v>v</v>
      </c>
      <c r="IY6" s="9" t="str">
        <f t="shared" si="260"/>
        <v>s</v>
      </c>
      <c r="IZ6" s="9" t="str">
        <f t="shared" si="260"/>
        <v>d</v>
      </c>
      <c r="JA6" s="9" t="str">
        <f>LEFT(TEXT(JA5,"ggg"),1)</f>
        <v>l</v>
      </c>
      <c r="JB6" s="9" t="str">
        <f t="shared" ref="JB6:JG6" si="261">LEFT(TEXT(JB5,"ggg"),1)</f>
        <v>m</v>
      </c>
      <c r="JC6" s="9" t="str">
        <f t="shared" si="261"/>
        <v>m</v>
      </c>
      <c r="JD6" s="9" t="str">
        <f t="shared" si="261"/>
        <v>g</v>
      </c>
      <c r="JE6" s="9" t="str">
        <f t="shared" si="261"/>
        <v>v</v>
      </c>
      <c r="JF6" s="9" t="str">
        <f t="shared" si="261"/>
        <v>s</v>
      </c>
      <c r="JG6" s="9" t="str">
        <f t="shared" si="261"/>
        <v>d</v>
      </c>
      <c r="JH6" s="9" t="str">
        <f>LEFT(TEXT(JH5,"ggg"),1)</f>
        <v>l</v>
      </c>
      <c r="JI6" s="9" t="str">
        <f t="shared" ref="JI6:JN6" si="262">LEFT(TEXT(JI5,"ggg"),1)</f>
        <v>m</v>
      </c>
      <c r="JJ6" s="9" t="str">
        <f t="shared" si="262"/>
        <v>m</v>
      </c>
      <c r="JK6" s="9" t="str">
        <f t="shared" si="262"/>
        <v>g</v>
      </c>
      <c r="JL6" s="9" t="str">
        <f t="shared" si="262"/>
        <v>v</v>
      </c>
      <c r="JM6" s="9" t="str">
        <f t="shared" si="262"/>
        <v>s</v>
      </c>
      <c r="JN6" s="9" t="str">
        <f t="shared" si="262"/>
        <v>d</v>
      </c>
      <c r="JO6" s="9" t="str">
        <f>LEFT(TEXT(JO5,"ggg"),1)</f>
        <v>l</v>
      </c>
      <c r="JP6" s="9" t="str">
        <f t="shared" ref="JP6:JU6" si="263">LEFT(TEXT(JP5,"ggg"),1)</f>
        <v>m</v>
      </c>
      <c r="JQ6" s="9" t="str">
        <f t="shared" si="263"/>
        <v>m</v>
      </c>
      <c r="JR6" s="9" t="str">
        <f t="shared" si="263"/>
        <v>g</v>
      </c>
      <c r="JS6" s="9" t="str">
        <f t="shared" si="263"/>
        <v>v</v>
      </c>
      <c r="JT6" s="9" t="str">
        <f t="shared" si="263"/>
        <v>s</v>
      </c>
      <c r="JU6" s="9" t="str">
        <f t="shared" si="263"/>
        <v>d</v>
      </c>
      <c r="JV6" s="9" t="str">
        <f>LEFT(TEXT(JV5,"ggg"),1)</f>
        <v>l</v>
      </c>
      <c r="JW6" s="9" t="str">
        <f t="shared" ref="JW6:KB6" si="264">LEFT(TEXT(JW5,"ggg"),1)</f>
        <v>m</v>
      </c>
      <c r="JX6" s="9" t="str">
        <f t="shared" si="264"/>
        <v>m</v>
      </c>
      <c r="JY6" s="9" t="str">
        <f t="shared" si="264"/>
        <v>g</v>
      </c>
      <c r="JZ6" s="9" t="str">
        <f t="shared" si="264"/>
        <v>v</v>
      </c>
      <c r="KA6" s="9" t="str">
        <f t="shared" si="264"/>
        <v>s</v>
      </c>
      <c r="KB6" s="9" t="str">
        <f t="shared" si="264"/>
        <v>d</v>
      </c>
      <c r="KC6" s="9" t="str">
        <f>LEFT(TEXT(KC5,"ggg"),1)</f>
        <v>l</v>
      </c>
      <c r="KD6" s="9" t="str">
        <f t="shared" ref="KD6:KI6" si="265">LEFT(TEXT(KD5,"ggg"),1)</f>
        <v>m</v>
      </c>
      <c r="KE6" s="9" t="str">
        <f t="shared" si="265"/>
        <v>m</v>
      </c>
      <c r="KF6" s="9" t="str">
        <f t="shared" si="265"/>
        <v>g</v>
      </c>
      <c r="KG6" s="9" t="str">
        <f t="shared" si="265"/>
        <v>v</v>
      </c>
      <c r="KH6" s="9" t="str">
        <f t="shared" si="265"/>
        <v>s</v>
      </c>
      <c r="KI6" s="9" t="str">
        <f t="shared" si="265"/>
        <v>d</v>
      </c>
      <c r="KJ6" s="9" t="str">
        <f>LEFT(TEXT(KJ5,"ggg"),1)</f>
        <v>l</v>
      </c>
      <c r="KK6" s="9" t="str">
        <f t="shared" ref="KK6:KP6" si="266">LEFT(TEXT(KK5,"ggg"),1)</f>
        <v>m</v>
      </c>
      <c r="KL6" s="9" t="str">
        <f t="shared" si="266"/>
        <v>m</v>
      </c>
      <c r="KM6" s="9" t="str">
        <f t="shared" si="266"/>
        <v>g</v>
      </c>
      <c r="KN6" s="9" t="str">
        <f t="shared" si="266"/>
        <v>v</v>
      </c>
      <c r="KO6" s="9" t="str">
        <f t="shared" si="266"/>
        <v>s</v>
      </c>
      <c r="KP6" s="9" t="str">
        <f t="shared" si="266"/>
        <v>d</v>
      </c>
      <c r="KQ6" s="9" t="str">
        <f>LEFT(TEXT(KQ5,"ggg"),1)</f>
        <v>l</v>
      </c>
      <c r="KR6" s="9" t="str">
        <f t="shared" ref="KR6:KW6" si="267">LEFT(TEXT(KR5,"ggg"),1)</f>
        <v>m</v>
      </c>
      <c r="KS6" s="9" t="str">
        <f t="shared" si="267"/>
        <v>m</v>
      </c>
      <c r="KT6" s="9" t="str">
        <f t="shared" si="267"/>
        <v>g</v>
      </c>
      <c r="KU6" s="9" t="str">
        <f t="shared" si="267"/>
        <v>v</v>
      </c>
      <c r="KV6" s="9" t="str">
        <f t="shared" si="267"/>
        <v>s</v>
      </c>
      <c r="KW6" s="9" t="str">
        <f t="shared" si="267"/>
        <v>d</v>
      </c>
      <c r="KX6" s="9" t="str">
        <f>LEFT(TEXT(KX5,"ggg"),1)</f>
        <v>l</v>
      </c>
      <c r="KY6" s="9" t="str">
        <f t="shared" ref="KY6:LD6" si="268">LEFT(TEXT(KY5,"ggg"),1)</f>
        <v>m</v>
      </c>
      <c r="KZ6" s="9" t="str">
        <f t="shared" si="268"/>
        <v>m</v>
      </c>
      <c r="LA6" s="9" t="str">
        <f t="shared" si="268"/>
        <v>g</v>
      </c>
      <c r="LB6" s="9" t="str">
        <f t="shared" si="268"/>
        <v>v</v>
      </c>
      <c r="LC6" s="9" t="str">
        <f t="shared" si="268"/>
        <v>s</v>
      </c>
      <c r="LD6" s="9" t="str">
        <f t="shared" si="268"/>
        <v>d</v>
      </c>
      <c r="LE6" s="9" t="str">
        <f>LEFT(TEXT(LE5,"ggg"),1)</f>
        <v>l</v>
      </c>
      <c r="LF6" s="9" t="str">
        <f t="shared" ref="LF6:LK6" si="269">LEFT(TEXT(LF5,"ggg"),1)</f>
        <v>m</v>
      </c>
      <c r="LG6" s="9" t="str">
        <f t="shared" si="269"/>
        <v>m</v>
      </c>
      <c r="LH6" s="9" t="str">
        <f t="shared" si="269"/>
        <v>g</v>
      </c>
      <c r="LI6" s="9" t="str">
        <f t="shared" si="269"/>
        <v>v</v>
      </c>
      <c r="LJ6" s="9" t="str">
        <f t="shared" si="269"/>
        <v>s</v>
      </c>
      <c r="LK6" s="9" t="str">
        <f t="shared" si="269"/>
        <v>d</v>
      </c>
      <c r="LL6" s="9" t="str">
        <f>LEFT(TEXT(LL5,"ggg"),1)</f>
        <v>l</v>
      </c>
      <c r="LM6" s="9" t="str">
        <f t="shared" ref="LM6:LR6" si="270">LEFT(TEXT(LM5,"ggg"),1)</f>
        <v>m</v>
      </c>
      <c r="LN6" s="9" t="str">
        <f t="shared" si="270"/>
        <v>m</v>
      </c>
      <c r="LO6" s="9" t="str">
        <f t="shared" si="270"/>
        <v>g</v>
      </c>
      <c r="LP6" s="9" t="str">
        <f t="shared" si="270"/>
        <v>v</v>
      </c>
      <c r="LQ6" s="9" t="str">
        <f t="shared" si="270"/>
        <v>s</v>
      </c>
      <c r="LR6" s="9" t="str">
        <f t="shared" si="270"/>
        <v>d</v>
      </c>
      <c r="LS6" s="9" t="str">
        <f>LEFT(TEXT(LS5,"ggg"),1)</f>
        <v>l</v>
      </c>
      <c r="LT6" s="9" t="str">
        <f t="shared" ref="LT6:LY6" si="271">LEFT(TEXT(LT5,"ggg"),1)</f>
        <v>m</v>
      </c>
      <c r="LU6" s="9" t="str">
        <f t="shared" si="271"/>
        <v>m</v>
      </c>
      <c r="LV6" s="9" t="str">
        <f t="shared" si="271"/>
        <v>g</v>
      </c>
      <c r="LW6" s="9" t="str">
        <f t="shared" si="271"/>
        <v>v</v>
      </c>
      <c r="LX6" s="9" t="str">
        <f t="shared" si="271"/>
        <v>s</v>
      </c>
      <c r="LY6" s="9" t="str">
        <f t="shared" si="271"/>
        <v>d</v>
      </c>
      <c r="LZ6" s="9" t="str">
        <f>LEFT(TEXT(LZ5,"ggg"),1)</f>
        <v>l</v>
      </c>
      <c r="MA6" s="9" t="str">
        <f t="shared" ref="MA6:MF6" si="272">LEFT(TEXT(MA5,"ggg"),1)</f>
        <v>m</v>
      </c>
      <c r="MB6" s="9" t="str">
        <f t="shared" si="272"/>
        <v>m</v>
      </c>
      <c r="MC6" s="9" t="str">
        <f t="shared" si="272"/>
        <v>g</v>
      </c>
      <c r="MD6" s="9" t="str">
        <f t="shared" si="272"/>
        <v>v</v>
      </c>
      <c r="ME6" s="9" t="str">
        <f t="shared" si="272"/>
        <v>s</v>
      </c>
      <c r="MF6" s="9" t="str">
        <f t="shared" si="272"/>
        <v>d</v>
      </c>
      <c r="MG6" s="9" t="str">
        <f>LEFT(TEXT(MG5,"ggg"),1)</f>
        <v>l</v>
      </c>
      <c r="MH6" s="9" t="str">
        <f t="shared" ref="MH6:MM6" si="273">LEFT(TEXT(MH5,"ggg"),1)</f>
        <v>m</v>
      </c>
      <c r="MI6" s="9" t="str">
        <f t="shared" si="273"/>
        <v>m</v>
      </c>
      <c r="MJ6" s="9" t="str">
        <f t="shared" si="273"/>
        <v>g</v>
      </c>
      <c r="MK6" s="9" t="str">
        <f t="shared" si="273"/>
        <v>v</v>
      </c>
      <c r="ML6" s="9" t="str">
        <f t="shared" si="273"/>
        <v>s</v>
      </c>
      <c r="MM6" s="9" t="str">
        <f t="shared" si="273"/>
        <v>d</v>
      </c>
      <c r="MN6" s="9" t="str">
        <f>LEFT(TEXT(MN5,"ggg"),1)</f>
        <v>l</v>
      </c>
      <c r="MO6" s="9" t="str">
        <f t="shared" ref="MO6:MT6" si="274">LEFT(TEXT(MO5,"ggg"),1)</f>
        <v>m</v>
      </c>
      <c r="MP6" s="9" t="str">
        <f t="shared" si="274"/>
        <v>m</v>
      </c>
      <c r="MQ6" s="9" t="str">
        <f t="shared" si="274"/>
        <v>g</v>
      </c>
      <c r="MR6" s="9" t="str">
        <f t="shared" si="274"/>
        <v>v</v>
      </c>
      <c r="MS6" s="9" t="str">
        <f t="shared" si="274"/>
        <v>s</v>
      </c>
      <c r="MT6" s="9" t="str">
        <f t="shared" si="274"/>
        <v>d</v>
      </c>
      <c r="MU6" s="9" t="str">
        <f>LEFT(TEXT(MU5,"ggg"),1)</f>
        <v>l</v>
      </c>
      <c r="MV6" s="9" t="str">
        <f t="shared" ref="MV6:NA6" si="275">LEFT(TEXT(MV5,"ggg"),1)</f>
        <v>m</v>
      </c>
      <c r="MW6" s="9" t="str">
        <f t="shared" si="275"/>
        <v>m</v>
      </c>
      <c r="MX6" s="9" t="str">
        <f t="shared" si="275"/>
        <v>g</v>
      </c>
      <c r="MY6" s="9" t="str">
        <f t="shared" si="275"/>
        <v>v</v>
      </c>
      <c r="MZ6" s="9" t="str">
        <f t="shared" si="275"/>
        <v>s</v>
      </c>
      <c r="NA6" s="9" t="str">
        <f t="shared" si="275"/>
        <v>d</v>
      </c>
      <c r="NB6" s="9" t="str">
        <f>LEFT(TEXT(NB5,"ggg"),1)</f>
        <v>l</v>
      </c>
      <c r="NC6" s="9" t="str">
        <f t="shared" ref="NC6:NH6" si="276">LEFT(TEXT(NC5,"ggg"),1)</f>
        <v>m</v>
      </c>
      <c r="ND6" s="9" t="str">
        <f t="shared" si="276"/>
        <v>m</v>
      </c>
      <c r="NE6" s="9" t="str">
        <f t="shared" si="276"/>
        <v>g</v>
      </c>
      <c r="NF6" s="9" t="str">
        <f t="shared" si="276"/>
        <v>v</v>
      </c>
      <c r="NG6" s="9" t="str">
        <f t="shared" si="276"/>
        <v>s</v>
      </c>
      <c r="NH6" s="9" t="str">
        <f t="shared" si="276"/>
        <v>d</v>
      </c>
    </row>
    <row r="7" spans="1:372" ht="30" hidden="1" customHeight="1" thickBot="1" x14ac:dyDescent="0.35">
      <c r="A7" s="23" t="s">
        <v>13</v>
      </c>
      <c r="C7" s="26"/>
      <c r="E7"/>
      <c r="H7" t="str">
        <f>IF(OR(ISBLANK(inizio_attività),ISBLANK(fine_attività)),"",fine_attività-inizio_attività+1)</f>
        <v/>
      </c>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row>
    <row r="8" spans="1:372" s="3" customFormat="1" ht="30" customHeight="1" thickBot="1" x14ac:dyDescent="0.35">
      <c r="A8" s="24" t="s">
        <v>14</v>
      </c>
      <c r="B8" s="11" t="s">
        <v>15</v>
      </c>
      <c r="C8" s="30"/>
      <c r="D8" s="12"/>
      <c r="E8" s="42"/>
      <c r="F8" s="43"/>
      <c r="G8" s="10"/>
      <c r="H8" s="10" t="str">
        <f t="shared" ref="H8:H19" si="277">IF(OR(ISBLANK(inizio_attività),ISBLANK(fine_attività)),"",fine_attività-inizio_attività+1)</f>
        <v/>
      </c>
      <c r="I8" s="69"/>
      <c r="J8" s="42"/>
      <c r="K8" s="42"/>
      <c r="L8" s="42"/>
      <c r="M8" s="42"/>
      <c r="N8" s="42"/>
      <c r="O8" s="42"/>
      <c r="P8" s="42"/>
      <c r="Q8" s="42"/>
      <c r="R8" s="42"/>
      <c r="S8" s="42"/>
      <c r="T8" s="42"/>
      <c r="U8" s="42"/>
      <c r="V8" s="42"/>
      <c r="W8" s="42"/>
      <c r="X8" s="42"/>
      <c r="Y8" s="42"/>
      <c r="Z8" s="42"/>
      <c r="AA8" s="70"/>
      <c r="AB8" s="66"/>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c r="KL8" s="20"/>
      <c r="KM8" s="20"/>
      <c r="KN8" s="20"/>
      <c r="KO8" s="20"/>
      <c r="KP8" s="20"/>
      <c r="KQ8" s="20"/>
      <c r="KR8" s="20"/>
      <c r="KS8" s="20"/>
      <c r="KT8" s="20"/>
      <c r="KU8" s="20"/>
      <c r="KV8" s="20"/>
      <c r="KW8" s="20"/>
      <c r="KX8" s="20"/>
      <c r="KY8" s="20"/>
      <c r="KZ8" s="20"/>
      <c r="LA8" s="20"/>
      <c r="LB8" s="20"/>
      <c r="LC8" s="20"/>
      <c r="LD8" s="20"/>
      <c r="LE8" s="20"/>
      <c r="LF8" s="20"/>
      <c r="LG8" s="20"/>
      <c r="LH8" s="20"/>
      <c r="LI8" s="20"/>
      <c r="LJ8" s="20"/>
      <c r="LK8" s="20"/>
      <c r="LL8" s="20"/>
      <c r="LM8" s="20"/>
      <c r="LN8" s="20"/>
      <c r="LO8" s="20"/>
      <c r="LP8" s="20"/>
      <c r="LQ8" s="20"/>
      <c r="LR8" s="20"/>
      <c r="LS8" s="20"/>
      <c r="LT8" s="20"/>
      <c r="LU8" s="20"/>
      <c r="LV8" s="20"/>
      <c r="LW8" s="20"/>
      <c r="LX8" s="20"/>
      <c r="LY8" s="20"/>
      <c r="LZ8" s="20"/>
      <c r="MA8" s="20"/>
      <c r="MB8" s="20"/>
      <c r="MC8" s="20"/>
      <c r="MD8" s="20"/>
      <c r="ME8" s="20"/>
      <c r="MF8" s="20"/>
      <c r="MG8" s="20"/>
      <c r="MH8" s="20"/>
      <c r="MI8" s="20"/>
      <c r="MJ8" s="20"/>
      <c r="MK8" s="20"/>
      <c r="ML8" s="20"/>
      <c r="MM8" s="20"/>
      <c r="MN8" s="20"/>
      <c r="MO8" s="20"/>
      <c r="MP8" s="20"/>
      <c r="MQ8" s="20"/>
      <c r="MR8" s="20"/>
      <c r="MS8" s="20"/>
      <c r="MT8" s="20"/>
      <c r="MU8" s="20"/>
      <c r="MV8" s="20"/>
      <c r="MW8" s="20"/>
      <c r="MX8" s="20"/>
      <c r="MY8" s="20"/>
      <c r="MZ8" s="20"/>
      <c r="NA8" s="20"/>
      <c r="NB8" s="20"/>
      <c r="NC8" s="20"/>
      <c r="ND8" s="20"/>
      <c r="NE8" s="20"/>
      <c r="NF8" s="20"/>
      <c r="NG8" s="20"/>
      <c r="NH8" s="20"/>
    </row>
    <row r="9" spans="1:372" s="3" customFormat="1" ht="30" customHeight="1" thickBot="1" x14ac:dyDescent="0.35">
      <c r="A9" s="24" t="s">
        <v>16</v>
      </c>
      <c r="B9" s="36" t="s">
        <v>17</v>
      </c>
      <c r="C9" s="31"/>
      <c r="D9" s="13"/>
      <c r="E9" s="44">
        <f>Inizio_progetto+2</f>
        <v>45629</v>
      </c>
      <c r="F9" s="44">
        <f>E9+8</f>
        <v>45637</v>
      </c>
      <c r="G9" s="10"/>
      <c r="H9" s="10">
        <f>IF(OR(ISBLANK(inizio_attività),ISBLANK(fine_attività)),"",fine_attività-inizio_attività+1)</f>
        <v>9</v>
      </c>
      <c r="I9" s="71"/>
      <c r="J9" s="20"/>
      <c r="K9" s="20"/>
      <c r="L9" s="20"/>
      <c r="M9" s="20"/>
      <c r="N9" s="20"/>
      <c r="O9" s="20"/>
      <c r="P9" s="20"/>
      <c r="Q9" s="20"/>
      <c r="R9" s="20"/>
      <c r="S9" s="20"/>
      <c r="T9" s="20"/>
      <c r="U9" s="20"/>
      <c r="V9" s="20"/>
      <c r="W9" s="20"/>
      <c r="X9" s="20"/>
      <c r="Y9" s="20"/>
      <c r="Z9" s="20"/>
      <c r="AA9" s="72"/>
      <c r="AB9" s="66"/>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c r="KL9" s="20"/>
      <c r="KM9" s="20"/>
      <c r="KN9" s="20"/>
      <c r="KO9" s="20"/>
      <c r="KP9" s="20"/>
      <c r="KQ9" s="20"/>
      <c r="KR9" s="20"/>
      <c r="KS9" s="20"/>
      <c r="KT9" s="20"/>
      <c r="KU9" s="20"/>
      <c r="KV9" s="20"/>
      <c r="KW9" s="20"/>
      <c r="KX9" s="20"/>
      <c r="KY9" s="20"/>
      <c r="KZ9" s="20"/>
      <c r="LA9" s="20"/>
      <c r="LB9" s="20"/>
      <c r="LC9" s="20"/>
      <c r="LD9" s="20"/>
      <c r="LE9" s="20"/>
      <c r="LF9" s="20"/>
      <c r="LG9" s="20"/>
      <c r="LH9" s="20"/>
      <c r="LI9" s="20"/>
      <c r="LJ9" s="20"/>
      <c r="LK9" s="20"/>
      <c r="LL9" s="20"/>
      <c r="LM9" s="20"/>
      <c r="LN9" s="20"/>
      <c r="LO9" s="20"/>
      <c r="LP9" s="20"/>
      <c r="LQ9" s="20"/>
      <c r="LR9" s="20"/>
      <c r="LS9" s="20"/>
      <c r="LT9" s="20"/>
      <c r="LU9" s="20"/>
      <c r="LV9" s="20"/>
      <c r="LW9" s="20"/>
      <c r="LX9" s="20"/>
      <c r="LY9" s="20"/>
      <c r="LZ9" s="20"/>
      <c r="MA9" s="20"/>
      <c r="MB9" s="20"/>
      <c r="MC9" s="20"/>
      <c r="MD9" s="20"/>
      <c r="ME9" s="20"/>
      <c r="MF9" s="20"/>
      <c r="MG9" s="20"/>
      <c r="MH9" s="20"/>
      <c r="MI9" s="20"/>
      <c r="MJ9" s="20"/>
      <c r="MK9" s="20"/>
      <c r="ML9" s="20"/>
      <c r="MM9" s="20"/>
      <c r="MN9" s="20"/>
      <c r="MO9" s="20"/>
      <c r="MP9" s="20"/>
      <c r="MQ9" s="20"/>
      <c r="MR9" s="20"/>
      <c r="MS9" s="20"/>
      <c r="MT9" s="20"/>
      <c r="MU9" s="20"/>
      <c r="MV9" s="20"/>
      <c r="MW9" s="20"/>
      <c r="MX9" s="20"/>
      <c r="MY9" s="20"/>
      <c r="MZ9" s="20"/>
      <c r="NA9" s="20"/>
      <c r="NB9" s="20"/>
      <c r="NC9" s="20"/>
      <c r="ND9" s="20"/>
      <c r="NE9" s="20"/>
      <c r="NF9" s="20"/>
      <c r="NG9" s="20"/>
      <c r="NH9" s="20"/>
    </row>
    <row r="10" spans="1:372" s="3" customFormat="1" ht="30" customHeight="1" thickBot="1" x14ac:dyDescent="0.35">
      <c r="A10" s="24" t="s">
        <v>18</v>
      </c>
      <c r="B10" s="36" t="s">
        <v>19</v>
      </c>
      <c r="C10" s="31"/>
      <c r="D10" s="13"/>
      <c r="E10" s="44">
        <f>Inizio_progetto</f>
        <v>45627</v>
      </c>
      <c r="F10" s="44">
        <f>E10+7</f>
        <v>45634</v>
      </c>
      <c r="G10" s="10"/>
      <c r="H10" s="10">
        <f>IF(OR(ISBLANK(inizio_attività),ISBLANK(fine_attività)),"",fine_attività-inizio_attività+1)</f>
        <v>8</v>
      </c>
      <c r="I10" s="71"/>
      <c r="J10" s="20"/>
      <c r="K10" s="20"/>
      <c r="L10" s="20"/>
      <c r="M10" s="20"/>
      <c r="N10" s="20"/>
      <c r="O10" s="20"/>
      <c r="P10" s="20"/>
      <c r="Q10" s="20"/>
      <c r="R10" s="20"/>
      <c r="S10" s="20"/>
      <c r="T10" s="20"/>
      <c r="U10" s="21"/>
      <c r="V10" s="21"/>
      <c r="W10" s="20"/>
      <c r="X10" s="20"/>
      <c r="Y10" s="20"/>
      <c r="Z10" s="20"/>
      <c r="AA10" s="72"/>
      <c r="AB10" s="66"/>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c r="KL10" s="20"/>
      <c r="KM10" s="20"/>
      <c r="KN10" s="20"/>
      <c r="KO10" s="20"/>
      <c r="KP10" s="20"/>
      <c r="KQ10" s="20"/>
      <c r="KR10" s="20"/>
      <c r="KS10" s="20"/>
      <c r="KT10" s="20"/>
      <c r="KU10" s="20"/>
      <c r="KV10" s="20"/>
      <c r="KW10" s="20"/>
      <c r="KX10" s="20"/>
      <c r="KY10" s="20"/>
      <c r="KZ10" s="20"/>
      <c r="LA10" s="20"/>
      <c r="LB10" s="20"/>
      <c r="LC10" s="20"/>
      <c r="LD10" s="20"/>
      <c r="LE10" s="20"/>
      <c r="LF10" s="20"/>
      <c r="LG10" s="20"/>
      <c r="LH10" s="20"/>
      <c r="LI10" s="20"/>
      <c r="LJ10" s="20"/>
      <c r="LK10" s="20"/>
      <c r="LL10" s="20"/>
      <c r="LM10" s="20"/>
      <c r="LN10" s="20"/>
      <c r="LO10" s="20"/>
      <c r="LP10" s="20"/>
      <c r="LQ10" s="20"/>
      <c r="LR10" s="20"/>
      <c r="LS10" s="20"/>
      <c r="LT10" s="20"/>
      <c r="LU10" s="20"/>
      <c r="LV10" s="20"/>
      <c r="LW10" s="20"/>
      <c r="LX10" s="20"/>
      <c r="LY10" s="20"/>
      <c r="LZ10" s="20"/>
      <c r="MA10" s="20"/>
      <c r="MB10" s="20"/>
      <c r="MC10" s="20"/>
      <c r="MD10" s="20"/>
      <c r="ME10" s="20"/>
      <c r="MF10" s="20"/>
      <c r="MG10" s="20"/>
      <c r="MH10" s="20"/>
      <c r="MI10" s="20"/>
      <c r="MJ10" s="20"/>
      <c r="MK10" s="20"/>
      <c r="ML10" s="20"/>
      <c r="MM10" s="20"/>
      <c r="MN10" s="20"/>
      <c r="MO10" s="20"/>
      <c r="MP10" s="20"/>
      <c r="MQ10" s="20"/>
      <c r="MR10" s="20"/>
      <c r="MS10" s="20"/>
      <c r="MT10" s="20"/>
      <c r="MU10" s="20"/>
      <c r="MV10" s="20"/>
      <c r="MW10" s="20"/>
      <c r="MX10" s="20"/>
      <c r="MY10" s="20"/>
      <c r="MZ10" s="20"/>
      <c r="NA10" s="20"/>
      <c r="NB10" s="20"/>
      <c r="NC10" s="20"/>
      <c r="ND10" s="20"/>
      <c r="NE10" s="20"/>
      <c r="NF10" s="20"/>
      <c r="NG10" s="20"/>
      <c r="NH10" s="20"/>
    </row>
    <row r="11" spans="1:372" s="3" customFormat="1" ht="30" customHeight="1" thickBot="1" x14ac:dyDescent="0.35">
      <c r="A11" s="23"/>
      <c r="B11" s="36" t="s">
        <v>20</v>
      </c>
      <c r="C11" s="31"/>
      <c r="D11" s="13"/>
      <c r="E11" s="44">
        <f>MAX(F9, F10) + 1</f>
        <v>45638</v>
      </c>
      <c r="F11" s="44">
        <f>E11+4</f>
        <v>45642</v>
      </c>
      <c r="G11" s="10"/>
      <c r="H11" s="10">
        <f>IF(OR(ISBLANK(inizio_attività),ISBLANK(fine_attività)),"",fine_attività-inizio_attività+1)</f>
        <v>5</v>
      </c>
      <c r="I11" s="71"/>
      <c r="J11" s="20"/>
      <c r="K11" s="20"/>
      <c r="L11" s="20"/>
      <c r="M11" s="20"/>
      <c r="N11" s="20"/>
      <c r="O11" s="20"/>
      <c r="P11" s="20"/>
      <c r="Q11" s="20"/>
      <c r="R11" s="20"/>
      <c r="S11" s="20"/>
      <c r="T11" s="20"/>
      <c r="U11" s="20"/>
      <c r="V11" s="20"/>
      <c r="W11" s="20"/>
      <c r="X11" s="20"/>
      <c r="Y11" s="20"/>
      <c r="Z11" s="20"/>
      <c r="AA11" s="72"/>
      <c r="AB11" s="66"/>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c r="KL11" s="20"/>
      <c r="KM11" s="20"/>
      <c r="KN11" s="20"/>
      <c r="KO11" s="20"/>
      <c r="KP11" s="20"/>
      <c r="KQ11" s="20"/>
      <c r="KR11" s="20"/>
      <c r="KS11" s="20"/>
      <c r="KT11" s="20"/>
      <c r="KU11" s="20"/>
      <c r="KV11" s="20"/>
      <c r="KW11" s="20"/>
      <c r="KX11" s="20"/>
      <c r="KY11" s="20"/>
      <c r="KZ11" s="20"/>
      <c r="LA11" s="20"/>
      <c r="LB11" s="20"/>
      <c r="LC11" s="20"/>
      <c r="LD11" s="20"/>
      <c r="LE11" s="20"/>
      <c r="LF11" s="20"/>
      <c r="LG11" s="20"/>
      <c r="LH11" s="20"/>
      <c r="LI11" s="20"/>
      <c r="LJ11" s="20"/>
      <c r="LK11" s="20"/>
      <c r="LL11" s="20"/>
      <c r="LM11" s="20"/>
      <c r="LN11" s="20"/>
      <c r="LO11" s="20"/>
      <c r="LP11" s="20"/>
      <c r="LQ11" s="20"/>
      <c r="LR11" s="20"/>
      <c r="LS11" s="20"/>
      <c r="LT11" s="20"/>
      <c r="LU11" s="20"/>
      <c r="LV11" s="20"/>
      <c r="LW11" s="20"/>
      <c r="LX11" s="20"/>
      <c r="LY11" s="20"/>
      <c r="LZ11" s="20"/>
      <c r="MA11" s="20"/>
      <c r="MB11" s="20"/>
      <c r="MC11" s="20"/>
      <c r="MD11" s="20"/>
      <c r="ME11" s="20"/>
      <c r="MF11" s="20"/>
      <c r="MG11" s="20"/>
      <c r="MH11" s="20"/>
      <c r="MI11" s="20"/>
      <c r="MJ11" s="20"/>
      <c r="MK11" s="20"/>
      <c r="ML11" s="20"/>
      <c r="MM11" s="20"/>
      <c r="MN11" s="20"/>
      <c r="MO11" s="20"/>
      <c r="MP11" s="20"/>
      <c r="MQ11" s="20"/>
      <c r="MR11" s="20"/>
      <c r="MS11" s="20"/>
      <c r="MT11" s="20"/>
      <c r="MU11" s="20"/>
      <c r="MV11" s="20"/>
      <c r="MW11" s="20"/>
      <c r="MX11" s="20"/>
      <c r="MY11" s="20"/>
      <c r="MZ11" s="20"/>
      <c r="NA11" s="20"/>
      <c r="NB11" s="20"/>
      <c r="NC11" s="20"/>
      <c r="ND11" s="20"/>
      <c r="NE11" s="20"/>
      <c r="NF11" s="20"/>
      <c r="NG11" s="20"/>
      <c r="NH11" s="20"/>
    </row>
    <row r="12" spans="1:372" s="3" customFormat="1" ht="30" customHeight="1" thickBot="1" x14ac:dyDescent="0.35">
      <c r="A12" s="23"/>
      <c r="B12" s="36" t="s">
        <v>21</v>
      </c>
      <c r="C12" s="31"/>
      <c r="D12" s="13"/>
      <c r="E12" s="44">
        <f>F11 + 1</f>
        <v>45643</v>
      </c>
      <c r="F12" s="44">
        <f>E12+3</f>
        <v>45646</v>
      </c>
      <c r="G12" s="10"/>
      <c r="H12" s="10">
        <f>IF(OR(ISBLANK(inizio_attività),ISBLANK(fine_attività)),"",fine_attività-inizio_attività+1)</f>
        <v>4</v>
      </c>
      <c r="I12" s="71"/>
      <c r="J12" s="20"/>
      <c r="K12" s="20"/>
      <c r="L12" s="20"/>
      <c r="M12" s="20"/>
      <c r="N12" s="20"/>
      <c r="O12" s="20"/>
      <c r="P12" s="20"/>
      <c r="Q12" s="20"/>
      <c r="R12" s="20"/>
      <c r="S12" s="20"/>
      <c r="T12" s="20"/>
      <c r="U12" s="20"/>
      <c r="V12" s="20"/>
      <c r="W12" s="20"/>
      <c r="X12" s="20"/>
      <c r="Y12" s="21"/>
      <c r="Z12" s="20"/>
      <c r="AA12" s="72"/>
      <c r="AB12" s="66"/>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c r="KL12" s="20"/>
      <c r="KM12" s="20"/>
      <c r="KN12" s="20"/>
      <c r="KO12" s="20"/>
      <c r="KP12" s="20"/>
      <c r="KQ12" s="20"/>
      <c r="KR12" s="20"/>
      <c r="KS12" s="20"/>
      <c r="KT12" s="20"/>
      <c r="KU12" s="20"/>
      <c r="KV12" s="20"/>
      <c r="KW12" s="20"/>
      <c r="KX12" s="20"/>
      <c r="KY12" s="20"/>
      <c r="KZ12" s="20"/>
      <c r="LA12" s="20"/>
      <c r="LB12" s="20"/>
      <c r="LC12" s="20"/>
      <c r="LD12" s="20"/>
      <c r="LE12" s="20"/>
      <c r="LF12" s="20"/>
      <c r="LG12" s="20"/>
      <c r="LH12" s="20"/>
      <c r="LI12" s="20"/>
      <c r="LJ12" s="20"/>
      <c r="LK12" s="20"/>
      <c r="LL12" s="20"/>
      <c r="LM12" s="20"/>
      <c r="LN12" s="20"/>
      <c r="LO12" s="20"/>
      <c r="LP12" s="20"/>
      <c r="LQ12" s="20"/>
      <c r="LR12" s="20"/>
      <c r="LS12" s="20"/>
      <c r="LT12" s="20"/>
      <c r="LU12" s="20"/>
      <c r="LV12" s="20"/>
      <c r="LW12" s="20"/>
      <c r="LX12" s="20"/>
      <c r="LY12" s="20"/>
      <c r="LZ12" s="20"/>
      <c r="MA12" s="20"/>
      <c r="MB12" s="20"/>
      <c r="MC12" s="20"/>
      <c r="MD12" s="20"/>
      <c r="ME12" s="20"/>
      <c r="MF12" s="20"/>
      <c r="MG12" s="20"/>
      <c r="MH12" s="20"/>
      <c r="MI12" s="20"/>
      <c r="MJ12" s="20"/>
      <c r="MK12" s="20"/>
      <c r="ML12" s="20"/>
      <c r="MM12" s="20"/>
      <c r="MN12" s="20"/>
      <c r="MO12" s="20"/>
      <c r="MP12" s="20"/>
      <c r="MQ12" s="20"/>
      <c r="MR12" s="20"/>
      <c r="MS12" s="20"/>
      <c r="MT12" s="20"/>
      <c r="MU12" s="20"/>
      <c r="MV12" s="20"/>
      <c r="MW12" s="20"/>
      <c r="MX12" s="20"/>
      <c r="MY12" s="20"/>
      <c r="MZ12" s="20"/>
      <c r="NA12" s="20"/>
      <c r="NB12" s="20"/>
      <c r="NC12" s="20"/>
      <c r="ND12" s="20"/>
      <c r="NE12" s="20"/>
      <c r="NF12" s="20"/>
      <c r="NG12" s="20"/>
      <c r="NH12" s="20"/>
    </row>
    <row r="13" spans="1:372" s="3" customFormat="1" ht="30" customHeight="1" thickBot="1" x14ac:dyDescent="0.35">
      <c r="A13" s="24" t="s">
        <v>22</v>
      </c>
      <c r="B13" s="14" t="s">
        <v>23</v>
      </c>
      <c r="C13" s="32"/>
      <c r="D13" s="15"/>
      <c r="E13" s="45"/>
      <c r="F13" s="46"/>
      <c r="G13" s="10"/>
      <c r="H13" s="10" t="str">
        <f t="shared" si="277"/>
        <v/>
      </c>
      <c r="I13" s="73"/>
      <c r="J13" s="67"/>
      <c r="K13" s="67"/>
      <c r="L13" s="67"/>
      <c r="M13" s="67"/>
      <c r="N13" s="20"/>
      <c r="O13" s="20"/>
      <c r="P13" s="20"/>
      <c r="Q13" s="20"/>
      <c r="R13" s="20"/>
      <c r="S13" s="20"/>
      <c r="T13" s="20"/>
      <c r="U13" s="20"/>
      <c r="V13" s="20"/>
      <c r="W13" s="20"/>
      <c r="X13" s="20"/>
      <c r="Y13" s="20"/>
      <c r="Z13" s="75"/>
      <c r="AA13" s="76"/>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77"/>
      <c r="HC13" s="66"/>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row>
    <row r="14" spans="1:372" s="3" customFormat="1" ht="30" customHeight="1" thickBot="1" x14ac:dyDescent="0.35">
      <c r="A14" s="24"/>
      <c r="B14" s="37" t="s">
        <v>24</v>
      </c>
      <c r="C14" s="33"/>
      <c r="D14" s="16"/>
      <c r="E14" s="47">
        <f>F12</f>
        <v>45646</v>
      </c>
      <c r="F14" s="47">
        <f>E14+20</f>
        <v>45666</v>
      </c>
      <c r="G14" s="10"/>
      <c r="H14" s="10">
        <f t="shared" si="277"/>
        <v>21</v>
      </c>
      <c r="I14" s="73"/>
      <c r="J14" s="20"/>
      <c r="K14" s="20"/>
      <c r="L14" s="20"/>
      <c r="M14" s="20"/>
      <c r="N14" s="66"/>
      <c r="O14" s="20"/>
      <c r="P14" s="20"/>
      <c r="Q14" s="20"/>
      <c r="R14" s="20"/>
      <c r="S14" s="20"/>
      <c r="T14" s="20"/>
      <c r="U14" s="20"/>
      <c r="V14" s="20"/>
      <c r="W14" s="20"/>
      <c r="X14" s="20"/>
      <c r="Y14" s="20"/>
      <c r="Z14" s="75"/>
      <c r="AA14" s="78"/>
      <c r="AB14" s="66"/>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66"/>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79"/>
      <c r="HC14" s="66"/>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row>
    <row r="15" spans="1:372" s="3" customFormat="1" ht="30" customHeight="1" thickBot="1" x14ac:dyDescent="0.35">
      <c r="A15" s="23"/>
      <c r="B15" s="37" t="s">
        <v>25</v>
      </c>
      <c r="C15" s="33"/>
      <c r="D15" s="16"/>
      <c r="E15" s="47">
        <f>F14+1</f>
        <v>45667</v>
      </c>
      <c r="F15" s="47">
        <f>E15+105</f>
        <v>45772</v>
      </c>
      <c r="G15" s="10"/>
      <c r="H15" s="10">
        <f>IF(OR(ISBLANK(inizio_attività),ISBLANK(fine_attività)),"",fine_attività-inizio_attività+1)</f>
        <v>106</v>
      </c>
      <c r="I15" s="71"/>
      <c r="J15" s="68"/>
      <c r="K15" s="68"/>
      <c r="L15" s="68"/>
      <c r="M15" s="68"/>
      <c r="N15" s="20"/>
      <c r="O15" s="20"/>
      <c r="P15" s="20"/>
      <c r="Q15" s="20"/>
      <c r="R15" s="20"/>
      <c r="S15" s="20"/>
      <c r="T15" s="20"/>
      <c r="U15" s="21"/>
      <c r="V15" s="21"/>
      <c r="W15" s="20"/>
      <c r="X15" s="20"/>
      <c r="Y15" s="20"/>
      <c r="Z15" s="75"/>
      <c r="AA15" s="78"/>
      <c r="AB15" s="66"/>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79"/>
      <c r="DU15" s="66"/>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79"/>
      <c r="HC15" s="66"/>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c r="KL15" s="20"/>
      <c r="KM15" s="20"/>
      <c r="KN15" s="20"/>
      <c r="KO15" s="20"/>
      <c r="KP15" s="20"/>
      <c r="KQ15" s="20"/>
      <c r="KR15" s="20"/>
      <c r="KS15" s="20"/>
      <c r="KT15" s="20"/>
      <c r="KU15" s="20"/>
      <c r="KV15" s="20"/>
      <c r="KW15" s="20"/>
      <c r="KX15" s="20"/>
      <c r="KY15" s="20"/>
      <c r="KZ15" s="20"/>
      <c r="LA15" s="20"/>
      <c r="LB15" s="20"/>
      <c r="LC15" s="20"/>
      <c r="LD15" s="20"/>
      <c r="LE15" s="20"/>
      <c r="LF15" s="20"/>
      <c r="LG15" s="20"/>
      <c r="LH15" s="20"/>
      <c r="LI15" s="20"/>
      <c r="LJ15" s="20"/>
      <c r="LK15" s="20"/>
      <c r="LL15" s="20"/>
      <c r="LM15" s="20"/>
      <c r="LN15" s="20"/>
      <c r="LO15" s="20"/>
      <c r="LP15" s="20"/>
      <c r="LQ15" s="20"/>
      <c r="LR15" s="20"/>
      <c r="LS15" s="20"/>
      <c r="LT15" s="20"/>
      <c r="LU15" s="20"/>
      <c r="LV15" s="20"/>
      <c r="LW15" s="20"/>
      <c r="LX15" s="20"/>
      <c r="LY15" s="20"/>
      <c r="LZ15" s="20"/>
      <c r="MA15" s="20"/>
      <c r="MB15" s="20"/>
      <c r="MC15" s="20"/>
      <c r="MD15" s="20"/>
      <c r="ME15" s="20"/>
      <c r="MF15" s="20"/>
      <c r="MG15" s="20"/>
      <c r="MH15" s="20"/>
      <c r="MI15" s="20"/>
      <c r="MJ15" s="20"/>
      <c r="MK15" s="20"/>
      <c r="ML15" s="20"/>
      <c r="MM15" s="20"/>
      <c r="MN15" s="20"/>
      <c r="MO15" s="20"/>
      <c r="MP15" s="20"/>
      <c r="MQ15" s="20"/>
      <c r="MR15" s="20"/>
      <c r="MS15" s="20"/>
      <c r="MT15" s="20"/>
      <c r="MU15" s="20"/>
      <c r="MV15" s="20"/>
      <c r="MW15" s="20"/>
      <c r="MX15" s="20"/>
      <c r="MY15" s="20"/>
      <c r="MZ15" s="20"/>
      <c r="NA15" s="20"/>
      <c r="NB15" s="20"/>
      <c r="NC15" s="20"/>
      <c r="ND15" s="20"/>
      <c r="NE15" s="20"/>
      <c r="NF15" s="20"/>
      <c r="NG15" s="20"/>
      <c r="NH15" s="20"/>
    </row>
    <row r="16" spans="1:372" s="3" customFormat="1" ht="30" customHeight="1" thickBot="1" x14ac:dyDescent="0.35">
      <c r="A16" s="23"/>
      <c r="B16" s="37" t="s">
        <v>26</v>
      </c>
      <c r="C16" s="33"/>
      <c r="D16" s="16"/>
      <c r="E16" s="47">
        <f>F15 -20</f>
        <v>45752</v>
      </c>
      <c r="F16" s="47">
        <f>E16+41</f>
        <v>45793</v>
      </c>
      <c r="G16" s="10"/>
      <c r="H16" s="10">
        <f t="shared" si="277"/>
        <v>42</v>
      </c>
      <c r="I16" s="71"/>
      <c r="J16" s="20"/>
      <c r="K16" s="20"/>
      <c r="L16" s="20"/>
      <c r="M16" s="20"/>
      <c r="N16" s="20"/>
      <c r="O16" s="20"/>
      <c r="P16" s="20"/>
      <c r="Q16" s="20"/>
      <c r="R16" s="20"/>
      <c r="S16" s="20"/>
      <c r="T16" s="20"/>
      <c r="U16" s="20"/>
      <c r="V16" s="20"/>
      <c r="W16" s="20"/>
      <c r="X16" s="20"/>
      <c r="Y16" s="20"/>
      <c r="Z16" s="75"/>
      <c r="AA16" s="78"/>
      <c r="AB16" s="66"/>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79"/>
      <c r="HC16" s="66"/>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row>
    <row r="17" spans="1:372" s="3" customFormat="1" ht="30" customHeight="1" thickBot="1" x14ac:dyDescent="0.35">
      <c r="A17" s="23"/>
      <c r="B17" s="37" t="s">
        <v>27</v>
      </c>
      <c r="C17" s="33"/>
      <c r="D17" s="16"/>
      <c r="E17" s="47">
        <f>F15 + 1</f>
        <v>45773</v>
      </c>
      <c r="F17" s="47">
        <f>E17 + 25</f>
        <v>45798</v>
      </c>
      <c r="G17" s="10"/>
      <c r="H17" s="10">
        <f>IF(OR(ISBLANK(inizio_attività),ISBLANK(fine_attività)),"",fine_attività-inizio_attività+1)</f>
        <v>26</v>
      </c>
      <c r="I17" s="71"/>
      <c r="J17" s="20"/>
      <c r="K17" s="20"/>
      <c r="L17" s="20"/>
      <c r="M17" s="20"/>
      <c r="N17" s="20"/>
      <c r="O17" s="20"/>
      <c r="P17" s="20"/>
      <c r="Q17" s="20"/>
      <c r="R17" s="20"/>
      <c r="S17" s="20"/>
      <c r="T17" s="20"/>
      <c r="U17" s="20"/>
      <c r="V17" s="20"/>
      <c r="W17" s="20"/>
      <c r="X17" s="20"/>
      <c r="Y17" s="20"/>
      <c r="Z17" s="75"/>
      <c r="AA17" s="78"/>
      <c r="AB17" s="66"/>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79"/>
      <c r="HC17" s="66"/>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row>
    <row r="18" spans="1:372" s="3" customFormat="1" ht="30" customHeight="1" thickBot="1" x14ac:dyDescent="0.35">
      <c r="A18" s="23"/>
      <c r="B18" s="37" t="s">
        <v>41</v>
      </c>
      <c r="C18" s="33"/>
      <c r="D18" s="16"/>
      <c r="E18" s="47">
        <f>E17+6</f>
        <v>45779</v>
      </c>
      <c r="F18" s="47">
        <f>E18+50</f>
        <v>45829</v>
      </c>
      <c r="G18" s="10"/>
      <c r="H18" s="10">
        <f>IF(OR(ISBLANK(inizio_attività),ISBLANK(fine_attività)),"",fine_attività-inizio_attività+1)</f>
        <v>51</v>
      </c>
      <c r="I18" s="71"/>
      <c r="J18" s="20"/>
      <c r="K18" s="20"/>
      <c r="L18" s="20"/>
      <c r="M18" s="20"/>
      <c r="N18" s="20"/>
      <c r="O18" s="20"/>
      <c r="P18" s="20"/>
      <c r="Q18" s="20"/>
      <c r="R18" s="20"/>
      <c r="S18" s="20"/>
      <c r="T18" s="20"/>
      <c r="U18" s="20"/>
      <c r="V18" s="20"/>
      <c r="W18" s="20"/>
      <c r="X18" s="20"/>
      <c r="Y18" s="20"/>
      <c r="Z18" s="75"/>
      <c r="AA18" s="78"/>
      <c r="AB18" s="66"/>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79"/>
      <c r="HC18" s="66"/>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c r="KL18" s="20"/>
      <c r="KM18" s="20"/>
      <c r="KN18" s="20"/>
      <c r="KO18" s="20"/>
      <c r="KP18" s="20"/>
      <c r="KQ18" s="20"/>
      <c r="KR18" s="20"/>
      <c r="KS18" s="20"/>
      <c r="KT18" s="20"/>
      <c r="KU18" s="20"/>
      <c r="KV18" s="20"/>
      <c r="KW18" s="20"/>
      <c r="KX18" s="20"/>
      <c r="KY18" s="20"/>
      <c r="KZ18" s="20"/>
      <c r="LA18" s="20"/>
      <c r="LB18" s="20"/>
      <c r="LC18" s="20"/>
      <c r="LD18" s="20"/>
      <c r="LE18" s="20"/>
      <c r="LF18" s="20"/>
      <c r="LG18" s="20"/>
      <c r="LH18" s="20"/>
      <c r="LI18" s="20"/>
      <c r="LJ18" s="20"/>
      <c r="LK18" s="20"/>
      <c r="LL18" s="20"/>
      <c r="LM18" s="20"/>
      <c r="LN18" s="20"/>
      <c r="LO18" s="20"/>
      <c r="LP18" s="20"/>
      <c r="LQ18" s="20"/>
      <c r="LR18" s="20"/>
      <c r="LS18" s="20"/>
      <c r="LT18" s="20"/>
      <c r="LU18" s="20"/>
      <c r="LV18" s="20"/>
      <c r="LW18" s="20"/>
      <c r="LX18" s="20"/>
      <c r="LY18" s="20"/>
      <c r="LZ18" s="20"/>
      <c r="MA18" s="20"/>
      <c r="MB18" s="20"/>
      <c r="MC18" s="20"/>
      <c r="MD18" s="20"/>
      <c r="ME18" s="20"/>
      <c r="MF18" s="20"/>
      <c r="MG18" s="20"/>
      <c r="MH18" s="20"/>
      <c r="MI18" s="20"/>
      <c r="MJ18" s="20"/>
      <c r="MK18" s="20"/>
      <c r="ML18" s="20"/>
      <c r="MM18" s="20"/>
      <c r="MN18" s="20"/>
      <c r="MO18" s="20"/>
      <c r="MP18" s="20"/>
      <c r="MQ18" s="20"/>
      <c r="MR18" s="20"/>
      <c r="MS18" s="20"/>
      <c r="MT18" s="20"/>
      <c r="MU18" s="20"/>
      <c r="MV18" s="20"/>
      <c r="MW18" s="20"/>
      <c r="MX18" s="20"/>
      <c r="MY18" s="20"/>
      <c r="MZ18" s="20"/>
      <c r="NA18" s="20"/>
      <c r="NB18" s="20"/>
      <c r="NC18" s="20"/>
      <c r="ND18" s="20"/>
      <c r="NE18" s="20"/>
      <c r="NF18" s="20"/>
      <c r="NG18" s="20"/>
      <c r="NH18" s="20"/>
    </row>
    <row r="19" spans="1:372" s="3" customFormat="1" ht="30" customHeight="1" thickBot="1" x14ac:dyDescent="0.35">
      <c r="A19" s="23" t="s">
        <v>28</v>
      </c>
      <c r="B19" s="17" t="s">
        <v>29</v>
      </c>
      <c r="C19" s="34"/>
      <c r="D19" s="18"/>
      <c r="E19" s="48"/>
      <c r="F19" s="49"/>
      <c r="G19" s="10"/>
      <c r="H19" s="10" t="str">
        <f t="shared" si="277"/>
        <v/>
      </c>
      <c r="I19" s="71"/>
      <c r="J19" s="20"/>
      <c r="K19" s="20"/>
      <c r="L19" s="20"/>
      <c r="M19" s="20"/>
      <c r="N19" s="20"/>
      <c r="O19" s="20"/>
      <c r="P19" s="20"/>
      <c r="Q19" s="20"/>
      <c r="R19" s="20"/>
      <c r="S19" s="20"/>
      <c r="T19" s="20"/>
      <c r="U19" s="20"/>
      <c r="V19" s="20"/>
      <c r="W19" s="20"/>
      <c r="X19" s="20"/>
      <c r="Y19" s="20"/>
      <c r="Z19" s="75"/>
      <c r="AA19" s="78"/>
      <c r="AB19" s="66"/>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75"/>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66"/>
      <c r="ET19" s="20"/>
      <c r="EU19" s="20"/>
      <c r="EV19" s="20"/>
      <c r="EW19" s="20"/>
      <c r="EX19" s="20"/>
      <c r="EY19" s="20"/>
      <c r="EZ19" s="20"/>
      <c r="FA19" s="20"/>
      <c r="FB19" s="20"/>
      <c r="FC19" s="20"/>
      <c r="FD19" s="20"/>
      <c r="FE19" s="20"/>
      <c r="FF19" s="20"/>
      <c r="FG19" s="20"/>
      <c r="FH19" s="20"/>
      <c r="FI19" s="20"/>
      <c r="FJ19" s="20"/>
      <c r="FK19" s="20"/>
      <c r="FL19" s="20"/>
      <c r="FM19" s="20"/>
      <c r="FN19" s="20"/>
      <c r="FO19" s="20"/>
      <c r="FP19" s="20"/>
      <c r="FQ19" s="20"/>
      <c r="FR19" s="20"/>
      <c r="FS19" s="20"/>
      <c r="FT19" s="20"/>
      <c r="FU19" s="20"/>
      <c r="FV19" s="20"/>
      <c r="FW19" s="75"/>
      <c r="FX19" s="84"/>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80"/>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85"/>
      <c r="IA19" s="66"/>
      <c r="IB19" s="20"/>
      <c r="IC19" s="20"/>
      <c r="ID19" s="20"/>
      <c r="IE19" s="20"/>
      <c r="IF19" s="20"/>
      <c r="IG19" s="20"/>
      <c r="IH19" s="20"/>
      <c r="II19" s="20"/>
      <c r="IJ19" s="20"/>
      <c r="IK19" s="20"/>
      <c r="IL19" s="20"/>
      <c r="IM19" s="20"/>
      <c r="IN19" s="20"/>
      <c r="IO19" s="20"/>
      <c r="IP19" s="20"/>
      <c r="IQ19" s="20"/>
      <c r="IR19" s="20"/>
      <c r="IS19" s="20"/>
      <c r="IT19" s="20"/>
      <c r="IU19" s="20"/>
      <c r="IV19" s="20"/>
      <c r="IW19" s="20"/>
      <c r="IX19" s="20"/>
      <c r="IY19" s="20"/>
      <c r="IZ19" s="20"/>
      <c r="JA19" s="20"/>
      <c r="JB19" s="20"/>
      <c r="JC19" s="20"/>
      <c r="JD19" s="20"/>
      <c r="JE19" s="20"/>
      <c r="JF19" s="20"/>
      <c r="JG19" s="20"/>
      <c r="JH19" s="20"/>
      <c r="JI19" s="20"/>
      <c r="JJ19" s="20"/>
      <c r="JK19" s="20"/>
      <c r="JL19" s="20"/>
      <c r="JM19" s="20"/>
      <c r="JN19" s="20"/>
      <c r="JO19" s="20"/>
      <c r="JP19" s="20"/>
      <c r="JQ19" s="20"/>
      <c r="JR19" s="20"/>
      <c r="JS19" s="20"/>
      <c r="JT19" s="20"/>
      <c r="JU19" s="20"/>
      <c r="JV19" s="20"/>
      <c r="JW19" s="20"/>
      <c r="JX19" s="20"/>
      <c r="JY19" s="20"/>
      <c r="JZ19" s="20"/>
      <c r="KA19" s="20"/>
      <c r="KB19" s="20"/>
      <c r="KC19" s="20"/>
      <c r="KD19" s="20"/>
      <c r="KE19" s="20"/>
      <c r="KF19" s="20"/>
      <c r="KG19" s="20"/>
      <c r="KH19" s="20"/>
      <c r="KI19" s="20"/>
      <c r="KJ19" s="20"/>
      <c r="KK19" s="20"/>
      <c r="KL19" s="20"/>
      <c r="KM19" s="20"/>
      <c r="KN19" s="20"/>
      <c r="KO19" s="20"/>
      <c r="KP19" s="20"/>
      <c r="KQ19" s="20"/>
      <c r="KR19" s="20"/>
      <c r="KS19" s="20"/>
      <c r="KT19" s="20"/>
      <c r="KU19" s="20"/>
      <c r="KV19" s="20"/>
      <c r="KW19" s="20"/>
      <c r="KX19" s="20"/>
      <c r="KY19" s="20"/>
      <c r="KZ19" s="20"/>
      <c r="LA19" s="20"/>
      <c r="LB19" s="20"/>
      <c r="LC19" s="20"/>
      <c r="LD19" s="20"/>
      <c r="LE19" s="20"/>
      <c r="LF19" s="20"/>
      <c r="LG19" s="20"/>
      <c r="LH19" s="20"/>
      <c r="LI19" s="20"/>
      <c r="LJ19" s="20"/>
      <c r="LK19" s="20"/>
      <c r="LL19" s="20"/>
      <c r="LM19" s="20"/>
      <c r="LN19" s="20"/>
      <c r="LO19" s="20"/>
      <c r="LP19" s="20"/>
      <c r="LQ19" s="20"/>
      <c r="LR19" s="20"/>
      <c r="LS19" s="20"/>
      <c r="LT19" s="20"/>
      <c r="LU19" s="20"/>
      <c r="LV19" s="20"/>
      <c r="LW19" s="20"/>
      <c r="LX19" s="20"/>
      <c r="LY19" s="20"/>
      <c r="LZ19" s="20"/>
      <c r="MA19" s="20"/>
      <c r="MB19" s="20"/>
      <c r="MC19" s="20"/>
      <c r="MD19" s="20"/>
      <c r="ME19" s="20"/>
      <c r="MF19" s="20"/>
      <c r="MG19" s="20"/>
      <c r="MH19" s="20"/>
      <c r="MI19" s="20"/>
      <c r="MJ19" s="20"/>
      <c r="MK19" s="20"/>
      <c r="ML19" s="20"/>
      <c r="MM19" s="20"/>
      <c r="MN19" s="20"/>
      <c r="MO19" s="20"/>
      <c r="MP19" s="20"/>
      <c r="MQ19" s="20"/>
      <c r="MR19" s="20"/>
      <c r="MS19" s="20"/>
      <c r="MT19" s="20"/>
      <c r="MU19" s="20"/>
      <c r="MV19" s="20"/>
      <c r="MW19" s="20"/>
      <c r="MX19" s="20"/>
      <c r="MY19" s="20"/>
      <c r="MZ19" s="20"/>
      <c r="NA19" s="20"/>
      <c r="NB19" s="20"/>
      <c r="NC19" s="20"/>
      <c r="ND19" s="20"/>
      <c r="NE19" s="20"/>
      <c r="NF19" s="20"/>
      <c r="NG19" s="20"/>
      <c r="NH19" s="20"/>
    </row>
    <row r="20" spans="1:372" s="3" customFormat="1" ht="30" customHeight="1" thickBot="1" x14ac:dyDescent="0.35">
      <c r="A20" s="23"/>
      <c r="B20" s="63" t="s">
        <v>30</v>
      </c>
      <c r="C20" s="35"/>
      <c r="D20" s="64"/>
      <c r="E20" s="50">
        <f>F17+1</f>
        <v>45799</v>
      </c>
      <c r="F20" s="65">
        <f>E20 +20</f>
        <v>45819</v>
      </c>
      <c r="G20" s="10"/>
      <c r="H20" s="10">
        <f>IF(OR(ISBLANK(inizio_attività),ISBLANK(fine_attività)),"",fine_attività-inizio_attività+1)</f>
        <v>21</v>
      </c>
      <c r="I20" s="71"/>
      <c r="J20" s="20"/>
      <c r="K20" s="20"/>
      <c r="L20" s="20"/>
      <c r="M20" s="20"/>
      <c r="N20" s="20"/>
      <c r="O20" s="20"/>
      <c r="P20" s="20"/>
      <c r="Q20" s="20"/>
      <c r="R20" s="20"/>
      <c r="S20" s="20"/>
      <c r="T20" s="20"/>
      <c r="U20" s="20"/>
      <c r="V20" s="20"/>
      <c r="W20" s="20"/>
      <c r="X20" s="20"/>
      <c r="Y20" s="20"/>
      <c r="Z20" s="75"/>
      <c r="AA20" s="78"/>
      <c r="AB20" s="66"/>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75"/>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75"/>
      <c r="FX20" s="86"/>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79"/>
      <c r="HC20" s="66"/>
      <c r="HD20" s="20"/>
      <c r="HE20" s="20"/>
      <c r="HF20" s="20"/>
      <c r="HG20" s="20"/>
      <c r="HH20" s="20"/>
      <c r="HI20" s="20"/>
      <c r="HJ20" s="20"/>
      <c r="HK20" s="20"/>
      <c r="HL20" s="20"/>
      <c r="HM20" s="20"/>
      <c r="HN20" s="20"/>
      <c r="HO20" s="20"/>
      <c r="HP20" s="20"/>
      <c r="HQ20" s="20"/>
      <c r="HR20" s="20"/>
      <c r="HS20" s="20"/>
      <c r="HT20" s="20"/>
      <c r="HU20" s="20"/>
      <c r="HV20" s="20"/>
      <c r="HW20" s="20"/>
      <c r="HX20" s="20"/>
      <c r="HY20" s="20"/>
      <c r="HZ20" s="87"/>
      <c r="IA20" s="66"/>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row>
    <row r="21" spans="1:372" s="3" customFormat="1" ht="30" customHeight="1" thickBot="1" x14ac:dyDescent="0.35">
      <c r="A21" s="23"/>
      <c r="B21" s="63" t="s">
        <v>31</v>
      </c>
      <c r="C21" s="35"/>
      <c r="D21" s="64"/>
      <c r="E21" s="65">
        <f>F20 +1</f>
        <v>45820</v>
      </c>
      <c r="F21" s="65">
        <f>E21 +15</f>
        <v>45835</v>
      </c>
      <c r="G21" s="10"/>
      <c r="H21" s="10">
        <f>IF(OR(ISBLANK(inizio_attività),ISBLANK(fine_attività)),"",fine_attività-inizio_attività+1)</f>
        <v>16</v>
      </c>
      <c r="I21" s="71"/>
      <c r="J21" s="20"/>
      <c r="K21" s="20"/>
      <c r="L21" s="20"/>
      <c r="M21" s="20"/>
      <c r="N21" s="20"/>
      <c r="O21" s="20"/>
      <c r="P21" s="20"/>
      <c r="Q21" s="20"/>
      <c r="R21" s="20"/>
      <c r="S21" s="20"/>
      <c r="T21" s="20"/>
      <c r="U21" s="20"/>
      <c r="V21" s="20"/>
      <c r="W21" s="20"/>
      <c r="X21" s="20"/>
      <c r="Y21" s="20"/>
      <c r="Z21" s="75"/>
      <c r="AA21" s="78"/>
      <c r="AB21" s="66"/>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75"/>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66"/>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75"/>
      <c r="FX21" s="86"/>
      <c r="FY21" s="20"/>
      <c r="FZ21" s="20"/>
      <c r="GA21" s="20"/>
      <c r="GB21" s="20"/>
      <c r="GC21" s="20"/>
      <c r="GD21" s="20"/>
      <c r="GE21" s="20"/>
      <c r="GF21" s="20"/>
      <c r="GG21" s="20"/>
      <c r="GH21" s="20"/>
      <c r="GI21" s="20"/>
      <c r="GJ21" s="20"/>
      <c r="GK21" s="20"/>
      <c r="GL21" s="20"/>
      <c r="GM21" s="20"/>
      <c r="GN21" s="20"/>
      <c r="GO21" s="20"/>
      <c r="GP21" s="20"/>
      <c r="GQ21" s="20"/>
      <c r="GR21" s="20"/>
      <c r="GS21" s="20"/>
      <c r="GT21" s="20"/>
      <c r="GU21" s="20"/>
      <c r="GV21" s="20"/>
      <c r="GW21" s="20"/>
      <c r="GX21" s="20"/>
      <c r="GY21" s="20"/>
      <c r="GZ21" s="20"/>
      <c r="HA21" s="20"/>
      <c r="HB21" s="79"/>
      <c r="HC21" s="66"/>
      <c r="HD21" s="20"/>
      <c r="HE21" s="20"/>
      <c r="HF21" s="20"/>
      <c r="HG21" s="20"/>
      <c r="HH21" s="20"/>
      <c r="HI21" s="20"/>
      <c r="HJ21" s="20"/>
      <c r="HK21" s="20"/>
      <c r="HL21" s="20"/>
      <c r="HM21" s="20"/>
      <c r="HN21" s="20"/>
      <c r="HO21" s="20"/>
      <c r="HP21" s="20"/>
      <c r="HQ21" s="20"/>
      <c r="HR21" s="20"/>
      <c r="HS21" s="20"/>
      <c r="HT21" s="20"/>
      <c r="HU21" s="20"/>
      <c r="HV21" s="20"/>
      <c r="HW21" s="20"/>
      <c r="HX21" s="20"/>
      <c r="HY21" s="20"/>
      <c r="HZ21" s="87"/>
      <c r="IA21" s="66"/>
      <c r="IB21" s="20"/>
      <c r="IC21" s="20"/>
      <c r="ID21" s="20"/>
      <c r="IE21" s="20"/>
      <c r="IF21" s="20"/>
      <c r="IG21" s="20"/>
      <c r="IH21" s="20"/>
      <c r="II21" s="20"/>
      <c r="IJ21" s="20"/>
      <c r="IK21" s="20"/>
      <c r="IL21" s="20"/>
      <c r="IM21" s="20"/>
      <c r="IN21" s="20"/>
      <c r="IO21" s="20"/>
      <c r="IP21" s="20"/>
      <c r="IQ21" s="20"/>
      <c r="IR21" s="20"/>
      <c r="IS21" s="20"/>
      <c r="IT21" s="20"/>
      <c r="IU21" s="20"/>
      <c r="IV21" s="20"/>
      <c r="IW21" s="20"/>
      <c r="IX21" s="20"/>
      <c r="IY21" s="20"/>
      <c r="IZ21" s="20"/>
      <c r="JA21" s="20"/>
      <c r="JB21" s="20"/>
      <c r="JC21" s="20"/>
      <c r="JD21" s="20"/>
      <c r="JE21" s="20"/>
      <c r="JF21" s="20"/>
      <c r="JG21" s="20"/>
      <c r="JH21" s="20"/>
      <c r="JI21" s="20"/>
      <c r="JJ21" s="20"/>
      <c r="JK21" s="20"/>
      <c r="JL21" s="20"/>
      <c r="JM21" s="20"/>
      <c r="JN21" s="20"/>
      <c r="JO21" s="20"/>
      <c r="JP21" s="20"/>
      <c r="JQ21" s="20"/>
      <c r="JR21" s="20"/>
      <c r="JS21" s="20"/>
      <c r="JT21" s="20"/>
      <c r="JU21" s="20"/>
      <c r="JV21" s="20"/>
      <c r="JW21" s="20"/>
      <c r="JX21" s="20"/>
      <c r="JY21" s="20"/>
      <c r="JZ21" s="20"/>
      <c r="KA21" s="20"/>
      <c r="KB21" s="20"/>
      <c r="KC21" s="20"/>
      <c r="KD21" s="20"/>
      <c r="KE21" s="20"/>
      <c r="KF21" s="20"/>
      <c r="KG21" s="20"/>
      <c r="KH21" s="20"/>
      <c r="KI21" s="20"/>
      <c r="KJ21" s="20"/>
      <c r="KK21" s="20"/>
      <c r="KL21" s="20"/>
      <c r="KM21" s="20"/>
      <c r="KN21" s="20"/>
      <c r="KO21" s="20"/>
      <c r="KP21" s="20"/>
      <c r="KQ21" s="20"/>
      <c r="KR21" s="20"/>
      <c r="KS21" s="20"/>
      <c r="KT21" s="20"/>
      <c r="KU21" s="20"/>
      <c r="KV21" s="20"/>
      <c r="KW21" s="20"/>
      <c r="KX21" s="20"/>
      <c r="KY21" s="20"/>
      <c r="KZ21" s="20"/>
      <c r="LA21" s="20"/>
      <c r="LB21" s="20"/>
      <c r="LC21" s="20"/>
      <c r="LD21" s="20"/>
      <c r="LE21" s="20"/>
      <c r="LF21" s="20"/>
      <c r="LG21" s="20"/>
      <c r="LH21" s="20"/>
      <c r="LI21" s="20"/>
      <c r="LJ21" s="20"/>
      <c r="LK21" s="20"/>
      <c r="LL21" s="20"/>
      <c r="LM21" s="20"/>
      <c r="LN21" s="20"/>
      <c r="LO21" s="20"/>
      <c r="LP21" s="20"/>
      <c r="LQ21" s="20"/>
      <c r="LR21" s="20"/>
      <c r="LS21" s="20"/>
      <c r="LT21" s="20"/>
      <c r="LU21" s="20"/>
      <c r="LV21" s="20"/>
      <c r="LW21" s="20"/>
      <c r="LX21" s="20"/>
      <c r="LY21" s="20"/>
      <c r="LZ21" s="20"/>
      <c r="MA21" s="20"/>
      <c r="MB21" s="20"/>
      <c r="MC21" s="20"/>
      <c r="MD21" s="20"/>
      <c r="ME21" s="20"/>
      <c r="MF21" s="20"/>
      <c r="MG21" s="20"/>
      <c r="MH21" s="20"/>
      <c r="MI21" s="20"/>
      <c r="MJ21" s="20"/>
      <c r="MK21" s="20"/>
      <c r="ML21" s="20"/>
      <c r="MM21" s="20"/>
      <c r="MN21" s="20"/>
      <c r="MO21" s="20"/>
      <c r="MP21" s="20"/>
      <c r="MQ21" s="20"/>
      <c r="MR21" s="20"/>
      <c r="MS21" s="20"/>
      <c r="MT21" s="20"/>
      <c r="MU21" s="20"/>
      <c r="MV21" s="20"/>
      <c r="MW21" s="20"/>
      <c r="MX21" s="20"/>
      <c r="MY21" s="20"/>
      <c r="MZ21" s="20"/>
      <c r="NA21" s="20"/>
      <c r="NB21" s="20"/>
      <c r="NC21" s="20"/>
      <c r="ND21" s="20"/>
      <c r="NE21" s="20"/>
      <c r="NF21" s="20"/>
      <c r="NG21" s="20"/>
      <c r="NH21" s="20"/>
    </row>
    <row r="22" spans="1:372" s="3" customFormat="1" ht="30" customHeight="1" thickBot="1" x14ac:dyDescent="0.35">
      <c r="A22" s="23"/>
      <c r="B22" s="63" t="s">
        <v>32</v>
      </c>
      <c r="C22" s="35"/>
      <c r="D22" s="19"/>
      <c r="E22" s="50">
        <f>MAX(F15, F20, F21, F16) -3</f>
        <v>45832</v>
      </c>
      <c r="F22" s="50">
        <f>E22+E207+10</f>
        <v>45842</v>
      </c>
      <c r="G22" s="10"/>
      <c r="H22" s="10">
        <f>IF(OR(ISBLANK(inizio_attività),ISBLANK(fine_attività)),"",fine_attività-inizio_attività+1)</f>
        <v>11</v>
      </c>
      <c r="I22" s="71"/>
      <c r="J22" s="20"/>
      <c r="K22" s="20"/>
      <c r="L22" s="20"/>
      <c r="M22" s="20"/>
      <c r="N22" s="20"/>
      <c r="O22" s="20"/>
      <c r="P22" s="20"/>
      <c r="Q22" s="20"/>
      <c r="R22" s="20"/>
      <c r="S22" s="20"/>
      <c r="T22" s="20"/>
      <c r="U22" s="20"/>
      <c r="V22" s="20"/>
      <c r="W22" s="20"/>
      <c r="X22" s="20"/>
      <c r="Y22" s="20"/>
      <c r="Z22" s="75"/>
      <c r="AA22" s="78"/>
      <c r="AB22" s="66"/>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75"/>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75"/>
      <c r="FX22" s="86"/>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79"/>
      <c r="HC22" s="66"/>
      <c r="HD22" s="20"/>
      <c r="HE22" s="20"/>
      <c r="HF22" s="20"/>
      <c r="HG22" s="20"/>
      <c r="HH22" s="20"/>
      <c r="HI22" s="20"/>
      <c r="HJ22" s="20"/>
      <c r="HK22" s="20"/>
      <c r="HL22" s="20"/>
      <c r="HM22" s="20"/>
      <c r="HN22" s="20"/>
      <c r="HO22" s="20"/>
      <c r="HP22" s="20"/>
      <c r="HQ22" s="20"/>
      <c r="HR22" s="20"/>
      <c r="HS22" s="20"/>
      <c r="HT22" s="20"/>
      <c r="HU22" s="20"/>
      <c r="HV22" s="20"/>
      <c r="HW22" s="20"/>
      <c r="HX22" s="20"/>
      <c r="HY22" s="20"/>
      <c r="HZ22" s="87"/>
      <c r="IA22" s="66"/>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row>
    <row r="23" spans="1:372" s="3" customFormat="1" ht="30" customHeight="1" thickBot="1" x14ac:dyDescent="0.35">
      <c r="A23" s="23"/>
      <c r="B23" s="38" t="s">
        <v>33</v>
      </c>
      <c r="C23" s="35"/>
      <c r="D23" s="19"/>
      <c r="E23" s="50">
        <f>F20 +4</f>
        <v>45823</v>
      </c>
      <c r="F23" s="50">
        <f>E23+30</f>
        <v>45853</v>
      </c>
      <c r="G23" s="10"/>
      <c r="H23" s="10">
        <f>IF(OR(ISBLANK(inizio_attività),ISBLANK(fine_attività)),"",fine_attività-inizio_attività+1)</f>
        <v>31</v>
      </c>
      <c r="I23" s="71"/>
      <c r="J23" s="20"/>
      <c r="K23" s="20"/>
      <c r="L23" s="20"/>
      <c r="M23" s="20"/>
      <c r="N23" s="20"/>
      <c r="O23" s="20"/>
      <c r="P23" s="20"/>
      <c r="Q23" s="20"/>
      <c r="R23" s="20"/>
      <c r="S23" s="20"/>
      <c r="T23" s="20"/>
      <c r="U23" s="20"/>
      <c r="V23" s="20"/>
      <c r="W23" s="20"/>
      <c r="X23" s="20"/>
      <c r="Y23" s="20"/>
      <c r="Z23" s="75"/>
      <c r="AA23" s="78"/>
      <c r="AB23" s="66"/>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75"/>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66"/>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75"/>
      <c r="FX23" s="86"/>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79"/>
      <c r="HC23" s="66"/>
      <c r="HD23" s="20"/>
      <c r="HE23" s="20"/>
      <c r="HF23" s="20"/>
      <c r="HG23" s="20"/>
      <c r="HH23" s="20"/>
      <c r="HI23" s="20"/>
      <c r="HJ23" s="20"/>
      <c r="HK23" s="20"/>
      <c r="HL23" s="20"/>
      <c r="HM23" s="20"/>
      <c r="HN23" s="20"/>
      <c r="HO23" s="20"/>
      <c r="HP23" s="20"/>
      <c r="HQ23" s="20"/>
      <c r="HR23" s="20"/>
      <c r="HS23" s="20"/>
      <c r="HT23" s="20"/>
      <c r="HU23" s="20"/>
      <c r="HV23" s="20"/>
      <c r="HW23" s="20"/>
      <c r="HX23" s="20"/>
      <c r="HY23" s="20"/>
      <c r="HZ23" s="87"/>
      <c r="IA23" s="66"/>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c r="KL23" s="20"/>
      <c r="KM23" s="20"/>
      <c r="KN23" s="20"/>
      <c r="KO23" s="20"/>
      <c r="KP23" s="20"/>
      <c r="KQ23" s="20"/>
      <c r="KR23" s="20"/>
      <c r="KS23" s="20"/>
      <c r="KT23" s="20"/>
      <c r="KU23" s="20"/>
      <c r="KV23" s="20"/>
      <c r="KW23" s="20"/>
      <c r="KX23" s="20"/>
      <c r="KY23" s="20"/>
      <c r="KZ23" s="20"/>
      <c r="LA23" s="20"/>
      <c r="LB23" s="20"/>
      <c r="LC23" s="20"/>
      <c r="LD23" s="20"/>
      <c r="LE23" s="20"/>
      <c r="LF23" s="20"/>
      <c r="LG23" s="20"/>
      <c r="LH23" s="20"/>
      <c r="LI23" s="20"/>
      <c r="LJ23" s="20"/>
      <c r="LK23" s="20"/>
      <c r="LL23" s="20"/>
      <c r="LM23" s="20"/>
      <c r="LN23" s="20"/>
      <c r="LO23" s="20"/>
      <c r="LP23" s="20"/>
      <c r="LQ23" s="20"/>
      <c r="LR23" s="20"/>
      <c r="LS23" s="20"/>
      <c r="LT23" s="20"/>
      <c r="LU23" s="20"/>
      <c r="LV23" s="20"/>
      <c r="LW23" s="20"/>
      <c r="LX23" s="20"/>
      <c r="LY23" s="20"/>
      <c r="LZ23" s="20"/>
      <c r="MA23" s="20"/>
      <c r="MB23" s="20"/>
      <c r="MC23" s="20"/>
      <c r="MD23" s="20"/>
      <c r="ME23" s="20"/>
      <c r="MF23" s="20"/>
      <c r="MG23" s="20"/>
      <c r="MH23" s="20"/>
      <c r="MI23" s="20"/>
      <c r="MJ23" s="20"/>
      <c r="MK23" s="20"/>
      <c r="ML23" s="20"/>
      <c r="MM23" s="20"/>
      <c r="MN23" s="20"/>
      <c r="MO23" s="20"/>
      <c r="MP23" s="20"/>
      <c r="MQ23" s="20"/>
      <c r="MR23" s="20"/>
      <c r="MS23" s="20"/>
      <c r="MT23" s="20"/>
      <c r="MU23" s="20"/>
      <c r="MV23" s="20"/>
      <c r="MW23" s="20"/>
      <c r="MX23" s="20"/>
      <c r="MY23" s="20"/>
      <c r="MZ23" s="20"/>
      <c r="NA23" s="20"/>
      <c r="NB23" s="20"/>
      <c r="NC23" s="20"/>
      <c r="ND23" s="20"/>
      <c r="NE23" s="20"/>
      <c r="NF23" s="20"/>
      <c r="NG23" s="20"/>
      <c r="NH23" s="20"/>
    </row>
    <row r="24" spans="1:372" s="3" customFormat="1" ht="30" customHeight="1" thickBot="1" x14ac:dyDescent="0.35">
      <c r="A24" s="23"/>
      <c r="B24" s="58" t="s">
        <v>34</v>
      </c>
      <c r="C24" s="59"/>
      <c r="D24" s="60"/>
      <c r="E24" s="61"/>
      <c r="F24" s="62"/>
      <c r="G24" s="10"/>
      <c r="H24" s="10"/>
      <c r="I24" s="71"/>
      <c r="J24" s="20"/>
      <c r="K24" s="20"/>
      <c r="L24" s="20"/>
      <c r="M24" s="20"/>
      <c r="N24" s="20"/>
      <c r="O24" s="20"/>
      <c r="P24" s="20"/>
      <c r="Q24" s="20"/>
      <c r="R24" s="20"/>
      <c r="S24" s="20"/>
      <c r="T24" s="20"/>
      <c r="U24" s="20"/>
      <c r="V24" s="20"/>
      <c r="W24" s="20"/>
      <c r="X24" s="20"/>
      <c r="Y24" s="20"/>
      <c r="Z24" s="75"/>
      <c r="AA24" s="78"/>
      <c r="AB24" s="66"/>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75"/>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75"/>
      <c r="FX24" s="86"/>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79"/>
      <c r="HC24" s="66"/>
      <c r="HD24" s="20"/>
      <c r="HE24" s="20"/>
      <c r="HF24" s="20"/>
      <c r="HG24" s="20"/>
      <c r="HH24" s="75"/>
      <c r="HI24" s="125"/>
      <c r="HJ24" s="61"/>
      <c r="HK24" s="61"/>
      <c r="HL24" s="61"/>
      <c r="HM24" s="61"/>
      <c r="HN24" s="61"/>
      <c r="HO24" s="61"/>
      <c r="HP24" s="61"/>
      <c r="HQ24" s="61"/>
      <c r="HR24" s="61"/>
      <c r="HS24" s="61"/>
      <c r="HT24" s="61"/>
      <c r="HU24" s="61"/>
      <c r="HV24" s="61"/>
      <c r="HW24" s="61"/>
      <c r="HX24" s="61"/>
      <c r="HY24" s="61"/>
      <c r="HZ24" s="88"/>
      <c r="IA24" s="61"/>
      <c r="IB24" s="61"/>
      <c r="IC24" s="61"/>
      <c r="ID24" s="61"/>
      <c r="IE24" s="61"/>
      <c r="IF24" s="61"/>
      <c r="IG24" s="61"/>
      <c r="IH24" s="61"/>
      <c r="II24" s="61"/>
      <c r="IJ24" s="61"/>
      <c r="IK24" s="61"/>
      <c r="IL24" s="61"/>
      <c r="IM24" s="61"/>
      <c r="IN24" s="61"/>
      <c r="IO24" s="61"/>
      <c r="IP24" s="61"/>
      <c r="IQ24" s="61"/>
      <c r="IR24" s="61"/>
      <c r="IS24" s="61"/>
      <c r="IT24" s="61"/>
      <c r="IU24" s="61"/>
      <c r="IV24" s="61"/>
      <c r="IW24" s="61"/>
      <c r="IX24" s="61"/>
      <c r="IY24" s="61"/>
      <c r="IZ24" s="61"/>
      <c r="JA24" s="61"/>
      <c r="JB24" s="61"/>
      <c r="JC24" s="61"/>
      <c r="JD24" s="61"/>
      <c r="JE24" s="61"/>
      <c r="JF24" s="61"/>
      <c r="JG24" s="61"/>
      <c r="JH24" s="61"/>
      <c r="JI24" s="61"/>
      <c r="JJ24" s="61"/>
      <c r="JK24" s="61"/>
      <c r="JL24" s="61"/>
      <c r="JM24" s="61"/>
      <c r="JN24" s="61"/>
      <c r="JO24" s="61"/>
      <c r="JP24" s="61"/>
      <c r="JQ24" s="61"/>
      <c r="JR24" s="61"/>
      <c r="JS24" s="61"/>
      <c r="JT24" s="61"/>
      <c r="JU24" s="61"/>
      <c r="JV24" s="61"/>
      <c r="JW24" s="61"/>
      <c r="JX24" s="61"/>
      <c r="JY24" s="61"/>
      <c r="JZ24" s="61"/>
      <c r="KA24" s="61"/>
      <c r="KB24" s="61"/>
      <c r="KC24" s="61"/>
      <c r="KD24" s="61"/>
      <c r="KE24" s="61"/>
      <c r="KF24" s="61"/>
      <c r="KG24" s="61"/>
      <c r="KH24" s="61"/>
      <c r="KI24" s="61"/>
      <c r="KJ24" s="61"/>
      <c r="KK24" s="61"/>
      <c r="KL24" s="61"/>
      <c r="KM24" s="61"/>
      <c r="KN24" s="61"/>
      <c r="KO24" s="61"/>
      <c r="KP24" s="61"/>
      <c r="KQ24" s="61"/>
      <c r="KR24" s="61"/>
      <c r="KS24" s="61"/>
      <c r="KT24" s="61"/>
      <c r="KU24" s="61"/>
      <c r="KV24" s="61"/>
      <c r="KW24" s="61"/>
      <c r="KX24" s="61"/>
      <c r="KY24" s="61"/>
      <c r="KZ24" s="61"/>
      <c r="LA24" s="61"/>
      <c r="LB24" s="61"/>
      <c r="LC24" s="61"/>
      <c r="LD24" s="61"/>
      <c r="LE24" s="61"/>
      <c r="LF24" s="61"/>
      <c r="LG24" s="61"/>
      <c r="LH24" s="61"/>
      <c r="LI24" s="61"/>
      <c r="LJ24" s="61"/>
      <c r="LK24" s="61"/>
      <c r="LL24" s="61"/>
      <c r="LM24" s="61"/>
      <c r="LN24" s="61"/>
      <c r="LO24" s="61"/>
      <c r="LP24" s="61"/>
      <c r="LQ24" s="61"/>
      <c r="LR24" s="61"/>
      <c r="LS24" s="61"/>
      <c r="LT24" s="61"/>
      <c r="LU24" s="61"/>
      <c r="LV24" s="61"/>
      <c r="LW24" s="61"/>
      <c r="LX24" s="61"/>
      <c r="LY24" s="61"/>
      <c r="LZ24" s="61"/>
      <c r="MA24" s="61"/>
      <c r="MB24" s="61"/>
      <c r="MC24" s="61"/>
      <c r="MD24" s="61"/>
      <c r="ME24" s="61"/>
      <c r="MF24" s="61"/>
      <c r="MG24" s="61"/>
      <c r="MH24" s="61"/>
      <c r="MI24" s="61"/>
      <c r="MJ24" s="61"/>
      <c r="MK24" s="61"/>
      <c r="ML24" s="61"/>
      <c r="MM24" s="61"/>
      <c r="MN24" s="61"/>
      <c r="MO24" s="61"/>
      <c r="MP24" s="61"/>
      <c r="MQ24" s="61"/>
      <c r="MR24" s="61"/>
      <c r="MS24" s="61"/>
      <c r="MT24" s="61"/>
      <c r="MU24" s="61"/>
      <c r="MV24" s="61"/>
      <c r="MW24" s="61"/>
      <c r="MX24" s="61"/>
      <c r="MY24" s="61"/>
      <c r="MZ24" s="61"/>
      <c r="NA24" s="61"/>
      <c r="NB24" s="61"/>
      <c r="NC24" s="129"/>
      <c r="ND24" s="66"/>
      <c r="NE24" s="20"/>
      <c r="NF24" s="20"/>
      <c r="NG24" s="20"/>
      <c r="NH24" s="20"/>
    </row>
    <row r="25" spans="1:372" s="3" customFormat="1" ht="30" customHeight="1" thickBot="1" x14ac:dyDescent="0.35">
      <c r="A25" s="23"/>
      <c r="B25" s="57" t="s">
        <v>40</v>
      </c>
      <c r="C25" s="54"/>
      <c r="D25" s="55"/>
      <c r="E25" s="56">
        <f>F21 +1</f>
        <v>45836</v>
      </c>
      <c r="F25" s="56">
        <f>E25+25</f>
        <v>45861</v>
      </c>
      <c r="G25" s="10"/>
      <c r="H25" s="10">
        <f t="shared" ref="H25:H27" si="278">IF(OR(ISBLANK(inizio_attività),ISBLANK(fine_attività)),"",fine_attività-inizio_attività+1)</f>
        <v>26</v>
      </c>
      <c r="I25" s="71"/>
      <c r="J25" s="20"/>
      <c r="K25" s="20"/>
      <c r="L25" s="20"/>
      <c r="M25" s="20"/>
      <c r="N25" s="20"/>
      <c r="O25" s="20"/>
      <c r="P25" s="20"/>
      <c r="Q25" s="20"/>
      <c r="R25" s="20"/>
      <c r="S25" s="20"/>
      <c r="T25" s="20"/>
      <c r="U25" s="20"/>
      <c r="V25" s="20"/>
      <c r="W25" s="20"/>
      <c r="X25" s="20"/>
      <c r="Y25" s="20"/>
      <c r="Z25" s="75"/>
      <c r="AA25" s="78"/>
      <c r="AB25" s="66"/>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75"/>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66"/>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75"/>
      <c r="FX25" s="86"/>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79"/>
      <c r="HC25" s="66"/>
      <c r="HD25" s="20"/>
      <c r="HE25" s="20"/>
      <c r="HF25" s="20"/>
      <c r="HG25" s="20"/>
      <c r="HH25" s="75"/>
      <c r="HI25" s="126"/>
      <c r="HJ25" s="20"/>
      <c r="HK25" s="20"/>
      <c r="HL25" s="20"/>
      <c r="HM25" s="20"/>
      <c r="HN25" s="20"/>
      <c r="HO25" s="20"/>
      <c r="HP25" s="20"/>
      <c r="HQ25" s="20"/>
      <c r="HR25" s="20"/>
      <c r="HS25" s="20"/>
      <c r="HT25" s="20"/>
      <c r="HU25" s="20"/>
      <c r="HV25" s="20"/>
      <c r="HW25" s="20"/>
      <c r="HX25" s="20"/>
      <c r="HY25" s="20"/>
      <c r="HZ25" s="87"/>
      <c r="IA25" s="66"/>
      <c r="IB25" s="20"/>
      <c r="IC25" s="20"/>
      <c r="ID25" s="20"/>
      <c r="IE25" s="20"/>
      <c r="IF25" s="20"/>
      <c r="IG25" s="20"/>
      <c r="IH25" s="20"/>
      <c r="II25" s="20"/>
      <c r="IJ25" s="20"/>
      <c r="IK25" s="20"/>
      <c r="IL25" s="20"/>
      <c r="IM25" s="20"/>
      <c r="IN25" s="118"/>
      <c r="IO25" s="119"/>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130"/>
      <c r="ND25" s="66"/>
      <c r="NE25" s="20"/>
      <c r="NF25" s="20"/>
      <c r="NG25" s="20"/>
      <c r="NH25" s="20"/>
    </row>
    <row r="26" spans="1:372" s="3" customFormat="1" ht="30" customHeight="1" thickBot="1" x14ac:dyDescent="0.35">
      <c r="A26" s="23"/>
      <c r="B26" s="57" t="s">
        <v>35</v>
      </c>
      <c r="C26" s="54"/>
      <c r="D26" s="55"/>
      <c r="E26" s="56">
        <f>F25 -5</f>
        <v>45856</v>
      </c>
      <c r="F26" s="56">
        <f>E26+8</f>
        <v>45864</v>
      </c>
      <c r="G26" s="10"/>
      <c r="H26" s="10">
        <f t="shared" si="278"/>
        <v>9</v>
      </c>
      <c r="I26" s="71"/>
      <c r="J26" s="20"/>
      <c r="K26" s="20"/>
      <c r="L26" s="20"/>
      <c r="M26" s="20"/>
      <c r="N26" s="20"/>
      <c r="O26" s="20"/>
      <c r="P26" s="20"/>
      <c r="Q26" s="20"/>
      <c r="R26" s="20"/>
      <c r="S26" s="20"/>
      <c r="T26" s="20"/>
      <c r="U26" s="20"/>
      <c r="V26" s="20"/>
      <c r="W26" s="20"/>
      <c r="X26" s="20"/>
      <c r="Y26" s="20"/>
      <c r="Z26" s="75"/>
      <c r="AA26" s="78"/>
      <c r="AB26" s="66"/>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75"/>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75"/>
      <c r="FX26" s="86"/>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79"/>
      <c r="HC26" s="66"/>
      <c r="HD26" s="20"/>
      <c r="HE26" s="20"/>
      <c r="HF26" s="20"/>
      <c r="HG26" s="20"/>
      <c r="HH26" s="75"/>
      <c r="HI26" s="126"/>
      <c r="HJ26" s="20"/>
      <c r="HK26" s="20"/>
      <c r="HL26" s="20"/>
      <c r="HM26" s="20"/>
      <c r="HN26" s="20"/>
      <c r="HO26" s="20"/>
      <c r="HP26" s="20"/>
      <c r="HQ26" s="20"/>
      <c r="HR26" s="20"/>
      <c r="HS26" s="20"/>
      <c r="HT26" s="20"/>
      <c r="HU26" s="20"/>
      <c r="HV26" s="20"/>
      <c r="HW26" s="20"/>
      <c r="HX26" s="20"/>
      <c r="HY26" s="20"/>
      <c r="HZ26" s="87"/>
      <c r="IA26" s="66"/>
      <c r="IB26" s="20"/>
      <c r="IC26" s="20"/>
      <c r="ID26" s="20"/>
      <c r="IE26" s="20"/>
      <c r="IF26" s="20"/>
      <c r="IG26" s="20"/>
      <c r="IH26" s="20"/>
      <c r="II26" s="20"/>
      <c r="IJ26" s="20"/>
      <c r="IK26" s="20"/>
      <c r="IL26" s="20"/>
      <c r="IM26" s="20"/>
      <c r="IN26" s="118"/>
      <c r="IO26" s="119"/>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130"/>
      <c r="ND26" s="66"/>
      <c r="NE26" s="20"/>
      <c r="NF26" s="20"/>
      <c r="NG26" s="20"/>
      <c r="NH26" s="20"/>
    </row>
    <row r="27" spans="1:372" s="3" customFormat="1" ht="30" customHeight="1" thickBot="1" x14ac:dyDescent="0.35">
      <c r="A27" s="23" t="s">
        <v>36</v>
      </c>
      <c r="B27" s="57" t="s">
        <v>37</v>
      </c>
      <c r="C27" s="54"/>
      <c r="D27" s="55"/>
      <c r="E27" s="56">
        <f xml:space="preserve"> F26 +1</f>
        <v>45865</v>
      </c>
      <c r="F27" s="56">
        <f>E27 + 60</f>
        <v>45925</v>
      </c>
      <c r="G27" s="10"/>
      <c r="H27" s="10">
        <f t="shared" si="278"/>
        <v>61</v>
      </c>
      <c r="I27" s="71"/>
      <c r="J27" s="20"/>
      <c r="K27" s="20"/>
      <c r="L27" s="20"/>
      <c r="M27" s="20"/>
      <c r="N27" s="20"/>
      <c r="O27" s="20"/>
      <c r="P27" s="20"/>
      <c r="Q27" s="20"/>
      <c r="R27" s="20"/>
      <c r="S27" s="20"/>
      <c r="T27" s="20"/>
      <c r="U27" s="20"/>
      <c r="V27" s="20"/>
      <c r="W27" s="20"/>
      <c r="X27" s="20"/>
      <c r="Y27" s="20"/>
      <c r="Z27" s="75"/>
      <c r="AA27" s="78"/>
      <c r="AB27" s="66"/>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75"/>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66"/>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75"/>
      <c r="FX27" s="86"/>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79"/>
      <c r="HC27" s="66"/>
      <c r="HD27" s="20"/>
      <c r="HE27" s="20"/>
      <c r="HF27" s="20"/>
      <c r="HG27" s="20"/>
      <c r="HH27" s="75"/>
      <c r="HI27" s="126"/>
      <c r="HJ27" s="20"/>
      <c r="HK27" s="20"/>
      <c r="HL27" s="20"/>
      <c r="HM27" s="20"/>
      <c r="HN27" s="20"/>
      <c r="HO27" s="20"/>
      <c r="HP27" s="20"/>
      <c r="HQ27" s="20"/>
      <c r="HR27" s="20"/>
      <c r="HS27" s="20"/>
      <c r="HT27" s="20"/>
      <c r="HU27" s="20"/>
      <c r="HV27" s="20"/>
      <c r="HW27" s="20"/>
      <c r="HX27" s="20"/>
      <c r="HY27" s="20"/>
      <c r="HZ27" s="87"/>
      <c r="IA27" s="66"/>
      <c r="IB27" s="20"/>
      <c r="IC27" s="20"/>
      <c r="ID27" s="20"/>
      <c r="IE27" s="20"/>
      <c r="IF27" s="20"/>
      <c r="IG27" s="20"/>
      <c r="IH27" s="20"/>
      <c r="II27" s="20"/>
      <c r="IJ27" s="20"/>
      <c r="IK27" s="20"/>
      <c r="IL27" s="20"/>
      <c r="IM27" s="20"/>
      <c r="IN27" s="93"/>
      <c r="IO27" s="66"/>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c r="JN27" s="20"/>
      <c r="JO27" s="20"/>
      <c r="JP27" s="20"/>
      <c r="JQ27" s="20"/>
      <c r="JR27" s="20"/>
      <c r="JS27" s="20"/>
      <c r="JT27" s="20"/>
      <c r="JU27" s="20"/>
      <c r="JV27" s="20"/>
      <c r="JW27" s="20"/>
      <c r="JX27" s="20"/>
      <c r="JY27" s="20"/>
      <c r="JZ27" s="20"/>
      <c r="KA27" s="20"/>
      <c r="KB27" s="20"/>
      <c r="KC27" s="20"/>
      <c r="KD27" s="20"/>
      <c r="KE27" s="20"/>
      <c r="KF27" s="20"/>
      <c r="KG27" s="20"/>
      <c r="KH27" s="20"/>
      <c r="KI27" s="20"/>
      <c r="KJ27" s="20"/>
      <c r="KK27" s="20"/>
      <c r="KL27" s="20"/>
      <c r="KM27" s="20"/>
      <c r="KN27" s="20"/>
      <c r="KO27" s="20"/>
      <c r="KP27" s="20"/>
      <c r="KQ27" s="20"/>
      <c r="KR27" s="20"/>
      <c r="KS27" s="20"/>
      <c r="KT27" s="20"/>
      <c r="KU27" s="20"/>
      <c r="KV27" s="20"/>
      <c r="KW27" s="20"/>
      <c r="KX27" s="20"/>
      <c r="KY27" s="20"/>
      <c r="KZ27" s="20"/>
      <c r="LA27" s="20"/>
      <c r="LB27" s="20"/>
      <c r="LC27" s="20"/>
      <c r="LD27" s="20"/>
      <c r="LE27" s="20"/>
      <c r="LF27" s="20"/>
      <c r="LG27" s="20"/>
      <c r="LH27" s="20"/>
      <c r="LI27" s="20"/>
      <c r="LJ27" s="20"/>
      <c r="LK27" s="20"/>
      <c r="LL27" s="20"/>
      <c r="LM27" s="20"/>
      <c r="LN27" s="20"/>
      <c r="LO27" s="20"/>
      <c r="LP27" s="20"/>
      <c r="LQ27" s="20"/>
      <c r="LR27" s="20"/>
      <c r="LS27" s="20"/>
      <c r="LT27" s="20"/>
      <c r="LU27" s="20"/>
      <c r="LV27" s="20"/>
      <c r="LW27" s="20"/>
      <c r="LX27" s="20"/>
      <c r="LY27" s="20"/>
      <c r="LZ27" s="20"/>
      <c r="MA27" s="20"/>
      <c r="MB27" s="20"/>
      <c r="MC27" s="20"/>
      <c r="MD27" s="20"/>
      <c r="ME27" s="20"/>
      <c r="MF27" s="20"/>
      <c r="MG27" s="20"/>
      <c r="MH27" s="20"/>
      <c r="MI27" s="20"/>
      <c r="MJ27" s="20"/>
      <c r="MK27" s="20"/>
      <c r="ML27" s="20"/>
      <c r="MM27" s="20"/>
      <c r="MN27" s="20"/>
      <c r="MO27" s="20"/>
      <c r="MP27" s="20"/>
      <c r="MQ27" s="20"/>
      <c r="MR27" s="20"/>
      <c r="MS27" s="20"/>
      <c r="MT27" s="20"/>
      <c r="MU27" s="20"/>
      <c r="MV27" s="20"/>
      <c r="MW27" s="20"/>
      <c r="MX27" s="20"/>
      <c r="MY27" s="20"/>
      <c r="MZ27" s="20"/>
      <c r="NA27" s="20"/>
      <c r="NB27" s="20"/>
      <c r="NC27" s="130"/>
      <c r="ND27" s="66"/>
      <c r="NE27" s="20"/>
      <c r="NF27" s="20"/>
      <c r="NG27" s="20"/>
      <c r="NH27" s="20"/>
    </row>
    <row r="28" spans="1:372" s="3" customFormat="1" ht="30" customHeight="1" thickBot="1" x14ac:dyDescent="0.35">
      <c r="A28" s="23"/>
      <c r="B28" s="57" t="s">
        <v>38</v>
      </c>
      <c r="C28" s="54"/>
      <c r="D28" s="55"/>
      <c r="E28" s="56">
        <f>MAX(F9:F27)  + 1</f>
        <v>45926</v>
      </c>
      <c r="F28" s="56">
        <f xml:space="preserve"> E28 + 60</f>
        <v>45986</v>
      </c>
      <c r="G28" s="10"/>
      <c r="H28" s="10">
        <f>IF(OR(ISBLANK(inizio_attività),ISBLANK(fine_attività)),"",fine_attività-inizio_attività+1)</f>
        <v>61</v>
      </c>
      <c r="I28" s="71"/>
      <c r="J28" s="20"/>
      <c r="K28" s="20"/>
      <c r="L28" s="20"/>
      <c r="M28" s="20"/>
      <c r="N28" s="20"/>
      <c r="O28" s="20"/>
      <c r="P28" s="20"/>
      <c r="Q28" s="20"/>
      <c r="R28" s="20"/>
      <c r="S28" s="20"/>
      <c r="T28" s="20"/>
      <c r="U28" s="20"/>
      <c r="V28" s="20"/>
      <c r="W28" s="20"/>
      <c r="X28" s="20"/>
      <c r="Y28" s="20"/>
      <c r="Z28" s="75"/>
      <c r="AA28" s="78"/>
      <c r="AB28" s="66"/>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75"/>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75"/>
      <c r="FX28" s="86"/>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79"/>
      <c r="HC28" s="66"/>
      <c r="HD28" s="20"/>
      <c r="HE28" s="20"/>
      <c r="HF28" s="20"/>
      <c r="HG28" s="20"/>
      <c r="HH28" s="75"/>
      <c r="HI28" s="126"/>
      <c r="HJ28" s="20"/>
      <c r="HK28" s="20"/>
      <c r="HL28" s="20"/>
      <c r="HM28" s="20"/>
      <c r="HN28" s="20"/>
      <c r="HO28" s="20"/>
      <c r="HP28" s="20"/>
      <c r="HQ28" s="20"/>
      <c r="HR28" s="20"/>
      <c r="HS28" s="20"/>
      <c r="HT28" s="20"/>
      <c r="HU28" s="20"/>
      <c r="HV28" s="20"/>
      <c r="HW28" s="20"/>
      <c r="HX28" s="20"/>
      <c r="HY28" s="20"/>
      <c r="HZ28" s="87"/>
      <c r="IA28" s="66"/>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c r="JL28" s="20"/>
      <c r="JM28" s="20"/>
      <c r="JN28" s="20"/>
      <c r="JO28" s="20"/>
      <c r="JP28" s="20"/>
      <c r="JQ28" s="20"/>
      <c r="JR28" s="20"/>
      <c r="JS28" s="20"/>
      <c r="JT28" s="20"/>
      <c r="JU28" s="20"/>
      <c r="JV28" s="20"/>
      <c r="JW28" s="20"/>
      <c r="JX28" s="20"/>
      <c r="JY28" s="20"/>
      <c r="JZ28" s="20"/>
      <c r="KA28" s="20"/>
      <c r="KB28" s="20"/>
      <c r="KC28" s="20"/>
      <c r="KD28" s="20"/>
      <c r="KE28" s="20"/>
      <c r="KF28" s="20"/>
      <c r="KG28" s="20"/>
      <c r="KH28" s="20"/>
      <c r="KI28" s="20"/>
      <c r="KJ28" s="20"/>
      <c r="KK28" s="20"/>
      <c r="KL28" s="20"/>
      <c r="KM28" s="20"/>
      <c r="KN28" s="20"/>
      <c r="KO28" s="20"/>
      <c r="KP28" s="20"/>
      <c r="KQ28" s="20"/>
      <c r="KR28" s="20"/>
      <c r="KS28" s="20"/>
      <c r="KT28" s="20"/>
      <c r="KU28" s="20"/>
      <c r="KV28" s="20"/>
      <c r="KW28" s="20"/>
      <c r="KX28" s="20"/>
      <c r="KY28" s="20"/>
      <c r="KZ28" s="20"/>
      <c r="LA28" s="20"/>
      <c r="LB28" s="20"/>
      <c r="LC28" s="20"/>
      <c r="LD28" s="20"/>
      <c r="LE28" s="20"/>
      <c r="LF28" s="20"/>
      <c r="LG28" s="20"/>
      <c r="LH28" s="20"/>
      <c r="LI28" s="20"/>
      <c r="LJ28" s="20"/>
      <c r="LK28" s="20"/>
      <c r="LL28" s="20"/>
      <c r="LM28" s="20"/>
      <c r="LN28" s="20"/>
      <c r="LO28" s="20"/>
      <c r="LP28" s="20"/>
      <c r="LQ28" s="20"/>
      <c r="LR28" s="20"/>
      <c r="LS28" s="20"/>
      <c r="LT28" s="20"/>
      <c r="LU28" s="20"/>
      <c r="LV28" s="20"/>
      <c r="LW28" s="20"/>
      <c r="LX28" s="20"/>
      <c r="LY28" s="20"/>
      <c r="LZ28" s="20"/>
      <c r="MA28" s="20"/>
      <c r="MB28" s="20"/>
      <c r="MC28" s="20"/>
      <c r="MD28" s="20"/>
      <c r="ME28" s="20"/>
      <c r="MF28" s="20"/>
      <c r="MG28" s="20"/>
      <c r="MH28" s="20"/>
      <c r="MI28" s="20"/>
      <c r="MJ28" s="20"/>
      <c r="MK28" s="20"/>
      <c r="ML28" s="20"/>
      <c r="MM28" s="20"/>
      <c r="MN28" s="20"/>
      <c r="MO28" s="20"/>
      <c r="MP28" s="20"/>
      <c r="MQ28" s="20"/>
      <c r="MR28" s="20"/>
      <c r="MS28" s="20"/>
      <c r="MT28" s="20"/>
      <c r="MU28" s="20"/>
      <c r="MV28" s="20"/>
      <c r="MW28" s="20"/>
      <c r="MX28" s="20"/>
      <c r="MY28" s="20"/>
      <c r="MZ28" s="20"/>
      <c r="NA28" s="20"/>
      <c r="NB28" s="20"/>
      <c r="NC28" s="130"/>
      <c r="ND28" s="66"/>
      <c r="NE28" s="20"/>
      <c r="NF28" s="20"/>
      <c r="NG28" s="20"/>
      <c r="NH28" s="20"/>
    </row>
    <row r="29" spans="1:372" s="3" customFormat="1" ht="30" customHeight="1" x14ac:dyDescent="0.3">
      <c r="A29" s="24" t="s">
        <v>39</v>
      </c>
      <c r="B29"/>
      <c r="C29"/>
      <c r="D29"/>
      <c r="E29" s="5"/>
      <c r="F29"/>
      <c r="G29" s="6"/>
      <c r="H29"/>
      <c r="I29" s="74"/>
      <c r="J29"/>
      <c r="K29"/>
      <c r="L29"/>
      <c r="M29"/>
      <c r="N29"/>
      <c r="O29"/>
      <c r="P29"/>
      <c r="Q29"/>
      <c r="R29"/>
      <c r="S29"/>
      <c r="T29"/>
      <c r="U29"/>
      <c r="V29"/>
      <c r="W29"/>
      <c r="X29"/>
      <c r="Y29"/>
      <c r="Z29"/>
      <c r="AA29" s="81"/>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FX29" s="89"/>
      <c r="HB29" s="82"/>
      <c r="HI29" s="127"/>
      <c r="HZ29" s="90"/>
      <c r="NC29" s="131"/>
    </row>
    <row r="30" spans="1:372" ht="30" customHeight="1" x14ac:dyDescent="0.3">
      <c r="C30" t="s">
        <v>50</v>
      </c>
      <c r="E30" s="5" t="s">
        <v>49</v>
      </c>
      <c r="G30" s="6"/>
      <c r="I30" s="74"/>
      <c r="AA30" s="81"/>
      <c r="FX30" s="91"/>
      <c r="HB30" s="83"/>
      <c r="HI30" s="128"/>
      <c r="HZ30" s="92"/>
      <c r="IN30" s="3"/>
      <c r="IO30" s="3"/>
      <c r="NC30" s="132"/>
    </row>
    <row r="31" spans="1:372" ht="30" customHeight="1" x14ac:dyDescent="0.3">
      <c r="B31" s="94" t="s">
        <v>45</v>
      </c>
      <c r="C31" s="95">
        <v>550</v>
      </c>
      <c r="E31" s="97">
        <f>C31*H31</f>
        <v>7837.5</v>
      </c>
      <c r="F31" s="25"/>
      <c r="H31" s="96">
        <f>SUM(I31:NC31)</f>
        <v>14.25</v>
      </c>
      <c r="I31" s="110">
        <v>0.1</v>
      </c>
      <c r="J31" s="111">
        <v>0.1</v>
      </c>
      <c r="K31" s="111">
        <v>0.1</v>
      </c>
      <c r="L31" s="111">
        <v>0.1</v>
      </c>
      <c r="M31" s="111">
        <v>0.1</v>
      </c>
      <c r="N31" s="137"/>
      <c r="O31" s="137"/>
      <c r="P31" s="111">
        <v>0.1</v>
      </c>
      <c r="Q31" s="111">
        <v>0.1</v>
      </c>
      <c r="R31" s="111">
        <v>0.1</v>
      </c>
      <c r="S31" s="111">
        <v>0.1</v>
      </c>
      <c r="T31" s="111">
        <v>0.1</v>
      </c>
      <c r="U31" s="137"/>
      <c r="V31" s="137"/>
      <c r="W31" s="111">
        <v>0.1</v>
      </c>
      <c r="X31" s="111">
        <v>0.1</v>
      </c>
      <c r="Y31" s="111">
        <v>0.1</v>
      </c>
      <c r="Z31" s="111">
        <v>0.1</v>
      </c>
      <c r="AA31" s="114">
        <v>0.1</v>
      </c>
      <c r="AB31" s="138"/>
      <c r="AC31" s="138"/>
      <c r="AD31" s="116"/>
      <c r="AE31" s="116"/>
      <c r="AF31" s="116"/>
      <c r="AG31" s="116"/>
      <c r="AH31" s="116"/>
      <c r="AI31" s="138"/>
      <c r="AJ31" s="138"/>
      <c r="AK31" s="116"/>
      <c r="AL31" s="116"/>
      <c r="AM31" s="116"/>
      <c r="AN31" s="116"/>
      <c r="AO31" s="116"/>
      <c r="AP31" s="138"/>
      <c r="AQ31" s="138"/>
      <c r="AR31" s="116"/>
      <c r="AS31" s="116"/>
      <c r="AT31" s="116"/>
      <c r="AU31" s="116"/>
      <c r="AV31" s="116"/>
      <c r="AW31" s="138"/>
      <c r="AX31" s="138"/>
      <c r="AY31" s="116"/>
      <c r="AZ31" s="116"/>
      <c r="BA31" s="116"/>
      <c r="BB31" s="116"/>
      <c r="BC31" s="116"/>
      <c r="BD31" s="138"/>
      <c r="BE31" s="138"/>
      <c r="BF31" s="116"/>
      <c r="BG31" s="116"/>
      <c r="BH31" s="116"/>
      <c r="BI31" s="116"/>
      <c r="BJ31" s="116"/>
      <c r="BK31" s="138"/>
      <c r="BL31" s="138"/>
      <c r="BM31" s="116"/>
      <c r="BN31" s="116"/>
      <c r="BO31" s="116"/>
      <c r="BP31" s="116"/>
      <c r="BQ31" s="116"/>
      <c r="BR31" s="138"/>
      <c r="BS31" s="138"/>
      <c r="BT31" s="116"/>
      <c r="BU31" s="116"/>
      <c r="BV31" s="116"/>
      <c r="BW31" s="116"/>
      <c r="BX31" s="116"/>
      <c r="BY31" s="138"/>
      <c r="BZ31" s="138"/>
      <c r="CA31" s="116"/>
      <c r="CB31" s="116"/>
      <c r="CC31" s="116"/>
      <c r="CD31" s="116"/>
      <c r="CE31" s="116"/>
      <c r="CF31" s="138"/>
      <c r="CG31" s="138"/>
      <c r="CH31" s="116"/>
      <c r="CI31" s="116"/>
      <c r="CJ31" s="116"/>
      <c r="CK31" s="116"/>
      <c r="CL31" s="116"/>
      <c r="CM31" s="138"/>
      <c r="CN31" s="138"/>
      <c r="CO31" s="116"/>
      <c r="CP31" s="116"/>
      <c r="CQ31" s="116"/>
      <c r="CR31" s="116"/>
      <c r="CS31" s="116"/>
      <c r="CT31" s="138"/>
      <c r="CU31" s="138"/>
      <c r="CV31" s="116"/>
      <c r="CW31" s="116"/>
      <c r="CX31" s="116"/>
      <c r="CY31" s="116"/>
      <c r="CZ31" s="116"/>
      <c r="DA31" s="138"/>
      <c r="DB31" s="138"/>
      <c r="DC31" s="116"/>
      <c r="DD31" s="116"/>
      <c r="DE31" s="116"/>
      <c r="DF31" s="116"/>
      <c r="DG31" s="116"/>
      <c r="DH31" s="138"/>
      <c r="DI31" s="138"/>
      <c r="DJ31" s="116"/>
      <c r="DK31" s="116"/>
      <c r="DL31" s="116"/>
      <c r="DM31" s="116"/>
      <c r="DN31" s="116"/>
      <c r="DO31" s="138"/>
      <c r="DP31" s="138"/>
      <c r="DQ31" s="116"/>
      <c r="DR31" s="116"/>
      <c r="DS31" s="116"/>
      <c r="DT31" s="116"/>
      <c r="DU31" s="116"/>
      <c r="DV31" s="138"/>
      <c r="DW31" s="138"/>
      <c r="DX31" s="116"/>
      <c r="DY31" s="116"/>
      <c r="DZ31" s="116"/>
      <c r="EA31" s="116"/>
      <c r="EB31" s="116"/>
      <c r="EC31" s="138"/>
      <c r="ED31" s="138"/>
      <c r="EE31" s="116"/>
      <c r="EF31" s="116"/>
      <c r="EG31" s="116"/>
      <c r="EH31" s="116"/>
      <c r="EI31" s="116"/>
      <c r="EJ31" s="138"/>
      <c r="EK31" s="138"/>
      <c r="EL31" s="116"/>
      <c r="EM31" s="116"/>
      <c r="EN31" s="116"/>
      <c r="EO31" s="116"/>
      <c r="EP31" s="116"/>
      <c r="EQ31" s="138"/>
      <c r="ER31" s="138"/>
      <c r="ES31" s="116"/>
      <c r="ET31" s="116"/>
      <c r="EU31" s="116"/>
      <c r="EV31" s="116"/>
      <c r="EW31" s="116"/>
      <c r="EX31" s="138"/>
      <c r="EY31" s="138"/>
      <c r="EZ31" s="116"/>
      <c r="FA31" s="116"/>
      <c r="FB31" s="116"/>
      <c r="FC31" s="116"/>
      <c r="FD31" s="116"/>
      <c r="FE31" s="138"/>
      <c r="FF31" s="138"/>
      <c r="FG31" s="116"/>
      <c r="FH31" s="116"/>
      <c r="FI31" s="116"/>
      <c r="FJ31" s="116"/>
      <c r="FK31" s="116"/>
      <c r="FL31" s="138"/>
      <c r="FM31" s="138"/>
      <c r="FN31" s="116"/>
      <c r="FO31" s="116"/>
      <c r="FP31" s="116"/>
      <c r="FQ31" s="116"/>
      <c r="FR31" s="116"/>
      <c r="FS31" s="138"/>
      <c r="FT31" s="138"/>
      <c r="FU31" s="116"/>
      <c r="FV31" s="116"/>
      <c r="FW31" s="116"/>
      <c r="FX31" s="120"/>
      <c r="FY31" s="121"/>
      <c r="FZ31" s="138"/>
      <c r="GA31" s="138"/>
      <c r="GB31" s="121"/>
      <c r="GC31" s="121"/>
      <c r="GD31" s="121"/>
      <c r="GE31" s="121"/>
      <c r="GF31" s="121"/>
      <c r="GG31" s="138"/>
      <c r="GH31" s="138"/>
      <c r="GI31" s="121"/>
      <c r="GJ31" s="121"/>
      <c r="GK31" s="121"/>
      <c r="GL31" s="121"/>
      <c r="GM31" s="121"/>
      <c r="GN31" s="138">
        <v>1</v>
      </c>
      <c r="GO31" s="138">
        <v>1</v>
      </c>
      <c r="GP31" s="121">
        <v>1</v>
      </c>
      <c r="GQ31" s="121">
        <v>1</v>
      </c>
      <c r="GR31" s="121">
        <v>1</v>
      </c>
      <c r="GS31" s="121">
        <v>1</v>
      </c>
      <c r="GT31" s="121"/>
      <c r="GU31" s="138"/>
      <c r="GV31" s="138"/>
      <c r="GW31" s="121"/>
      <c r="GX31" s="121">
        <v>1</v>
      </c>
      <c r="GY31" s="121">
        <v>1</v>
      </c>
      <c r="GZ31" s="121">
        <v>1</v>
      </c>
      <c r="HA31" s="121">
        <v>1</v>
      </c>
      <c r="HB31" s="140">
        <v>1</v>
      </c>
      <c r="HC31" s="138"/>
      <c r="HD31" s="122"/>
      <c r="HE31" s="122"/>
      <c r="HF31" s="122"/>
      <c r="HG31" s="122"/>
      <c r="HH31" s="122"/>
      <c r="HI31" s="141"/>
      <c r="HJ31" s="138"/>
      <c r="HK31" s="123"/>
      <c r="HL31" s="123"/>
      <c r="HM31" s="123"/>
      <c r="HN31" s="123"/>
      <c r="HO31" s="123"/>
      <c r="HP31" s="138"/>
      <c r="HQ31" s="138"/>
      <c r="HR31" s="123"/>
      <c r="HS31" s="123"/>
      <c r="HT31" s="123"/>
      <c r="HU31" s="123"/>
      <c r="HV31" s="123"/>
      <c r="HW31" s="138"/>
      <c r="HX31" s="138"/>
      <c r="HY31" s="123"/>
      <c r="HZ31" s="124"/>
      <c r="IA31" s="133"/>
      <c r="IB31" s="133"/>
      <c r="IC31" s="133"/>
      <c r="ID31" s="138"/>
      <c r="IE31" s="138"/>
      <c r="IF31" s="133"/>
      <c r="IG31" s="133"/>
      <c r="IH31" s="133"/>
      <c r="II31" s="133"/>
      <c r="IJ31" s="133"/>
      <c r="IK31" s="138"/>
      <c r="IL31" s="138"/>
      <c r="IM31" s="133"/>
      <c r="IN31" s="134"/>
      <c r="IO31" s="134"/>
      <c r="IP31" s="135"/>
      <c r="IQ31" s="135"/>
      <c r="IR31" s="136"/>
      <c r="IS31" s="136"/>
      <c r="IT31" s="135"/>
      <c r="IU31" s="135"/>
      <c r="IV31" s="135"/>
      <c r="IW31" s="135"/>
      <c r="IX31" s="135"/>
      <c r="IY31" s="136"/>
      <c r="IZ31" s="136"/>
      <c r="JA31" s="142"/>
      <c r="JB31" s="142"/>
      <c r="JC31" s="142"/>
      <c r="JD31" s="142"/>
      <c r="JE31" s="142"/>
      <c r="JF31" s="136"/>
      <c r="JG31" s="136"/>
      <c r="JH31" s="142"/>
      <c r="JI31" s="142"/>
      <c r="JJ31" s="142"/>
      <c r="JK31" s="142"/>
      <c r="JL31" s="142"/>
      <c r="JM31" s="136"/>
      <c r="JN31" s="136"/>
      <c r="JO31" s="135"/>
      <c r="JP31" s="135"/>
      <c r="JQ31" s="135"/>
      <c r="JR31" s="135"/>
      <c r="JS31" s="135"/>
      <c r="JT31" s="136"/>
      <c r="JU31" s="136"/>
      <c r="JV31" s="135"/>
      <c r="JW31" s="135"/>
      <c r="JX31" s="135"/>
      <c r="JY31" s="135"/>
      <c r="JZ31" s="135"/>
      <c r="KA31" s="136"/>
      <c r="KB31" s="136"/>
      <c r="KC31" s="135"/>
      <c r="KD31" s="135"/>
      <c r="KE31" s="135"/>
      <c r="KF31" s="135"/>
      <c r="KG31" s="135"/>
      <c r="KH31" s="136"/>
      <c r="KI31" s="136"/>
      <c r="KJ31" s="135"/>
      <c r="KK31" s="135"/>
      <c r="KL31" s="135"/>
      <c r="KM31" s="135"/>
      <c r="KN31" s="135"/>
      <c r="KO31" s="136"/>
      <c r="KP31" s="136"/>
      <c r="KQ31" s="135"/>
      <c r="KR31" s="135"/>
      <c r="KS31" s="135"/>
      <c r="KT31" s="135"/>
      <c r="KU31" s="135"/>
      <c r="KV31" s="136"/>
      <c r="KW31" s="136"/>
      <c r="KX31" s="135"/>
      <c r="KY31" s="135"/>
      <c r="KZ31" s="135"/>
      <c r="LA31" s="135"/>
      <c r="LB31" s="135"/>
      <c r="LC31" s="136"/>
      <c r="LD31" s="136"/>
      <c r="LE31" s="135"/>
      <c r="LF31" s="135"/>
      <c r="LG31" s="135"/>
      <c r="LH31" s="135"/>
      <c r="LI31" s="135"/>
      <c r="LJ31" s="136"/>
      <c r="LK31" s="136"/>
      <c r="LL31" s="135"/>
      <c r="LM31" s="135"/>
      <c r="LN31" s="135"/>
      <c r="LO31" s="135"/>
      <c r="LP31" s="135"/>
      <c r="LQ31" s="136"/>
      <c r="LR31" s="136"/>
      <c r="LS31" s="135"/>
      <c r="LT31" s="135"/>
      <c r="LU31" s="135"/>
      <c r="LV31" s="135"/>
      <c r="LW31" s="135"/>
      <c r="LX31" s="136"/>
      <c r="LY31" s="136"/>
      <c r="LZ31" s="135"/>
      <c r="MA31" s="135"/>
      <c r="MB31" s="135"/>
      <c r="MC31" s="144"/>
      <c r="MD31" s="144"/>
      <c r="ME31" s="145"/>
      <c r="MF31" s="145"/>
      <c r="MG31" s="144"/>
      <c r="MH31" s="144"/>
      <c r="MI31" s="144"/>
      <c r="MJ31" s="144"/>
      <c r="MK31" s="144"/>
      <c r="ML31" s="145"/>
      <c r="MM31" s="145"/>
      <c r="MN31" s="144">
        <v>0.125</v>
      </c>
      <c r="MO31" s="144">
        <v>0.125</v>
      </c>
      <c r="MP31" s="144">
        <v>0.125</v>
      </c>
      <c r="MQ31" s="144">
        <v>0.125</v>
      </c>
      <c r="MR31" s="144">
        <v>0.125</v>
      </c>
      <c r="MS31" s="145"/>
      <c r="MT31" s="145"/>
      <c r="MU31" s="144">
        <v>0.125</v>
      </c>
      <c r="MV31" s="144">
        <v>0.125</v>
      </c>
      <c r="MW31" s="144">
        <v>0.125</v>
      </c>
      <c r="MX31" s="144">
        <v>0.125</v>
      </c>
      <c r="MY31" s="144">
        <v>0.125</v>
      </c>
      <c r="MZ31" s="145"/>
      <c r="NA31" s="145"/>
      <c r="NB31" s="144">
        <v>0.25</v>
      </c>
      <c r="NC31" s="143">
        <v>0.25</v>
      </c>
      <c r="ND31" s="146"/>
    </row>
    <row r="32" spans="1:372" ht="30" customHeight="1" x14ac:dyDescent="0.3">
      <c r="B32" s="94" t="s">
        <v>42</v>
      </c>
      <c r="C32" s="95">
        <v>350</v>
      </c>
      <c r="E32" s="97">
        <f t="shared" ref="E32:E37" si="279">C32*H32</f>
        <v>4287.5</v>
      </c>
      <c r="H32" s="96">
        <f t="shared" ref="H32:H37" si="280">SUM(I32:NC32)</f>
        <v>12.25</v>
      </c>
      <c r="I32" s="110">
        <v>0.25</v>
      </c>
      <c r="J32" s="111">
        <v>0.25</v>
      </c>
      <c r="K32" s="111">
        <v>0.25</v>
      </c>
      <c r="L32" s="111">
        <v>0.25</v>
      </c>
      <c r="M32" s="111">
        <v>0.25</v>
      </c>
      <c r="N32" s="137"/>
      <c r="O32" s="137"/>
      <c r="P32" s="111">
        <v>0.5</v>
      </c>
      <c r="Q32" s="111">
        <v>0.25</v>
      </c>
      <c r="R32" s="111">
        <v>0.25</v>
      </c>
      <c r="S32" s="111">
        <v>0.25</v>
      </c>
      <c r="T32" s="111">
        <v>0.5</v>
      </c>
      <c r="U32" s="137"/>
      <c r="V32" s="137"/>
      <c r="W32" s="111">
        <v>0.5</v>
      </c>
      <c r="X32" s="111">
        <v>0.5</v>
      </c>
      <c r="Y32" s="111">
        <v>0.25</v>
      </c>
      <c r="Z32" s="111">
        <v>0.25</v>
      </c>
      <c r="AA32" s="114">
        <v>0.25</v>
      </c>
      <c r="AB32" s="138"/>
      <c r="AC32" s="138"/>
      <c r="AD32" s="116"/>
      <c r="AE32" s="116"/>
      <c r="AF32" s="116"/>
      <c r="AG32" s="116"/>
      <c r="AH32" s="116"/>
      <c r="AI32" s="138"/>
      <c r="AJ32" s="138"/>
      <c r="AK32" s="116"/>
      <c r="AL32" s="116"/>
      <c r="AM32" s="116"/>
      <c r="AN32" s="116"/>
      <c r="AO32" s="116"/>
      <c r="AP32" s="138"/>
      <c r="AQ32" s="138"/>
      <c r="AR32" s="116"/>
      <c r="AS32" s="116"/>
      <c r="AT32" s="116"/>
      <c r="AU32" s="116"/>
      <c r="AV32" s="116">
        <v>0.25</v>
      </c>
      <c r="AW32" s="138"/>
      <c r="AX32" s="138"/>
      <c r="AY32" s="116">
        <v>0.25</v>
      </c>
      <c r="AZ32" s="116">
        <v>0.5</v>
      </c>
      <c r="BA32" s="116">
        <v>0.5</v>
      </c>
      <c r="BB32" s="116">
        <v>0.25</v>
      </c>
      <c r="BC32" s="116">
        <v>0.25</v>
      </c>
      <c r="BD32" s="138"/>
      <c r="BE32" s="138"/>
      <c r="BF32" s="116">
        <v>0.5</v>
      </c>
      <c r="BG32" s="116">
        <v>0.25</v>
      </c>
      <c r="BH32" s="116">
        <v>0.25</v>
      </c>
      <c r="BI32" s="116">
        <v>0.25</v>
      </c>
      <c r="BJ32" s="139">
        <v>0.5</v>
      </c>
      <c r="BK32" s="138"/>
      <c r="BL32" s="138"/>
      <c r="BM32" s="116">
        <v>0.25</v>
      </c>
      <c r="BN32" s="116">
        <v>0.25</v>
      </c>
      <c r="BO32" s="116">
        <v>0.25</v>
      </c>
      <c r="BP32" s="116">
        <v>0.5</v>
      </c>
      <c r="BQ32" s="116">
        <v>0.5</v>
      </c>
      <c r="BR32" s="138"/>
      <c r="BS32" s="138"/>
      <c r="BT32" s="116">
        <v>0.5</v>
      </c>
      <c r="BU32" s="116">
        <v>0.5</v>
      </c>
      <c r="BV32" s="116"/>
      <c r="BW32" s="116"/>
      <c r="BX32" s="116"/>
      <c r="BY32" s="138"/>
      <c r="BZ32" s="138"/>
      <c r="CA32" s="116"/>
      <c r="CB32" s="116"/>
      <c r="CC32" s="116"/>
      <c r="CD32" s="116"/>
      <c r="CE32" s="116"/>
      <c r="CF32" s="138"/>
      <c r="CG32" s="138"/>
      <c r="CH32" s="116"/>
      <c r="CI32" s="116"/>
      <c r="CJ32" s="116"/>
      <c r="CK32" s="116"/>
      <c r="CL32" s="116"/>
      <c r="CM32" s="138"/>
      <c r="CN32" s="138"/>
      <c r="CO32" s="116"/>
      <c r="CP32" s="116"/>
      <c r="CQ32" s="116"/>
      <c r="CR32" s="116"/>
      <c r="CS32" s="116"/>
      <c r="CT32" s="138"/>
      <c r="CU32" s="138"/>
      <c r="CV32" s="116"/>
      <c r="CW32" s="116"/>
      <c r="CX32" s="116"/>
      <c r="CY32" s="116"/>
      <c r="CZ32" s="116"/>
      <c r="DA32" s="138"/>
      <c r="DB32" s="138"/>
      <c r="DC32" s="116"/>
      <c r="DD32" s="116"/>
      <c r="DE32" s="116"/>
      <c r="DF32" s="116"/>
      <c r="DG32" s="116"/>
      <c r="DH32" s="138"/>
      <c r="DI32" s="138"/>
      <c r="DJ32" s="116"/>
      <c r="DK32" s="116"/>
      <c r="DL32" s="116"/>
      <c r="DM32" s="116"/>
      <c r="DN32" s="116"/>
      <c r="DO32" s="138"/>
      <c r="DP32" s="138"/>
      <c r="DQ32" s="116"/>
      <c r="DR32" s="116"/>
      <c r="DS32" s="116"/>
      <c r="DT32" s="116"/>
      <c r="DU32" s="116"/>
      <c r="DV32" s="138"/>
      <c r="DW32" s="138"/>
      <c r="DX32" s="116"/>
      <c r="DY32" s="116"/>
      <c r="DZ32" s="116"/>
      <c r="EA32" s="116"/>
      <c r="EB32" s="116"/>
      <c r="EC32" s="138"/>
      <c r="ED32" s="138"/>
      <c r="EE32" s="116"/>
      <c r="EF32" s="116"/>
      <c r="EG32" s="116"/>
      <c r="EH32" s="116"/>
      <c r="EI32" s="116"/>
      <c r="EJ32" s="138"/>
      <c r="EK32" s="138"/>
      <c r="EL32" s="116"/>
      <c r="EM32" s="116"/>
      <c r="EN32" s="116"/>
      <c r="EO32" s="116"/>
      <c r="EP32" s="116"/>
      <c r="EQ32" s="138"/>
      <c r="ER32" s="138"/>
      <c r="ES32" s="116"/>
      <c r="ET32" s="116"/>
      <c r="EU32" s="116"/>
      <c r="EV32" s="116"/>
      <c r="EW32" s="116"/>
      <c r="EX32" s="138"/>
      <c r="EY32" s="138"/>
      <c r="EZ32" s="116"/>
      <c r="FA32" s="116"/>
      <c r="FB32" s="116"/>
      <c r="FC32" s="116"/>
      <c r="FD32" s="116"/>
      <c r="FE32" s="138"/>
      <c r="FF32" s="138"/>
      <c r="FG32" s="116"/>
      <c r="FH32" s="116"/>
      <c r="FI32" s="116"/>
      <c r="FJ32" s="116"/>
      <c r="FK32" s="116"/>
      <c r="FL32" s="138"/>
      <c r="FM32" s="138"/>
      <c r="FN32" s="116"/>
      <c r="FO32" s="116"/>
      <c r="FP32" s="116"/>
      <c r="FQ32" s="116"/>
      <c r="FR32" s="116"/>
      <c r="FS32" s="138"/>
      <c r="FT32" s="138"/>
      <c r="FU32" s="116"/>
      <c r="FV32" s="116"/>
      <c r="FW32" s="116"/>
      <c r="FX32" s="120"/>
      <c r="FY32" s="121"/>
      <c r="FZ32" s="138"/>
      <c r="GA32" s="138"/>
      <c r="GB32" s="121"/>
      <c r="GC32" s="121"/>
      <c r="GD32" s="121"/>
      <c r="GE32" s="121"/>
      <c r="GF32" s="121"/>
      <c r="GG32" s="138"/>
      <c r="GH32" s="138"/>
      <c r="GI32" s="121"/>
      <c r="GJ32" s="121"/>
      <c r="GK32" s="121"/>
      <c r="GL32" s="121"/>
      <c r="GM32" s="121"/>
      <c r="GN32" s="138"/>
      <c r="GO32" s="138"/>
      <c r="GP32" s="121"/>
      <c r="GQ32" s="121"/>
      <c r="GR32" s="121"/>
      <c r="GS32" s="121"/>
      <c r="GT32" s="121"/>
      <c r="GU32" s="138"/>
      <c r="GV32" s="138"/>
      <c r="GW32" s="121"/>
      <c r="GX32" s="121"/>
      <c r="GY32" s="121"/>
      <c r="GZ32" s="121"/>
      <c r="HA32" s="121"/>
      <c r="HB32" s="140"/>
      <c r="HC32" s="138"/>
      <c r="HD32" s="122"/>
      <c r="HE32" s="122"/>
      <c r="HF32" s="122"/>
      <c r="HG32" s="122"/>
      <c r="HH32" s="122"/>
      <c r="HI32" s="141"/>
      <c r="HJ32" s="138"/>
      <c r="HK32" s="123"/>
      <c r="HL32" s="123"/>
      <c r="HM32" s="123"/>
      <c r="HN32" s="123"/>
      <c r="HO32" s="123"/>
      <c r="HP32" s="138"/>
      <c r="HQ32" s="138"/>
      <c r="HR32" s="123"/>
      <c r="HS32" s="123"/>
      <c r="HT32" s="123"/>
      <c r="HU32" s="123"/>
      <c r="HV32" s="123"/>
      <c r="HW32" s="138"/>
      <c r="HX32" s="138"/>
      <c r="HY32" s="123"/>
      <c r="HZ32" s="124"/>
      <c r="IA32" s="133"/>
      <c r="IB32" s="133"/>
      <c r="IC32" s="133"/>
      <c r="ID32" s="138"/>
      <c r="IE32" s="138"/>
      <c r="IF32" s="133"/>
      <c r="IG32" s="133"/>
      <c r="IH32" s="133"/>
      <c r="II32" s="133"/>
      <c r="IJ32" s="133"/>
      <c r="IK32" s="138"/>
      <c r="IL32" s="138"/>
      <c r="IM32" s="133"/>
      <c r="IN32" s="134"/>
      <c r="IO32" s="134"/>
      <c r="IP32" s="135"/>
      <c r="IQ32" s="135"/>
      <c r="IR32" s="136"/>
      <c r="IS32" s="136"/>
      <c r="IT32" s="135"/>
      <c r="IU32" s="135"/>
      <c r="IV32" s="135"/>
      <c r="IW32" s="135"/>
      <c r="IX32" s="135"/>
      <c r="IY32" s="136"/>
      <c r="IZ32" s="136"/>
      <c r="JA32" s="142"/>
      <c r="JB32" s="142"/>
      <c r="JC32" s="142"/>
      <c r="JD32" s="142"/>
      <c r="JE32" s="142"/>
      <c r="JF32" s="136"/>
      <c r="JG32" s="136"/>
      <c r="JH32" s="142"/>
      <c r="JI32" s="142"/>
      <c r="JJ32" s="142"/>
      <c r="JK32" s="142"/>
      <c r="JL32" s="142"/>
      <c r="JM32" s="136"/>
      <c r="JN32" s="136"/>
      <c r="JO32" s="135"/>
      <c r="JP32" s="135"/>
      <c r="JQ32" s="135"/>
      <c r="JR32" s="135"/>
      <c r="JS32" s="135"/>
      <c r="JT32" s="136"/>
      <c r="JU32" s="136"/>
      <c r="JV32" s="135"/>
      <c r="JW32" s="135"/>
      <c r="JX32" s="135"/>
      <c r="JY32" s="135"/>
      <c r="JZ32" s="135"/>
      <c r="KA32" s="136"/>
      <c r="KB32" s="136"/>
      <c r="KC32" s="135"/>
      <c r="KD32" s="135"/>
      <c r="KE32" s="135"/>
      <c r="KF32" s="135"/>
      <c r="KG32" s="135"/>
      <c r="KH32" s="136"/>
      <c r="KI32" s="136"/>
      <c r="KJ32" s="135"/>
      <c r="KK32" s="135"/>
      <c r="KL32" s="135"/>
      <c r="KM32" s="135"/>
      <c r="KN32" s="135"/>
      <c r="KO32" s="136"/>
      <c r="KP32" s="136"/>
      <c r="KQ32" s="135"/>
      <c r="KR32" s="135"/>
      <c r="KS32" s="135"/>
      <c r="KT32" s="135"/>
      <c r="KU32" s="135"/>
      <c r="KV32" s="136"/>
      <c r="KW32" s="136"/>
      <c r="KX32" s="135"/>
      <c r="KY32" s="135"/>
      <c r="KZ32" s="135"/>
      <c r="LA32" s="135"/>
      <c r="LB32" s="135"/>
      <c r="LC32" s="136"/>
      <c r="LD32" s="136"/>
      <c r="LE32" s="135"/>
      <c r="LF32" s="135"/>
      <c r="LG32" s="135"/>
      <c r="LH32" s="135"/>
      <c r="LI32" s="135"/>
      <c r="LJ32" s="136"/>
      <c r="LK32" s="136"/>
      <c r="LL32" s="135"/>
      <c r="LM32" s="135"/>
      <c r="LN32" s="135"/>
      <c r="LO32" s="135"/>
      <c r="LP32" s="135"/>
      <c r="LQ32" s="136"/>
      <c r="LR32" s="136"/>
      <c r="LS32" s="135"/>
      <c r="LT32" s="135"/>
      <c r="LU32" s="135"/>
      <c r="LV32" s="135"/>
      <c r="LW32" s="135"/>
      <c r="LX32" s="136"/>
      <c r="LY32" s="136"/>
      <c r="LZ32" s="135"/>
      <c r="MA32" s="135"/>
      <c r="MB32" s="135"/>
      <c r="MC32" s="144"/>
      <c r="MD32" s="144"/>
      <c r="ME32" s="145"/>
      <c r="MF32" s="145"/>
      <c r="MG32" s="144"/>
      <c r="MH32" s="144"/>
      <c r="MI32" s="144"/>
      <c r="MJ32" s="144"/>
      <c r="MK32" s="144"/>
      <c r="ML32" s="145"/>
      <c r="MM32" s="145"/>
      <c r="MN32" s="144">
        <v>0.125</v>
      </c>
      <c r="MO32" s="144">
        <v>0.125</v>
      </c>
      <c r="MP32" s="144">
        <v>0.125</v>
      </c>
      <c r="MQ32" s="144">
        <v>0.125</v>
      </c>
      <c r="MR32" s="144">
        <v>0.25</v>
      </c>
      <c r="MS32" s="145"/>
      <c r="MT32" s="145"/>
      <c r="MU32" s="144"/>
      <c r="MV32" s="144"/>
      <c r="MW32" s="144"/>
      <c r="MX32" s="144"/>
      <c r="MY32" s="144"/>
      <c r="MZ32" s="145"/>
      <c r="NA32" s="145"/>
      <c r="NB32" s="144">
        <v>0.125</v>
      </c>
      <c r="NC32" s="143">
        <v>0.125</v>
      </c>
      <c r="ND32" s="146"/>
    </row>
    <row r="33" spans="2:368" ht="30" customHeight="1" x14ac:dyDescent="0.3">
      <c r="B33" s="94" t="s">
        <v>43</v>
      </c>
      <c r="C33" s="95">
        <v>300</v>
      </c>
      <c r="E33" s="97">
        <f t="shared" si="279"/>
        <v>26775</v>
      </c>
      <c r="H33" s="96">
        <f t="shared" si="280"/>
        <v>89.25</v>
      </c>
      <c r="I33" s="110"/>
      <c r="J33" s="111"/>
      <c r="K33" s="111"/>
      <c r="L33" s="111"/>
      <c r="M33" s="111"/>
      <c r="N33" s="137"/>
      <c r="O33" s="137"/>
      <c r="P33" s="111"/>
      <c r="Q33" s="111"/>
      <c r="R33" s="111"/>
      <c r="S33" s="111">
        <v>1</v>
      </c>
      <c r="T33" s="111">
        <v>1</v>
      </c>
      <c r="U33" s="137"/>
      <c r="V33" s="137"/>
      <c r="W33" s="111">
        <v>0.5</v>
      </c>
      <c r="X33" s="111">
        <v>0.5</v>
      </c>
      <c r="Y33" s="111">
        <v>1</v>
      </c>
      <c r="Z33" s="111">
        <v>1</v>
      </c>
      <c r="AA33" s="114">
        <v>1</v>
      </c>
      <c r="AB33" s="138"/>
      <c r="AC33" s="138"/>
      <c r="AD33" s="116">
        <v>1</v>
      </c>
      <c r="AE33" s="116">
        <v>0.5</v>
      </c>
      <c r="AF33" s="116">
        <v>0.5</v>
      </c>
      <c r="AG33" s="116">
        <v>1</v>
      </c>
      <c r="AH33" s="116">
        <v>0.5</v>
      </c>
      <c r="AI33" s="138"/>
      <c r="AJ33" s="138"/>
      <c r="AK33" s="116">
        <v>0.5</v>
      </c>
      <c r="AL33" s="116">
        <v>0.5</v>
      </c>
      <c r="AM33" s="116">
        <v>1</v>
      </c>
      <c r="AN33" s="116">
        <v>0.5</v>
      </c>
      <c r="AO33" s="116">
        <v>0.5</v>
      </c>
      <c r="AP33" s="138"/>
      <c r="AQ33" s="138"/>
      <c r="AR33" s="116">
        <v>0.5</v>
      </c>
      <c r="AS33" s="116">
        <v>1</v>
      </c>
      <c r="AT33" s="116">
        <v>0.5</v>
      </c>
      <c r="AU33" s="116">
        <v>0.5</v>
      </c>
      <c r="AV33" s="116">
        <v>1</v>
      </c>
      <c r="AW33" s="138"/>
      <c r="AX33" s="138"/>
      <c r="AY33" s="116">
        <v>1</v>
      </c>
      <c r="AZ33" s="116">
        <v>1</v>
      </c>
      <c r="BA33" s="116">
        <v>0.5</v>
      </c>
      <c r="BB33" s="116">
        <v>1</v>
      </c>
      <c r="BC33" s="116">
        <v>1</v>
      </c>
      <c r="BD33" s="138"/>
      <c r="BE33" s="138"/>
      <c r="BF33" s="116">
        <v>0.5</v>
      </c>
      <c r="BG33" s="116">
        <v>1</v>
      </c>
      <c r="BH33" s="116">
        <v>1</v>
      </c>
      <c r="BI33" s="116">
        <v>1</v>
      </c>
      <c r="BJ33" s="116">
        <v>1</v>
      </c>
      <c r="BK33" s="138"/>
      <c r="BL33" s="138"/>
      <c r="BM33" s="116">
        <v>0.5</v>
      </c>
      <c r="BN33" s="116">
        <v>1</v>
      </c>
      <c r="BO33" s="116">
        <v>1</v>
      </c>
      <c r="BP33" s="116">
        <v>1</v>
      </c>
      <c r="BQ33" s="116">
        <v>1</v>
      </c>
      <c r="BR33" s="138"/>
      <c r="BS33" s="138"/>
      <c r="BT33" s="116">
        <v>1</v>
      </c>
      <c r="BU33" s="116">
        <v>1</v>
      </c>
      <c r="BV33" s="116">
        <v>1</v>
      </c>
      <c r="BW33" s="116">
        <v>0.5</v>
      </c>
      <c r="BX33" s="116">
        <v>0.5</v>
      </c>
      <c r="BY33" s="138"/>
      <c r="BZ33" s="138"/>
      <c r="CA33" s="116">
        <v>1</v>
      </c>
      <c r="CB33" s="116">
        <v>1</v>
      </c>
      <c r="CC33" s="116">
        <v>1</v>
      </c>
      <c r="CD33" s="116">
        <v>1</v>
      </c>
      <c r="CE33" s="116">
        <v>0.5</v>
      </c>
      <c r="CF33" s="138"/>
      <c r="CG33" s="138"/>
      <c r="CH33" s="116">
        <v>0.25</v>
      </c>
      <c r="CI33" s="116">
        <v>0.25</v>
      </c>
      <c r="CJ33" s="116">
        <v>0.25</v>
      </c>
      <c r="CK33" s="116">
        <v>0.25</v>
      </c>
      <c r="CL33" s="116">
        <v>0.25</v>
      </c>
      <c r="CM33" s="138"/>
      <c r="CN33" s="138"/>
      <c r="CO33" s="116">
        <v>0.25</v>
      </c>
      <c r="CP33" s="116">
        <v>0.25</v>
      </c>
      <c r="CQ33" s="116">
        <v>0.25</v>
      </c>
      <c r="CR33" s="116">
        <v>0.25</v>
      </c>
      <c r="CS33" s="116">
        <v>0.25</v>
      </c>
      <c r="CT33" s="138"/>
      <c r="CU33" s="138"/>
      <c r="CV33" s="116">
        <v>0.25</v>
      </c>
      <c r="CW33" s="116">
        <v>0.25</v>
      </c>
      <c r="CX33" s="116">
        <v>0.25</v>
      </c>
      <c r="CY33" s="116">
        <v>0.25</v>
      </c>
      <c r="CZ33" s="116">
        <v>0.25</v>
      </c>
      <c r="DA33" s="138"/>
      <c r="DB33" s="138"/>
      <c r="DC33" s="116">
        <v>0.25</v>
      </c>
      <c r="DD33" s="116">
        <v>0.25</v>
      </c>
      <c r="DE33" s="116">
        <v>0.25</v>
      </c>
      <c r="DF33" s="116">
        <v>0.25</v>
      </c>
      <c r="DG33" s="116">
        <v>0.25</v>
      </c>
      <c r="DH33" s="138"/>
      <c r="DI33" s="138"/>
      <c r="DJ33" s="116">
        <v>0.25</v>
      </c>
      <c r="DK33" s="116">
        <v>0.25</v>
      </c>
      <c r="DL33" s="116">
        <v>0.25</v>
      </c>
      <c r="DM33" s="116">
        <v>0.25</v>
      </c>
      <c r="DN33" s="116">
        <v>0.25</v>
      </c>
      <c r="DO33" s="138"/>
      <c r="DP33" s="138"/>
      <c r="DQ33" s="116">
        <v>0.25</v>
      </c>
      <c r="DR33" s="116">
        <v>0.25</v>
      </c>
      <c r="DS33" s="116">
        <v>0.25</v>
      </c>
      <c r="DT33" s="116">
        <v>0.25</v>
      </c>
      <c r="DU33" s="116">
        <v>0.25</v>
      </c>
      <c r="DV33" s="138"/>
      <c r="DW33" s="138"/>
      <c r="DX33" s="116">
        <v>0.25</v>
      </c>
      <c r="DY33" s="116">
        <v>0.25</v>
      </c>
      <c r="DZ33" s="116">
        <v>0.25</v>
      </c>
      <c r="EA33" s="116">
        <v>0.25</v>
      </c>
      <c r="EB33" s="116">
        <v>0.25</v>
      </c>
      <c r="EC33" s="138"/>
      <c r="ED33" s="138"/>
      <c r="EE33" s="116">
        <v>1</v>
      </c>
      <c r="EF33" s="116">
        <v>0.25</v>
      </c>
      <c r="EG33" s="116">
        <v>0.25</v>
      </c>
      <c r="EH33" s="116">
        <v>0.25</v>
      </c>
      <c r="EI33" s="116">
        <v>0.25</v>
      </c>
      <c r="EJ33" s="138"/>
      <c r="EK33" s="138"/>
      <c r="EL33" s="116">
        <v>0.25</v>
      </c>
      <c r="EM33" s="116">
        <v>0.25</v>
      </c>
      <c r="EN33" s="116">
        <v>0.25</v>
      </c>
      <c r="EO33" s="116">
        <v>0.25</v>
      </c>
      <c r="EP33" s="116">
        <v>0.25</v>
      </c>
      <c r="EQ33" s="138"/>
      <c r="ER33" s="138"/>
      <c r="ES33" s="116">
        <v>0.25</v>
      </c>
      <c r="ET33" s="116">
        <v>0.25</v>
      </c>
      <c r="EU33" s="116">
        <v>0.25</v>
      </c>
      <c r="EV33" s="116">
        <v>0.25</v>
      </c>
      <c r="EW33" s="116">
        <v>0.25</v>
      </c>
      <c r="EX33" s="138"/>
      <c r="EY33" s="138"/>
      <c r="EZ33" s="116">
        <v>1</v>
      </c>
      <c r="FA33" s="116">
        <v>1</v>
      </c>
      <c r="FB33" s="116">
        <v>1</v>
      </c>
      <c r="FC33" s="116">
        <v>1</v>
      </c>
      <c r="FD33" s="116">
        <v>1</v>
      </c>
      <c r="FE33" s="138"/>
      <c r="FF33" s="138"/>
      <c r="FG33" s="116">
        <v>1</v>
      </c>
      <c r="FH33" s="116">
        <v>1</v>
      </c>
      <c r="FI33" s="116">
        <v>1</v>
      </c>
      <c r="FJ33" s="116">
        <v>1</v>
      </c>
      <c r="FK33" s="116">
        <v>1</v>
      </c>
      <c r="FL33" s="138"/>
      <c r="FM33" s="138"/>
      <c r="FN33" s="116">
        <v>1</v>
      </c>
      <c r="FO33" s="116">
        <v>1</v>
      </c>
      <c r="FP33" s="116">
        <v>1</v>
      </c>
      <c r="FQ33" s="116">
        <v>1</v>
      </c>
      <c r="FR33" s="116">
        <v>1</v>
      </c>
      <c r="FS33" s="138"/>
      <c r="FT33" s="138"/>
      <c r="FU33" s="116">
        <v>1</v>
      </c>
      <c r="FV33" s="116">
        <v>1</v>
      </c>
      <c r="FW33" s="116">
        <v>1</v>
      </c>
      <c r="FX33" s="120">
        <v>1</v>
      </c>
      <c r="FY33" s="121">
        <v>1</v>
      </c>
      <c r="FZ33" s="138"/>
      <c r="GA33" s="138"/>
      <c r="GB33" s="121">
        <v>0.25</v>
      </c>
      <c r="GC33" s="121">
        <v>0.25</v>
      </c>
      <c r="GD33" s="121">
        <v>0.25</v>
      </c>
      <c r="GE33" s="121">
        <v>0.25</v>
      </c>
      <c r="GF33" s="121">
        <v>0.25</v>
      </c>
      <c r="GG33" s="138"/>
      <c r="GH33" s="138"/>
      <c r="GI33" s="121">
        <v>0.25</v>
      </c>
      <c r="GJ33" s="121">
        <v>0.25</v>
      </c>
      <c r="GK33" s="121">
        <v>0.25</v>
      </c>
      <c r="GL33" s="121">
        <v>0.25</v>
      </c>
      <c r="GM33" s="121">
        <v>0.25</v>
      </c>
      <c r="GN33" s="138"/>
      <c r="GO33" s="138"/>
      <c r="GP33" s="121">
        <v>1</v>
      </c>
      <c r="GQ33" s="121">
        <v>1</v>
      </c>
      <c r="GR33" s="121">
        <v>1</v>
      </c>
      <c r="GS33" s="121">
        <v>1</v>
      </c>
      <c r="GT33" s="121">
        <v>1</v>
      </c>
      <c r="GU33" s="138"/>
      <c r="GV33" s="138"/>
      <c r="GW33" s="121">
        <v>1</v>
      </c>
      <c r="GX33" s="121">
        <v>1</v>
      </c>
      <c r="GY33" s="121">
        <v>1</v>
      </c>
      <c r="GZ33" s="121">
        <v>1</v>
      </c>
      <c r="HA33" s="121">
        <v>1</v>
      </c>
      <c r="HB33" s="140"/>
      <c r="HC33" s="138"/>
      <c r="HD33" s="122">
        <v>0.25</v>
      </c>
      <c r="HE33" s="122">
        <v>0.25</v>
      </c>
      <c r="HF33" s="122">
        <v>0.25</v>
      </c>
      <c r="HG33" s="122">
        <v>0.25</v>
      </c>
      <c r="HH33" s="122">
        <v>0.25</v>
      </c>
      <c r="HI33" s="141"/>
      <c r="HJ33" s="138"/>
      <c r="HK33" s="123">
        <v>0.25</v>
      </c>
      <c r="HL33" s="123">
        <v>0.25</v>
      </c>
      <c r="HM33" s="123">
        <v>0.25</v>
      </c>
      <c r="HN33" s="123">
        <v>0.25</v>
      </c>
      <c r="HO33" s="123">
        <v>0.25</v>
      </c>
      <c r="HP33" s="138"/>
      <c r="HQ33" s="138"/>
      <c r="HR33" s="123">
        <v>0.25</v>
      </c>
      <c r="HS33" s="123">
        <v>0.25</v>
      </c>
      <c r="HT33" s="123">
        <v>0.25</v>
      </c>
      <c r="HU33" s="123">
        <v>0.25</v>
      </c>
      <c r="HV33" s="123">
        <v>0.25</v>
      </c>
      <c r="HW33" s="138"/>
      <c r="HX33" s="138"/>
      <c r="HY33" s="123">
        <v>0.25</v>
      </c>
      <c r="HZ33" s="124">
        <v>0.25</v>
      </c>
      <c r="IA33" s="133"/>
      <c r="IB33" s="133"/>
      <c r="IC33" s="133"/>
      <c r="ID33" s="138"/>
      <c r="IE33" s="138"/>
      <c r="IF33" s="133"/>
      <c r="IG33" s="133"/>
      <c r="IH33" s="133"/>
      <c r="II33" s="133"/>
      <c r="IJ33" s="133"/>
      <c r="IK33" s="138"/>
      <c r="IL33" s="138"/>
      <c r="IM33" s="133"/>
      <c r="IN33" s="134"/>
      <c r="IO33" s="134"/>
      <c r="IP33" s="135"/>
      <c r="IQ33" s="135"/>
      <c r="IR33" s="136"/>
      <c r="IS33" s="136"/>
      <c r="IT33" s="135"/>
      <c r="IU33" s="135"/>
      <c r="IV33" s="135"/>
      <c r="IW33" s="135"/>
      <c r="IX33" s="135"/>
      <c r="IY33" s="136"/>
      <c r="IZ33" s="136"/>
      <c r="JA33" s="142"/>
      <c r="JB33" s="142"/>
      <c r="JC33" s="142"/>
      <c r="JD33" s="142"/>
      <c r="JE33" s="142"/>
      <c r="JF33" s="136"/>
      <c r="JG33" s="136"/>
      <c r="JH33" s="142"/>
      <c r="JI33" s="142"/>
      <c r="JJ33" s="142"/>
      <c r="JK33" s="142"/>
      <c r="JL33" s="142"/>
      <c r="JM33" s="136"/>
      <c r="JN33" s="136"/>
      <c r="JO33" s="135"/>
      <c r="JP33" s="135"/>
      <c r="JQ33" s="135"/>
      <c r="JR33" s="135"/>
      <c r="JS33" s="135"/>
      <c r="JT33" s="136"/>
      <c r="JU33" s="136"/>
      <c r="JV33" s="135"/>
      <c r="JW33" s="135"/>
      <c r="JX33" s="135"/>
      <c r="JY33" s="135"/>
      <c r="JZ33" s="135"/>
      <c r="KA33" s="136"/>
      <c r="KB33" s="136"/>
      <c r="KC33" s="135"/>
      <c r="KD33" s="135"/>
      <c r="KE33" s="135"/>
      <c r="KF33" s="135"/>
      <c r="KG33" s="135"/>
      <c r="KH33" s="136"/>
      <c r="KI33" s="136"/>
      <c r="KJ33" s="135"/>
      <c r="KK33" s="135"/>
      <c r="KL33" s="135"/>
      <c r="KM33" s="135"/>
      <c r="KN33" s="135"/>
      <c r="KO33" s="136"/>
      <c r="KP33" s="136"/>
      <c r="KQ33" s="135"/>
      <c r="KR33" s="135"/>
      <c r="KS33" s="135"/>
      <c r="KT33" s="135"/>
      <c r="KU33" s="135"/>
      <c r="KV33" s="136"/>
      <c r="KW33" s="136"/>
      <c r="KX33" s="135"/>
      <c r="KY33" s="135"/>
      <c r="KZ33" s="135"/>
      <c r="LA33" s="135"/>
      <c r="LB33" s="135"/>
      <c r="LC33" s="136"/>
      <c r="LD33" s="136"/>
      <c r="LE33" s="135"/>
      <c r="LF33" s="135"/>
      <c r="LG33" s="135"/>
      <c r="LH33" s="135"/>
      <c r="LI33" s="135"/>
      <c r="LJ33" s="136"/>
      <c r="LK33" s="136"/>
      <c r="LL33" s="135"/>
      <c r="LM33" s="135"/>
      <c r="LN33" s="135"/>
      <c r="LO33" s="135"/>
      <c r="LP33" s="135"/>
      <c r="LQ33" s="136"/>
      <c r="LR33" s="136"/>
      <c r="LS33" s="135"/>
      <c r="LT33" s="135"/>
      <c r="LU33" s="135"/>
      <c r="LV33" s="135"/>
      <c r="LW33" s="135"/>
      <c r="LX33" s="136"/>
      <c r="LY33" s="136"/>
      <c r="LZ33" s="135"/>
      <c r="MA33" s="135"/>
      <c r="MB33" s="135"/>
      <c r="MC33" s="144"/>
      <c r="MD33" s="144"/>
      <c r="ME33" s="145"/>
      <c r="MF33" s="145"/>
      <c r="MG33" s="144"/>
      <c r="MH33" s="144"/>
      <c r="MI33" s="144"/>
      <c r="MJ33" s="144"/>
      <c r="MK33" s="144"/>
      <c r="ML33" s="145"/>
      <c r="MM33" s="145"/>
      <c r="MN33" s="144">
        <v>0.25</v>
      </c>
      <c r="MO33" s="144">
        <v>0.25</v>
      </c>
      <c r="MP33" s="144">
        <v>0.25</v>
      </c>
      <c r="MQ33" s="144">
        <v>0.25</v>
      </c>
      <c r="MR33" s="144">
        <v>0.25</v>
      </c>
      <c r="MS33" s="145"/>
      <c r="MT33" s="145"/>
      <c r="MU33" s="144"/>
      <c r="MV33" s="144"/>
      <c r="MW33" s="144"/>
      <c r="MX33" s="144"/>
      <c r="MY33" s="144"/>
      <c r="MZ33" s="145"/>
      <c r="NA33" s="145"/>
      <c r="NB33" s="144"/>
      <c r="NC33" s="143"/>
      <c r="ND33" s="146"/>
    </row>
    <row r="34" spans="2:368" ht="30" customHeight="1" x14ac:dyDescent="0.3">
      <c r="B34" s="94" t="s">
        <v>46</v>
      </c>
      <c r="C34" s="95">
        <v>250</v>
      </c>
      <c r="E34" s="97">
        <f t="shared" si="279"/>
        <v>15000</v>
      </c>
      <c r="H34" s="96">
        <f t="shared" si="280"/>
        <v>60</v>
      </c>
      <c r="I34" s="110"/>
      <c r="J34" s="111"/>
      <c r="K34" s="111"/>
      <c r="L34" s="111"/>
      <c r="M34" s="111"/>
      <c r="N34" s="137"/>
      <c r="O34" s="137"/>
      <c r="P34" s="111"/>
      <c r="Q34" s="111"/>
      <c r="R34" s="111"/>
      <c r="S34" s="111"/>
      <c r="T34" s="111"/>
      <c r="U34" s="137"/>
      <c r="V34" s="137"/>
      <c r="W34" s="111"/>
      <c r="X34" s="111"/>
      <c r="Y34" s="111"/>
      <c r="Z34" s="111"/>
      <c r="AA34" s="114"/>
      <c r="AB34" s="138"/>
      <c r="AC34" s="138"/>
      <c r="AD34" s="116"/>
      <c r="AE34" s="116"/>
      <c r="AF34" s="116"/>
      <c r="AG34" s="116"/>
      <c r="AH34" s="116"/>
      <c r="AI34" s="138"/>
      <c r="AJ34" s="138"/>
      <c r="AK34" s="116"/>
      <c r="AL34" s="116"/>
      <c r="AM34" s="116"/>
      <c r="AN34" s="116"/>
      <c r="AO34" s="116"/>
      <c r="AP34" s="138"/>
      <c r="AQ34" s="138"/>
      <c r="AR34" s="116"/>
      <c r="AS34" s="116"/>
      <c r="AT34" s="116"/>
      <c r="AU34" s="116"/>
      <c r="AV34" s="116"/>
      <c r="AW34" s="138"/>
      <c r="AX34" s="138"/>
      <c r="AY34" s="116"/>
      <c r="AZ34" s="116"/>
      <c r="BA34" s="116"/>
      <c r="BB34" s="116"/>
      <c r="BC34" s="116"/>
      <c r="BD34" s="138"/>
      <c r="BE34" s="138"/>
      <c r="BF34" s="116"/>
      <c r="BG34" s="116"/>
      <c r="BH34" s="116"/>
      <c r="BI34" s="116"/>
      <c r="BJ34" s="116"/>
      <c r="BK34" s="138"/>
      <c r="BL34" s="138"/>
      <c r="BM34" s="116">
        <v>0.5</v>
      </c>
      <c r="BN34" s="139">
        <v>0.5</v>
      </c>
      <c r="BO34" s="116">
        <v>0.5</v>
      </c>
      <c r="BP34" s="116">
        <v>0.5</v>
      </c>
      <c r="BQ34" s="116">
        <v>0.5</v>
      </c>
      <c r="BR34" s="138"/>
      <c r="BS34" s="138"/>
      <c r="BT34" s="116">
        <v>0.5</v>
      </c>
      <c r="BU34" s="139">
        <v>0.5</v>
      </c>
      <c r="BV34" s="116">
        <v>0.5</v>
      </c>
      <c r="BW34" s="116">
        <v>0.5</v>
      </c>
      <c r="BX34" s="116">
        <v>0.5</v>
      </c>
      <c r="BY34" s="138"/>
      <c r="BZ34" s="138"/>
      <c r="CA34" s="116">
        <v>0.5</v>
      </c>
      <c r="CB34" s="139">
        <v>0.5</v>
      </c>
      <c r="CC34" s="116">
        <v>0.5</v>
      </c>
      <c r="CD34" s="116">
        <v>0.5</v>
      </c>
      <c r="CE34" s="116">
        <v>0.5</v>
      </c>
      <c r="CF34" s="138"/>
      <c r="CG34" s="138"/>
      <c r="CH34" s="116"/>
      <c r="CI34" s="116"/>
      <c r="CJ34" s="116"/>
      <c r="CK34" s="116"/>
      <c r="CL34" s="116"/>
      <c r="CM34" s="138"/>
      <c r="CN34" s="138"/>
      <c r="CO34" s="116"/>
      <c r="CP34" s="116"/>
      <c r="CQ34" s="116"/>
      <c r="CR34" s="116"/>
      <c r="CS34" s="116"/>
      <c r="CT34" s="138"/>
      <c r="CU34" s="138"/>
      <c r="CV34" s="116"/>
      <c r="CW34" s="139"/>
      <c r="CX34" s="116">
        <v>0.5</v>
      </c>
      <c r="CY34" s="116">
        <v>0.5</v>
      </c>
      <c r="CZ34" s="116">
        <v>0.5</v>
      </c>
      <c r="DA34" s="138"/>
      <c r="DB34" s="138"/>
      <c r="DC34" s="116">
        <v>0.5</v>
      </c>
      <c r="DD34" s="139">
        <v>0.5</v>
      </c>
      <c r="DE34" s="116">
        <v>0.5</v>
      </c>
      <c r="DF34" s="116">
        <v>0.5</v>
      </c>
      <c r="DG34" s="116">
        <v>0.5</v>
      </c>
      <c r="DH34" s="138"/>
      <c r="DI34" s="138"/>
      <c r="DJ34" s="116">
        <v>0.5</v>
      </c>
      <c r="DK34" s="139">
        <v>0.5</v>
      </c>
      <c r="DL34" s="116">
        <v>0.5</v>
      </c>
      <c r="DM34" s="116">
        <v>0.5</v>
      </c>
      <c r="DN34" s="116">
        <v>0.5</v>
      </c>
      <c r="DO34" s="138"/>
      <c r="DP34" s="138"/>
      <c r="DQ34" s="116">
        <v>0.5</v>
      </c>
      <c r="DR34" s="139">
        <v>0.5</v>
      </c>
      <c r="DS34" s="116">
        <v>0.5</v>
      </c>
      <c r="DT34" s="116">
        <v>0.5</v>
      </c>
      <c r="DU34" s="116">
        <v>0.5</v>
      </c>
      <c r="DV34" s="138"/>
      <c r="DW34" s="138"/>
      <c r="DX34" s="116">
        <v>0.5</v>
      </c>
      <c r="DY34" s="116">
        <v>0.5</v>
      </c>
      <c r="DZ34" s="116">
        <v>0.5</v>
      </c>
      <c r="EA34" s="116">
        <v>0.5</v>
      </c>
      <c r="EB34" s="116">
        <v>0.5</v>
      </c>
      <c r="EC34" s="138"/>
      <c r="ED34" s="138"/>
      <c r="EE34" s="116"/>
      <c r="EF34" s="116"/>
      <c r="EG34" s="116"/>
      <c r="EH34" s="116"/>
      <c r="EI34" s="116"/>
      <c r="EJ34" s="138"/>
      <c r="EK34" s="138"/>
      <c r="EL34" s="116"/>
      <c r="EM34" s="116"/>
      <c r="EN34" s="116"/>
      <c r="EO34" s="116"/>
      <c r="EP34" s="116"/>
      <c r="EQ34" s="138"/>
      <c r="ER34" s="138"/>
      <c r="ES34" s="116"/>
      <c r="ET34" s="116"/>
      <c r="EU34" s="116"/>
      <c r="EV34" s="116"/>
      <c r="EW34" s="116"/>
      <c r="EX34" s="138"/>
      <c r="EY34" s="138"/>
      <c r="EZ34" s="116"/>
      <c r="FA34" s="116"/>
      <c r="FB34" s="116"/>
      <c r="FC34" s="116"/>
      <c r="FD34" s="116">
        <v>1</v>
      </c>
      <c r="FE34" s="138"/>
      <c r="FF34" s="138"/>
      <c r="FG34" s="116">
        <v>1</v>
      </c>
      <c r="FH34" s="116">
        <v>1</v>
      </c>
      <c r="FI34" s="116">
        <v>1</v>
      </c>
      <c r="FJ34" s="116">
        <v>1</v>
      </c>
      <c r="FK34" s="116">
        <v>1</v>
      </c>
      <c r="FL34" s="138"/>
      <c r="FM34" s="138"/>
      <c r="FN34" s="116">
        <v>1</v>
      </c>
      <c r="FO34" s="116">
        <v>1</v>
      </c>
      <c r="FP34" s="116">
        <v>1</v>
      </c>
      <c r="FQ34" s="116">
        <v>1</v>
      </c>
      <c r="FR34" s="116">
        <v>1</v>
      </c>
      <c r="FS34" s="138"/>
      <c r="FT34" s="138"/>
      <c r="FU34" s="116">
        <v>1</v>
      </c>
      <c r="FV34" s="116">
        <v>1</v>
      </c>
      <c r="FW34" s="116">
        <v>1</v>
      </c>
      <c r="FX34" s="120">
        <v>1</v>
      </c>
      <c r="FY34" s="121">
        <v>1</v>
      </c>
      <c r="FZ34" s="138"/>
      <c r="GA34" s="138"/>
      <c r="GB34" s="121">
        <v>1</v>
      </c>
      <c r="GC34" s="121">
        <v>1</v>
      </c>
      <c r="GD34" s="121">
        <v>1</v>
      </c>
      <c r="GE34" s="121">
        <v>1</v>
      </c>
      <c r="GF34" s="121">
        <v>1</v>
      </c>
      <c r="GG34" s="138"/>
      <c r="GH34" s="138"/>
      <c r="GI34" s="121">
        <v>1</v>
      </c>
      <c r="GJ34" s="121">
        <v>1</v>
      </c>
      <c r="GK34" s="121">
        <v>1</v>
      </c>
      <c r="GL34" s="121">
        <v>1</v>
      </c>
      <c r="GM34" s="121">
        <v>1</v>
      </c>
      <c r="GN34" s="138"/>
      <c r="GO34" s="138"/>
      <c r="GP34" s="121">
        <v>1</v>
      </c>
      <c r="GQ34" s="121">
        <v>1</v>
      </c>
      <c r="GR34" s="121">
        <v>1</v>
      </c>
      <c r="GS34" s="121">
        <v>1</v>
      </c>
      <c r="GT34" s="121">
        <v>1</v>
      </c>
      <c r="GU34" s="138"/>
      <c r="GV34" s="138"/>
      <c r="GW34" s="121">
        <v>1</v>
      </c>
      <c r="GX34" s="121">
        <v>1</v>
      </c>
      <c r="GY34" s="121">
        <v>1</v>
      </c>
      <c r="GZ34" s="121">
        <v>1</v>
      </c>
      <c r="HA34" s="121">
        <v>1</v>
      </c>
      <c r="HB34" s="140"/>
      <c r="HC34" s="138"/>
      <c r="HD34" s="122">
        <v>1</v>
      </c>
      <c r="HE34" s="122">
        <v>1</v>
      </c>
      <c r="HF34" s="122">
        <v>1</v>
      </c>
      <c r="HG34" s="122">
        <v>1</v>
      </c>
      <c r="HH34" s="122">
        <v>1</v>
      </c>
      <c r="HI34" s="141"/>
      <c r="HJ34" s="138"/>
      <c r="HK34" s="123"/>
      <c r="HL34" s="123"/>
      <c r="HM34" s="123"/>
      <c r="HN34" s="123"/>
      <c r="HO34" s="123"/>
      <c r="HP34" s="138"/>
      <c r="HQ34" s="138"/>
      <c r="HR34" s="123"/>
      <c r="HS34" s="123"/>
      <c r="HT34" s="123"/>
      <c r="HU34" s="123"/>
      <c r="HV34" s="123"/>
      <c r="HW34" s="138"/>
      <c r="HX34" s="138"/>
      <c r="HY34" s="123"/>
      <c r="HZ34" s="124"/>
      <c r="IA34" s="133"/>
      <c r="IB34" s="133"/>
      <c r="IC34" s="133"/>
      <c r="ID34" s="138"/>
      <c r="IE34" s="138"/>
      <c r="IF34" s="133"/>
      <c r="IG34" s="133"/>
      <c r="IH34" s="133"/>
      <c r="II34" s="133"/>
      <c r="IJ34" s="133"/>
      <c r="IK34" s="138"/>
      <c r="IL34" s="138"/>
      <c r="IM34" s="133"/>
      <c r="IN34" s="134"/>
      <c r="IO34" s="134"/>
      <c r="IP34" s="135"/>
      <c r="IQ34" s="135"/>
      <c r="IR34" s="136"/>
      <c r="IS34" s="136"/>
      <c r="IT34" s="135"/>
      <c r="IU34" s="135"/>
      <c r="IV34" s="135"/>
      <c r="IW34" s="135"/>
      <c r="IX34" s="135"/>
      <c r="IY34" s="136"/>
      <c r="IZ34" s="136"/>
      <c r="JA34" s="142"/>
      <c r="JB34" s="142"/>
      <c r="JC34" s="142"/>
      <c r="JD34" s="142"/>
      <c r="JE34" s="142"/>
      <c r="JF34" s="136"/>
      <c r="JG34" s="136"/>
      <c r="JH34" s="142"/>
      <c r="JI34" s="142"/>
      <c r="JJ34" s="142"/>
      <c r="JK34" s="142"/>
      <c r="JL34" s="142"/>
      <c r="JM34" s="136"/>
      <c r="JN34" s="136"/>
      <c r="JO34" s="135"/>
      <c r="JP34" s="135"/>
      <c r="JQ34" s="135"/>
      <c r="JR34" s="135"/>
      <c r="JS34" s="135"/>
      <c r="JT34" s="136"/>
      <c r="JU34" s="136"/>
      <c r="JV34" s="135"/>
      <c r="JW34" s="135"/>
      <c r="JX34" s="135"/>
      <c r="JY34" s="135"/>
      <c r="JZ34" s="135"/>
      <c r="KA34" s="136"/>
      <c r="KB34" s="136"/>
      <c r="KC34" s="135"/>
      <c r="KD34" s="135"/>
      <c r="KE34" s="135"/>
      <c r="KF34" s="135"/>
      <c r="KG34" s="135"/>
      <c r="KH34" s="136"/>
      <c r="KI34" s="136"/>
      <c r="KJ34" s="135"/>
      <c r="KK34" s="135"/>
      <c r="KL34" s="135"/>
      <c r="KM34" s="135"/>
      <c r="KN34" s="135"/>
      <c r="KO34" s="136"/>
      <c r="KP34" s="136"/>
      <c r="KQ34" s="135"/>
      <c r="KR34" s="135"/>
      <c r="KS34" s="135"/>
      <c r="KT34" s="135"/>
      <c r="KU34" s="135"/>
      <c r="KV34" s="136"/>
      <c r="KW34" s="136"/>
      <c r="KX34" s="135"/>
      <c r="KY34" s="135"/>
      <c r="KZ34" s="135"/>
      <c r="LA34" s="135"/>
      <c r="LB34" s="135"/>
      <c r="LC34" s="136"/>
      <c r="LD34" s="136"/>
      <c r="LE34" s="135"/>
      <c r="LF34" s="135"/>
      <c r="LG34" s="135"/>
      <c r="LH34" s="135"/>
      <c r="LI34" s="135"/>
      <c r="LJ34" s="136"/>
      <c r="LK34" s="136"/>
      <c r="LL34" s="135"/>
      <c r="LM34" s="135"/>
      <c r="LN34" s="135"/>
      <c r="LO34" s="135"/>
      <c r="LP34" s="135"/>
      <c r="LQ34" s="136"/>
      <c r="LR34" s="136"/>
      <c r="LS34" s="135"/>
      <c r="LT34" s="135"/>
      <c r="LU34" s="135"/>
      <c r="LV34" s="135"/>
      <c r="LW34" s="135"/>
      <c r="LX34" s="136"/>
      <c r="LY34" s="136"/>
      <c r="LZ34" s="135"/>
      <c r="MA34" s="135"/>
      <c r="MB34" s="135"/>
      <c r="MC34" s="144"/>
      <c r="MD34" s="144"/>
      <c r="ME34" s="145"/>
      <c r="MF34" s="145"/>
      <c r="MG34" s="144"/>
      <c r="MH34" s="144"/>
      <c r="MI34" s="144"/>
      <c r="MJ34" s="144"/>
      <c r="MK34" s="144"/>
      <c r="ML34" s="145"/>
      <c r="MM34" s="145"/>
      <c r="MN34" s="144"/>
      <c r="MO34" s="144"/>
      <c r="MP34" s="144"/>
      <c r="MQ34" s="144"/>
      <c r="MR34" s="144"/>
      <c r="MS34" s="145"/>
      <c r="MT34" s="145"/>
      <c r="MU34" s="144"/>
      <c r="MV34" s="144"/>
      <c r="MW34" s="144"/>
      <c r="MX34" s="144"/>
      <c r="MY34" s="144"/>
      <c r="MZ34" s="145"/>
      <c r="NA34" s="145"/>
      <c r="NB34" s="144"/>
      <c r="NC34" s="143"/>
      <c r="ND34" s="146"/>
    </row>
    <row r="35" spans="2:368" ht="30" customHeight="1" x14ac:dyDescent="0.3">
      <c r="B35" s="94" t="s">
        <v>44</v>
      </c>
      <c r="C35" s="95">
        <v>550</v>
      </c>
      <c r="E35" s="97">
        <f t="shared" si="279"/>
        <v>3643.75</v>
      </c>
      <c r="H35" s="96">
        <f t="shared" si="280"/>
        <v>6.625</v>
      </c>
      <c r="I35" s="110"/>
      <c r="J35" s="111"/>
      <c r="K35" s="111"/>
      <c r="L35" s="111"/>
      <c r="M35" s="111"/>
      <c r="N35" s="137"/>
      <c r="O35" s="137"/>
      <c r="P35" s="111"/>
      <c r="Q35" s="111"/>
      <c r="R35" s="111"/>
      <c r="S35" s="111">
        <v>0.25</v>
      </c>
      <c r="T35" s="111">
        <v>0.25</v>
      </c>
      <c r="U35" s="137"/>
      <c r="V35" s="137"/>
      <c r="W35" s="111">
        <v>0.125</v>
      </c>
      <c r="X35" s="111"/>
      <c r="Y35" s="111"/>
      <c r="Z35" s="111"/>
      <c r="AA35" s="114"/>
      <c r="AB35" s="138"/>
      <c r="AC35" s="138"/>
      <c r="AD35" s="116"/>
      <c r="AE35" s="116"/>
      <c r="AF35" s="116"/>
      <c r="AG35" s="116"/>
      <c r="AH35" s="116"/>
      <c r="AI35" s="138"/>
      <c r="AJ35" s="138"/>
      <c r="AK35" s="116"/>
      <c r="AL35" s="116"/>
      <c r="AM35" s="116"/>
      <c r="AN35" s="116"/>
      <c r="AO35" s="116"/>
      <c r="AP35" s="138"/>
      <c r="AQ35" s="138"/>
      <c r="AR35" s="116"/>
      <c r="AS35" s="116"/>
      <c r="AT35" s="116"/>
      <c r="AU35" s="116"/>
      <c r="AV35" s="116"/>
      <c r="AW35" s="138"/>
      <c r="AX35" s="138"/>
      <c r="AY35" s="116"/>
      <c r="AZ35" s="116"/>
      <c r="BA35" s="116"/>
      <c r="BB35" s="116"/>
      <c r="BC35" s="116"/>
      <c r="BD35" s="138"/>
      <c r="BE35" s="138"/>
      <c r="BF35" s="116"/>
      <c r="BG35" s="116"/>
      <c r="BH35" s="116"/>
      <c r="BI35" s="116"/>
      <c r="BJ35" s="116"/>
      <c r="BK35" s="138"/>
      <c r="BL35" s="138"/>
      <c r="BM35" s="116"/>
      <c r="BN35" s="116"/>
      <c r="BO35" s="116"/>
      <c r="BP35" s="116"/>
      <c r="BQ35" s="116"/>
      <c r="BR35" s="138"/>
      <c r="BS35" s="138"/>
      <c r="BT35" s="116"/>
      <c r="BU35" s="116"/>
      <c r="BV35" s="116"/>
      <c r="BW35" s="116"/>
      <c r="BX35" s="116"/>
      <c r="BY35" s="138"/>
      <c r="BZ35" s="138"/>
      <c r="CA35" s="116"/>
      <c r="CB35" s="116"/>
      <c r="CC35" s="116"/>
      <c r="CD35" s="116"/>
      <c r="CE35" s="116"/>
      <c r="CF35" s="138"/>
      <c r="CG35" s="138"/>
      <c r="CH35" s="116"/>
      <c r="CI35" s="116"/>
      <c r="CJ35" s="116"/>
      <c r="CK35" s="116"/>
      <c r="CL35" s="116"/>
      <c r="CM35" s="138"/>
      <c r="CN35" s="138"/>
      <c r="CO35" s="116"/>
      <c r="CP35" s="116"/>
      <c r="CQ35" s="116"/>
      <c r="CR35" s="116"/>
      <c r="CS35" s="116"/>
      <c r="CT35" s="138"/>
      <c r="CU35" s="138"/>
      <c r="CV35" s="116"/>
      <c r="CW35" s="116"/>
      <c r="CX35" s="116"/>
      <c r="CY35" s="116"/>
      <c r="CZ35" s="116"/>
      <c r="DA35" s="138"/>
      <c r="DB35" s="138"/>
      <c r="DC35" s="116"/>
      <c r="DD35" s="116"/>
      <c r="DE35" s="116"/>
      <c r="DF35" s="116"/>
      <c r="DG35" s="116"/>
      <c r="DH35" s="138"/>
      <c r="DI35" s="138"/>
      <c r="DJ35" s="116"/>
      <c r="DK35" s="116"/>
      <c r="DL35" s="116"/>
      <c r="DM35" s="116"/>
      <c r="DN35" s="116"/>
      <c r="DO35" s="138"/>
      <c r="DP35" s="138"/>
      <c r="DQ35" s="116"/>
      <c r="DR35" s="116"/>
      <c r="DS35" s="116"/>
      <c r="DT35" s="116"/>
      <c r="DU35" s="116"/>
      <c r="DV35" s="138"/>
      <c r="DW35" s="138"/>
      <c r="DX35" s="116"/>
      <c r="DY35" s="116"/>
      <c r="DZ35" s="116"/>
      <c r="EA35" s="116"/>
      <c r="EB35" s="116"/>
      <c r="EC35" s="138"/>
      <c r="ED35" s="138"/>
      <c r="EE35" s="116"/>
      <c r="EF35" s="116"/>
      <c r="EG35" s="116"/>
      <c r="EH35" s="116"/>
      <c r="EI35" s="116"/>
      <c r="EJ35" s="138"/>
      <c r="EK35" s="138"/>
      <c r="EL35" s="116"/>
      <c r="EM35" s="116"/>
      <c r="EN35" s="116"/>
      <c r="EO35" s="116"/>
      <c r="EP35" s="116"/>
      <c r="EQ35" s="138"/>
      <c r="ER35" s="138"/>
      <c r="ES35" s="116"/>
      <c r="ET35" s="116"/>
      <c r="EU35" s="116"/>
      <c r="EV35" s="116"/>
      <c r="EW35" s="116"/>
      <c r="EX35" s="138"/>
      <c r="EY35" s="138"/>
      <c r="EZ35" s="116"/>
      <c r="FA35" s="116"/>
      <c r="FB35" s="116"/>
      <c r="FC35" s="116"/>
      <c r="FD35" s="116"/>
      <c r="FE35" s="138"/>
      <c r="FF35" s="138"/>
      <c r="FG35" s="116"/>
      <c r="FH35" s="116"/>
      <c r="FI35" s="116"/>
      <c r="FJ35" s="116"/>
      <c r="FK35" s="116"/>
      <c r="FL35" s="138"/>
      <c r="FM35" s="138"/>
      <c r="FN35" s="116"/>
      <c r="FO35" s="116"/>
      <c r="FP35" s="116"/>
      <c r="FQ35" s="116"/>
      <c r="FR35" s="116"/>
      <c r="FS35" s="138"/>
      <c r="FT35" s="138"/>
      <c r="FU35" s="116"/>
      <c r="FV35" s="116"/>
      <c r="FW35" s="116"/>
      <c r="FX35" s="120"/>
      <c r="FY35" s="121"/>
      <c r="FZ35" s="138"/>
      <c r="GA35" s="138"/>
      <c r="GB35" s="121"/>
      <c r="GC35" s="121"/>
      <c r="GD35" s="121"/>
      <c r="GE35" s="121"/>
      <c r="GF35" s="121"/>
      <c r="GG35" s="138"/>
      <c r="GH35" s="138"/>
      <c r="GI35" s="121"/>
      <c r="GJ35" s="121"/>
      <c r="GK35" s="121"/>
      <c r="GL35" s="121"/>
      <c r="GM35" s="121"/>
      <c r="GN35" s="138"/>
      <c r="GO35" s="138"/>
      <c r="GP35" s="121"/>
      <c r="GQ35" s="121"/>
      <c r="GR35" s="121"/>
      <c r="GS35" s="121"/>
      <c r="GT35" s="121"/>
      <c r="GU35" s="138"/>
      <c r="GV35" s="138"/>
      <c r="GW35" s="121"/>
      <c r="GX35" s="121"/>
      <c r="GY35" s="121"/>
      <c r="GZ35" s="121"/>
      <c r="HA35" s="121"/>
      <c r="HB35" s="140"/>
      <c r="HC35" s="138"/>
      <c r="HD35" s="122"/>
      <c r="HE35" s="122">
        <v>1</v>
      </c>
      <c r="HF35" s="122">
        <v>0.5</v>
      </c>
      <c r="HG35" s="122">
        <v>0.5</v>
      </c>
      <c r="HH35" s="122">
        <v>0.5</v>
      </c>
      <c r="HI35" s="141"/>
      <c r="HJ35" s="138"/>
      <c r="HK35" s="123">
        <v>0.5</v>
      </c>
      <c r="HL35" s="123">
        <v>0.5</v>
      </c>
      <c r="HM35" s="123">
        <v>0.5</v>
      </c>
      <c r="HN35" s="123">
        <v>0.5</v>
      </c>
      <c r="HO35" s="123">
        <v>1</v>
      </c>
      <c r="HP35" s="138"/>
      <c r="HQ35" s="138"/>
      <c r="HR35" s="123"/>
      <c r="HS35" s="123"/>
      <c r="HT35" s="123"/>
      <c r="HU35" s="123"/>
      <c r="HV35" s="123"/>
      <c r="HW35" s="138"/>
      <c r="HX35" s="138"/>
      <c r="HY35" s="123"/>
      <c r="HZ35" s="124"/>
      <c r="IA35" s="133"/>
      <c r="IB35" s="133"/>
      <c r="IC35" s="133"/>
      <c r="ID35" s="138"/>
      <c r="IE35" s="138"/>
      <c r="IF35" s="133"/>
      <c r="IG35" s="133"/>
      <c r="IH35" s="133"/>
      <c r="II35" s="133"/>
      <c r="IJ35" s="133"/>
      <c r="IK35" s="138"/>
      <c r="IL35" s="138"/>
      <c r="IM35" s="133"/>
      <c r="IN35" s="134"/>
      <c r="IO35" s="134"/>
      <c r="IP35" s="135"/>
      <c r="IQ35" s="135"/>
      <c r="IR35" s="136"/>
      <c r="IS35" s="136"/>
      <c r="IT35" s="135"/>
      <c r="IU35" s="135"/>
      <c r="IV35" s="135"/>
      <c r="IW35" s="135"/>
      <c r="IX35" s="135"/>
      <c r="IY35" s="136"/>
      <c r="IZ35" s="136"/>
      <c r="JA35" s="142"/>
      <c r="JB35" s="142"/>
      <c r="JC35" s="142"/>
      <c r="JD35" s="142"/>
      <c r="JE35" s="142"/>
      <c r="JF35" s="136"/>
      <c r="JG35" s="136"/>
      <c r="JH35" s="142"/>
      <c r="JI35" s="142"/>
      <c r="JJ35" s="142"/>
      <c r="JK35" s="142"/>
      <c r="JL35" s="142"/>
      <c r="JM35" s="136"/>
      <c r="JN35" s="136"/>
      <c r="JO35" s="135"/>
      <c r="JP35" s="135"/>
      <c r="JQ35" s="135"/>
      <c r="JR35" s="135"/>
      <c r="JS35" s="135"/>
      <c r="JT35" s="136"/>
      <c r="JU35" s="136"/>
      <c r="JV35" s="135"/>
      <c r="JW35" s="135"/>
      <c r="JX35" s="135"/>
      <c r="JY35" s="135"/>
      <c r="JZ35" s="135"/>
      <c r="KA35" s="136"/>
      <c r="KB35" s="136"/>
      <c r="KC35" s="135"/>
      <c r="KD35" s="135"/>
      <c r="KE35" s="135"/>
      <c r="KF35" s="135"/>
      <c r="KG35" s="135"/>
      <c r="KH35" s="136"/>
      <c r="KI35" s="136"/>
      <c r="KJ35" s="135"/>
      <c r="KK35" s="135"/>
      <c r="KL35" s="135"/>
      <c r="KM35" s="135"/>
      <c r="KN35" s="135"/>
      <c r="KO35" s="136"/>
      <c r="KP35" s="136"/>
      <c r="KQ35" s="135"/>
      <c r="KR35" s="135"/>
      <c r="KS35" s="135"/>
      <c r="KT35" s="135"/>
      <c r="KU35" s="135"/>
      <c r="KV35" s="136"/>
      <c r="KW35" s="136"/>
      <c r="KX35" s="135"/>
      <c r="KY35" s="135"/>
      <c r="KZ35" s="135"/>
      <c r="LA35" s="135"/>
      <c r="LB35" s="135"/>
      <c r="LC35" s="136"/>
      <c r="LD35" s="136"/>
      <c r="LE35" s="135"/>
      <c r="LF35" s="135"/>
      <c r="LG35" s="135"/>
      <c r="LH35" s="135"/>
      <c r="LI35" s="135"/>
      <c r="LJ35" s="136"/>
      <c r="LK35" s="136"/>
      <c r="LL35" s="135"/>
      <c r="LM35" s="135"/>
      <c r="LN35" s="135"/>
      <c r="LO35" s="135"/>
      <c r="LP35" s="135"/>
      <c r="LQ35" s="136"/>
      <c r="LR35" s="136"/>
      <c r="LS35" s="135"/>
      <c r="LT35" s="135"/>
      <c r="LU35" s="135"/>
      <c r="LV35" s="135"/>
      <c r="LW35" s="135"/>
      <c r="LX35" s="136"/>
      <c r="LY35" s="136"/>
      <c r="LZ35" s="135"/>
      <c r="MA35" s="135"/>
      <c r="MB35" s="135"/>
      <c r="MC35" s="144"/>
      <c r="MD35" s="144"/>
      <c r="ME35" s="145"/>
      <c r="MF35" s="145"/>
      <c r="MG35" s="144"/>
      <c r="MH35" s="144"/>
      <c r="MI35" s="144"/>
      <c r="MJ35" s="144"/>
      <c r="MK35" s="144"/>
      <c r="ML35" s="145"/>
      <c r="MM35" s="145"/>
      <c r="MN35" s="144">
        <v>0.125</v>
      </c>
      <c r="MO35" s="144">
        <v>0.125</v>
      </c>
      <c r="MP35" s="144">
        <v>0.125</v>
      </c>
      <c r="MQ35" s="144">
        <v>0.125</v>
      </c>
      <c r="MR35" s="144"/>
      <c r="MS35" s="145"/>
      <c r="MT35" s="145"/>
      <c r="MU35" s="144"/>
      <c r="MV35" s="144"/>
      <c r="MW35" s="144"/>
      <c r="MX35" s="144"/>
      <c r="MY35" s="144"/>
      <c r="MZ35" s="145"/>
      <c r="NA35" s="145"/>
      <c r="NB35" s="144"/>
      <c r="NC35" s="143"/>
      <c r="ND35" s="146"/>
    </row>
    <row r="36" spans="2:368" ht="30" customHeight="1" x14ac:dyDescent="0.3">
      <c r="B36" s="94" t="s">
        <v>47</v>
      </c>
      <c r="C36" s="95">
        <v>220</v>
      </c>
      <c r="E36" s="97">
        <f t="shared" si="279"/>
        <v>2860</v>
      </c>
      <c r="H36" s="96">
        <f t="shared" si="280"/>
        <v>13</v>
      </c>
      <c r="I36" s="110"/>
      <c r="J36" s="111"/>
      <c r="K36" s="111"/>
      <c r="L36" s="111"/>
      <c r="M36" s="111"/>
      <c r="N36" s="137"/>
      <c r="O36" s="137"/>
      <c r="P36" s="111"/>
      <c r="Q36" s="111"/>
      <c r="R36" s="111"/>
      <c r="S36" s="111"/>
      <c r="T36" s="111"/>
      <c r="U36" s="137"/>
      <c r="V36" s="137"/>
      <c r="W36" s="111"/>
      <c r="X36" s="111"/>
      <c r="Y36" s="111"/>
      <c r="Z36" s="111"/>
      <c r="AA36" s="114"/>
      <c r="AB36" s="138"/>
      <c r="AC36" s="138"/>
      <c r="AD36" s="116"/>
      <c r="AE36" s="116"/>
      <c r="AF36" s="116"/>
      <c r="AG36" s="116"/>
      <c r="AH36" s="116"/>
      <c r="AI36" s="138"/>
      <c r="AJ36" s="138"/>
      <c r="AK36" s="116"/>
      <c r="AL36" s="116"/>
      <c r="AM36" s="116"/>
      <c r="AN36" s="116"/>
      <c r="AO36" s="116"/>
      <c r="AP36" s="138"/>
      <c r="AQ36" s="138"/>
      <c r="AR36" s="116"/>
      <c r="AS36" s="116"/>
      <c r="AT36" s="116"/>
      <c r="AU36" s="116"/>
      <c r="AV36" s="116"/>
      <c r="AW36" s="138"/>
      <c r="AX36" s="138"/>
      <c r="AY36" s="116"/>
      <c r="AZ36" s="116"/>
      <c r="BA36" s="116"/>
      <c r="BB36" s="116"/>
      <c r="BC36" s="116"/>
      <c r="BD36" s="138"/>
      <c r="BE36" s="138"/>
      <c r="BF36" s="116"/>
      <c r="BG36" s="116"/>
      <c r="BH36" s="116"/>
      <c r="BI36" s="116"/>
      <c r="BJ36" s="116"/>
      <c r="BK36" s="138"/>
      <c r="BL36" s="138"/>
      <c r="BM36" s="116"/>
      <c r="BN36" s="116"/>
      <c r="BO36" s="116"/>
      <c r="BP36" s="116"/>
      <c r="BQ36" s="116"/>
      <c r="BR36" s="138"/>
      <c r="BS36" s="138"/>
      <c r="BT36" s="116"/>
      <c r="BU36" s="116"/>
      <c r="BV36" s="116"/>
      <c r="BW36" s="116"/>
      <c r="BX36" s="116"/>
      <c r="BY36" s="138"/>
      <c r="BZ36" s="138"/>
      <c r="CA36" s="116"/>
      <c r="CB36" s="116"/>
      <c r="CC36" s="116"/>
      <c r="CD36" s="116"/>
      <c r="CE36" s="116"/>
      <c r="CF36" s="138"/>
      <c r="CG36" s="138"/>
      <c r="CH36" s="116"/>
      <c r="CI36" s="116"/>
      <c r="CJ36" s="116"/>
      <c r="CK36" s="116"/>
      <c r="CL36" s="116"/>
      <c r="CM36" s="138"/>
      <c r="CN36" s="138"/>
      <c r="CO36" s="116"/>
      <c r="CP36" s="116"/>
      <c r="CQ36" s="116"/>
      <c r="CR36" s="116"/>
      <c r="CS36" s="116"/>
      <c r="CT36" s="138"/>
      <c r="CU36" s="138"/>
      <c r="CV36" s="116"/>
      <c r="CW36" s="116"/>
      <c r="CX36" s="116"/>
      <c r="CY36" s="116"/>
      <c r="CZ36" s="116"/>
      <c r="DA36" s="138"/>
      <c r="DB36" s="138"/>
      <c r="DC36" s="116"/>
      <c r="DD36" s="116"/>
      <c r="DE36" s="116"/>
      <c r="DF36" s="116"/>
      <c r="DG36" s="116"/>
      <c r="DH36" s="138"/>
      <c r="DI36" s="138"/>
      <c r="DJ36" s="116"/>
      <c r="DK36" s="116"/>
      <c r="DL36" s="116"/>
      <c r="DM36" s="116"/>
      <c r="DN36" s="116"/>
      <c r="DO36" s="138"/>
      <c r="DP36" s="138"/>
      <c r="DQ36" s="116"/>
      <c r="DR36" s="116"/>
      <c r="DS36" s="116"/>
      <c r="DT36" s="116"/>
      <c r="DU36" s="116"/>
      <c r="DV36" s="138"/>
      <c r="DW36" s="138"/>
      <c r="DX36" s="116"/>
      <c r="DY36" s="116"/>
      <c r="DZ36" s="116"/>
      <c r="EA36" s="116"/>
      <c r="EB36" s="116"/>
      <c r="EC36" s="138"/>
      <c r="ED36" s="138"/>
      <c r="EE36" s="116"/>
      <c r="EF36" s="116"/>
      <c r="EG36" s="116"/>
      <c r="EH36" s="116"/>
      <c r="EI36" s="116"/>
      <c r="EJ36" s="138"/>
      <c r="EK36" s="138"/>
      <c r="EL36" s="116"/>
      <c r="EM36" s="116"/>
      <c r="EN36" s="116"/>
      <c r="EO36" s="116"/>
      <c r="EP36" s="116"/>
      <c r="EQ36" s="138"/>
      <c r="ER36" s="138"/>
      <c r="ES36" s="116"/>
      <c r="ET36" s="116"/>
      <c r="EU36" s="116"/>
      <c r="EV36" s="116"/>
      <c r="EW36" s="116"/>
      <c r="EX36" s="138"/>
      <c r="EY36" s="138"/>
      <c r="EZ36" s="116"/>
      <c r="FA36" s="116"/>
      <c r="FB36" s="116"/>
      <c r="FC36" s="116"/>
      <c r="FD36" s="116"/>
      <c r="FE36" s="138"/>
      <c r="FF36" s="138"/>
      <c r="FG36" s="116"/>
      <c r="FH36" s="116"/>
      <c r="FI36" s="116"/>
      <c r="FJ36" s="116"/>
      <c r="FK36" s="116"/>
      <c r="FL36" s="138"/>
      <c r="FM36" s="138"/>
      <c r="FN36" s="116"/>
      <c r="FO36" s="116"/>
      <c r="FP36" s="116"/>
      <c r="FQ36" s="116"/>
      <c r="FR36" s="116"/>
      <c r="FS36" s="138"/>
      <c r="FT36" s="138"/>
      <c r="FU36" s="116"/>
      <c r="FV36" s="116"/>
      <c r="FW36" s="116"/>
      <c r="FX36" s="120">
        <v>0.5</v>
      </c>
      <c r="FY36" s="121">
        <v>0.5</v>
      </c>
      <c r="FZ36" s="138"/>
      <c r="GA36" s="138"/>
      <c r="GB36" s="121">
        <v>0.5</v>
      </c>
      <c r="GC36" s="121">
        <v>0.5</v>
      </c>
      <c r="GD36" s="121">
        <v>0.5</v>
      </c>
      <c r="GE36" s="121">
        <v>0.25</v>
      </c>
      <c r="GF36" s="121">
        <v>0.25</v>
      </c>
      <c r="GG36" s="138"/>
      <c r="GH36" s="138"/>
      <c r="GI36" s="121">
        <v>0.5</v>
      </c>
      <c r="GJ36" s="121">
        <v>0.5</v>
      </c>
      <c r="GK36" s="121">
        <v>0.5</v>
      </c>
      <c r="GL36" s="121">
        <v>0.5</v>
      </c>
      <c r="GM36" s="121">
        <v>0.5</v>
      </c>
      <c r="GN36" s="138"/>
      <c r="GO36" s="138"/>
      <c r="GP36" s="121"/>
      <c r="GQ36" s="121"/>
      <c r="GR36" s="121"/>
      <c r="GS36" s="121"/>
      <c r="GT36" s="121"/>
      <c r="GU36" s="138"/>
      <c r="GV36" s="138"/>
      <c r="GW36" s="121"/>
      <c r="GX36" s="121"/>
      <c r="GY36" s="121"/>
      <c r="GZ36" s="121"/>
      <c r="HA36" s="121"/>
      <c r="HB36" s="140"/>
      <c r="HC36" s="138"/>
      <c r="HD36" s="122"/>
      <c r="HE36" s="122"/>
      <c r="HF36" s="122"/>
      <c r="HG36" s="122"/>
      <c r="HH36" s="122"/>
      <c r="HI36" s="141"/>
      <c r="HJ36" s="138"/>
      <c r="HK36" s="123">
        <v>0.5</v>
      </c>
      <c r="HL36" s="123">
        <v>0.5</v>
      </c>
      <c r="HM36" s="123">
        <v>0.5</v>
      </c>
      <c r="HN36" s="123">
        <v>0.5</v>
      </c>
      <c r="HO36" s="123">
        <v>0.5</v>
      </c>
      <c r="HP36" s="138"/>
      <c r="HQ36" s="138"/>
      <c r="HR36" s="123">
        <v>0.5</v>
      </c>
      <c r="HS36" s="123">
        <v>0.5</v>
      </c>
      <c r="HT36" s="123">
        <v>0.5</v>
      </c>
      <c r="HU36" s="123">
        <v>0.5</v>
      </c>
      <c r="HV36" s="123">
        <v>0.5</v>
      </c>
      <c r="HW36" s="138"/>
      <c r="HX36" s="138"/>
      <c r="HY36" s="123">
        <v>0.5</v>
      </c>
      <c r="HZ36" s="124">
        <v>0.5</v>
      </c>
      <c r="IA36" s="133">
        <v>0.5</v>
      </c>
      <c r="IB36" s="133">
        <v>0.5</v>
      </c>
      <c r="IC36" s="133">
        <v>0.5</v>
      </c>
      <c r="ID36" s="138"/>
      <c r="IE36" s="138"/>
      <c r="IF36" s="133"/>
      <c r="IG36" s="133"/>
      <c r="IH36" s="133"/>
      <c r="II36" s="133"/>
      <c r="IJ36" s="133"/>
      <c r="IK36" s="138"/>
      <c r="IL36" s="138"/>
      <c r="IM36" s="133"/>
      <c r="IN36" s="134"/>
      <c r="IO36" s="134"/>
      <c r="IP36" s="135"/>
      <c r="IQ36" s="135"/>
      <c r="IR36" s="136"/>
      <c r="IS36" s="136"/>
      <c r="IT36" s="135"/>
      <c r="IU36" s="135"/>
      <c r="IV36" s="135"/>
      <c r="IW36" s="135"/>
      <c r="IX36" s="135"/>
      <c r="IY36" s="136"/>
      <c r="IZ36" s="136"/>
      <c r="JA36" s="142"/>
      <c r="JB36" s="142"/>
      <c r="JC36" s="142"/>
      <c r="JD36" s="142"/>
      <c r="JE36" s="142"/>
      <c r="JF36" s="136"/>
      <c r="JG36" s="136"/>
      <c r="JH36" s="142"/>
      <c r="JI36" s="142"/>
      <c r="JJ36" s="142"/>
      <c r="JK36" s="142"/>
      <c r="JL36" s="142"/>
      <c r="JM36" s="136"/>
      <c r="JN36" s="136"/>
      <c r="JO36" s="135"/>
      <c r="JP36" s="135"/>
      <c r="JQ36" s="135"/>
      <c r="JR36" s="135"/>
      <c r="JS36" s="135"/>
      <c r="JT36" s="136"/>
      <c r="JU36" s="136"/>
      <c r="JV36" s="135"/>
      <c r="JW36" s="135"/>
      <c r="JX36" s="135"/>
      <c r="JY36" s="135"/>
      <c r="JZ36" s="135"/>
      <c r="KA36" s="136"/>
      <c r="KB36" s="136"/>
      <c r="KC36" s="135"/>
      <c r="KD36" s="135"/>
      <c r="KE36" s="135"/>
      <c r="KF36" s="135"/>
      <c r="KG36" s="135"/>
      <c r="KH36" s="136"/>
      <c r="KI36" s="136"/>
      <c r="KJ36" s="135"/>
      <c r="KK36" s="135"/>
      <c r="KL36" s="135"/>
      <c r="KM36" s="135"/>
      <c r="KN36" s="135"/>
      <c r="KO36" s="136"/>
      <c r="KP36" s="136"/>
      <c r="KQ36" s="135"/>
      <c r="KR36" s="135"/>
      <c r="KS36" s="135"/>
      <c r="KT36" s="135"/>
      <c r="KU36" s="135"/>
      <c r="KV36" s="136"/>
      <c r="KW36" s="136"/>
      <c r="KX36" s="135"/>
      <c r="KY36" s="135"/>
      <c r="KZ36" s="135"/>
      <c r="LA36" s="135"/>
      <c r="LB36" s="135"/>
      <c r="LC36" s="136"/>
      <c r="LD36" s="136"/>
      <c r="LE36" s="135"/>
      <c r="LF36" s="135"/>
      <c r="LG36" s="135"/>
      <c r="LH36" s="135"/>
      <c r="LI36" s="135"/>
      <c r="LJ36" s="136"/>
      <c r="LK36" s="136"/>
      <c r="LL36" s="135"/>
      <c r="LM36" s="135"/>
      <c r="LN36" s="135"/>
      <c r="LO36" s="135"/>
      <c r="LP36" s="135"/>
      <c r="LQ36" s="136"/>
      <c r="LR36" s="136"/>
      <c r="LS36" s="135"/>
      <c r="LT36" s="135"/>
      <c r="LU36" s="135"/>
      <c r="LV36" s="135"/>
      <c r="LW36" s="135"/>
      <c r="LX36" s="136"/>
      <c r="LY36" s="136"/>
      <c r="LZ36" s="135"/>
      <c r="MA36" s="135"/>
      <c r="MB36" s="135"/>
      <c r="MC36" s="144"/>
      <c r="MD36" s="144"/>
      <c r="ME36" s="145"/>
      <c r="MF36" s="145"/>
      <c r="MG36" s="144"/>
      <c r="MH36" s="144"/>
      <c r="MI36" s="144"/>
      <c r="MJ36" s="144"/>
      <c r="MK36" s="144"/>
      <c r="ML36" s="145"/>
      <c r="MM36" s="145"/>
      <c r="MN36" s="144"/>
      <c r="MO36" s="144"/>
      <c r="MP36" s="144"/>
      <c r="MQ36" s="144"/>
      <c r="MR36" s="144"/>
      <c r="MS36" s="145"/>
      <c r="MT36" s="145"/>
      <c r="MU36" s="144"/>
      <c r="MV36" s="144"/>
      <c r="MW36" s="144"/>
      <c r="MX36" s="144"/>
      <c r="MY36" s="144"/>
      <c r="MZ36" s="145"/>
      <c r="NA36" s="145"/>
      <c r="NB36" s="144"/>
      <c r="NC36" s="143"/>
      <c r="ND36" s="146"/>
    </row>
    <row r="37" spans="2:368" ht="30" customHeight="1" x14ac:dyDescent="0.3">
      <c r="B37" s="94" t="s">
        <v>48</v>
      </c>
      <c r="C37" s="95">
        <v>220</v>
      </c>
      <c r="E37" s="97">
        <f t="shared" si="279"/>
        <v>5390</v>
      </c>
      <c r="H37" s="96">
        <f t="shared" si="280"/>
        <v>24.5</v>
      </c>
      <c r="I37" s="112"/>
      <c r="J37" s="113"/>
      <c r="K37" s="113"/>
      <c r="L37" s="113"/>
      <c r="M37" s="113"/>
      <c r="N37" s="136"/>
      <c r="O37" s="136"/>
      <c r="P37" s="113"/>
      <c r="Q37" s="113"/>
      <c r="R37" s="113"/>
      <c r="S37" s="113"/>
      <c r="T37" s="113"/>
      <c r="U37" s="136"/>
      <c r="V37" s="136"/>
      <c r="W37" s="113"/>
      <c r="X37" s="113"/>
      <c r="Y37" s="113"/>
      <c r="Z37" s="113"/>
      <c r="AA37" s="115"/>
      <c r="AB37" s="136"/>
      <c r="AC37" s="136"/>
      <c r="AD37" s="117"/>
      <c r="AE37" s="117"/>
      <c r="AF37" s="117"/>
      <c r="AG37" s="117"/>
      <c r="AH37" s="117"/>
      <c r="AI37" s="136"/>
      <c r="AJ37" s="136"/>
      <c r="AK37" s="117"/>
      <c r="AL37" s="117"/>
      <c r="AM37" s="117"/>
      <c r="AN37" s="117"/>
      <c r="AO37" s="117"/>
      <c r="AP37" s="136"/>
      <c r="AQ37" s="136"/>
      <c r="AR37" s="117"/>
      <c r="AS37" s="117"/>
      <c r="AT37" s="117"/>
      <c r="AU37" s="117"/>
      <c r="AV37" s="117"/>
      <c r="AW37" s="136"/>
      <c r="AX37" s="136"/>
      <c r="AY37" s="117"/>
      <c r="AZ37" s="117"/>
      <c r="BA37" s="117"/>
      <c r="BB37" s="117"/>
      <c r="BC37" s="117"/>
      <c r="BD37" s="136"/>
      <c r="BE37" s="136"/>
      <c r="BF37" s="117"/>
      <c r="BG37" s="117"/>
      <c r="BH37" s="117"/>
      <c r="BI37" s="117"/>
      <c r="BJ37" s="117"/>
      <c r="BK37" s="136"/>
      <c r="BL37" s="136"/>
      <c r="BM37" s="117"/>
      <c r="BN37" s="117"/>
      <c r="BO37" s="117"/>
      <c r="BP37" s="117"/>
      <c r="BQ37" s="117"/>
      <c r="BR37" s="136"/>
      <c r="BS37" s="136"/>
      <c r="BT37" s="117"/>
      <c r="BU37" s="117"/>
      <c r="BV37" s="117"/>
      <c r="BW37" s="117"/>
      <c r="BX37" s="117"/>
      <c r="BY37" s="136"/>
      <c r="BZ37" s="136"/>
      <c r="CA37" s="117"/>
      <c r="CB37" s="117"/>
      <c r="CC37" s="117"/>
      <c r="CD37" s="117"/>
      <c r="CE37" s="117"/>
      <c r="CF37" s="136"/>
      <c r="CG37" s="136"/>
      <c r="CH37" s="117"/>
      <c r="CI37" s="117"/>
      <c r="CJ37" s="117"/>
      <c r="CK37" s="117"/>
      <c r="CL37" s="117"/>
      <c r="CM37" s="136"/>
      <c r="CN37" s="136"/>
      <c r="CO37" s="117"/>
      <c r="CP37" s="117"/>
      <c r="CQ37" s="117"/>
      <c r="CR37" s="117"/>
      <c r="CS37" s="117"/>
      <c r="CT37" s="136"/>
      <c r="CU37" s="136"/>
      <c r="CV37" s="117"/>
      <c r="CW37" s="117"/>
      <c r="CX37" s="117"/>
      <c r="CY37" s="117"/>
      <c r="CZ37" s="117"/>
      <c r="DA37" s="136"/>
      <c r="DB37" s="136"/>
      <c r="DC37" s="117"/>
      <c r="DD37" s="117"/>
      <c r="DE37" s="117"/>
      <c r="DF37" s="117"/>
      <c r="DG37" s="117"/>
      <c r="DH37" s="136"/>
      <c r="DI37" s="136"/>
      <c r="DJ37" s="117"/>
      <c r="DK37" s="117"/>
      <c r="DL37" s="117"/>
      <c r="DM37" s="117"/>
      <c r="DN37" s="117"/>
      <c r="DO37" s="136"/>
      <c r="DP37" s="136"/>
      <c r="DQ37" s="117"/>
      <c r="DR37" s="117"/>
      <c r="DS37" s="116"/>
      <c r="DT37" s="116"/>
      <c r="DU37" s="116"/>
      <c r="DV37" s="138"/>
      <c r="DW37" s="138"/>
      <c r="DX37" s="116"/>
      <c r="DY37" s="116"/>
      <c r="DZ37" s="116"/>
      <c r="EA37" s="116"/>
      <c r="EB37" s="116"/>
      <c r="EC37" s="138"/>
      <c r="ED37" s="138"/>
      <c r="EE37" s="116"/>
      <c r="EF37" s="116"/>
      <c r="EG37" s="116"/>
      <c r="EH37" s="116"/>
      <c r="EI37" s="116"/>
      <c r="EJ37" s="138"/>
      <c r="EK37" s="138"/>
      <c r="EL37" s="116"/>
      <c r="EM37" s="116"/>
      <c r="EN37" s="116"/>
      <c r="EO37" s="116"/>
      <c r="EP37" s="116"/>
      <c r="EQ37" s="138"/>
      <c r="ER37" s="138"/>
      <c r="ES37" s="116"/>
      <c r="ET37" s="116"/>
      <c r="EU37" s="116"/>
      <c r="EV37" s="116"/>
      <c r="EW37" s="116"/>
      <c r="EX37" s="138"/>
      <c r="EY37" s="138"/>
      <c r="EZ37" s="116"/>
      <c r="FA37" s="116"/>
      <c r="FB37" s="116"/>
      <c r="FC37" s="116"/>
      <c r="FD37" s="116"/>
      <c r="FE37" s="138"/>
      <c r="FF37" s="138"/>
      <c r="FG37" s="116"/>
      <c r="FH37" s="116"/>
      <c r="FI37" s="116"/>
      <c r="FJ37" s="116"/>
      <c r="FK37" s="116"/>
      <c r="FL37" s="138"/>
      <c r="FM37" s="138"/>
      <c r="FN37" s="116"/>
      <c r="FO37" s="116"/>
      <c r="FP37" s="116"/>
      <c r="FQ37" s="116"/>
      <c r="FR37" s="116"/>
      <c r="FS37" s="138"/>
      <c r="FT37" s="138"/>
      <c r="FU37" s="116"/>
      <c r="FV37" s="116"/>
      <c r="FW37" s="116"/>
      <c r="FX37" s="120"/>
      <c r="FY37" s="121"/>
      <c r="FZ37" s="138"/>
      <c r="GA37" s="138"/>
      <c r="GB37" s="121"/>
      <c r="GC37" s="121"/>
      <c r="GD37" s="121"/>
      <c r="GE37" s="121"/>
      <c r="GF37" s="121"/>
      <c r="GG37" s="138"/>
      <c r="GH37" s="138"/>
      <c r="GI37" s="121"/>
      <c r="GJ37" s="121"/>
      <c r="GK37" s="121"/>
      <c r="GL37" s="121"/>
      <c r="GM37" s="121"/>
      <c r="GN37" s="138"/>
      <c r="GO37" s="138"/>
      <c r="GP37" s="121"/>
      <c r="GQ37" s="121"/>
      <c r="GR37" s="121"/>
      <c r="GS37" s="121"/>
      <c r="GT37" s="121"/>
      <c r="GU37" s="138"/>
      <c r="GV37" s="138"/>
      <c r="GW37" s="121"/>
      <c r="GX37" s="121"/>
      <c r="GY37" s="121"/>
      <c r="GZ37" s="121"/>
      <c r="HA37" s="121"/>
      <c r="HB37" s="140"/>
      <c r="HC37" s="138"/>
      <c r="HD37" s="122"/>
      <c r="HE37" s="122"/>
      <c r="HF37" s="122"/>
      <c r="HG37" s="122"/>
      <c r="HH37" s="122"/>
      <c r="HI37" s="141"/>
      <c r="HJ37" s="138"/>
      <c r="HK37" s="123">
        <v>0.25</v>
      </c>
      <c r="HL37" s="123">
        <v>0.25</v>
      </c>
      <c r="HM37" s="123">
        <v>0.25</v>
      </c>
      <c r="HN37" s="123">
        <v>0.25</v>
      </c>
      <c r="HO37" s="123">
        <v>0.25</v>
      </c>
      <c r="HP37" s="138"/>
      <c r="HQ37" s="138"/>
      <c r="HR37" s="123">
        <v>0.25</v>
      </c>
      <c r="HS37" s="123">
        <v>0.25</v>
      </c>
      <c r="HT37" s="123">
        <v>0.25</v>
      </c>
      <c r="HU37" s="123">
        <v>0.25</v>
      </c>
      <c r="HV37" s="123">
        <v>0.25</v>
      </c>
      <c r="HW37" s="138"/>
      <c r="HX37" s="138"/>
      <c r="HY37" s="123">
        <v>0.25</v>
      </c>
      <c r="HZ37" s="124">
        <v>0.25</v>
      </c>
      <c r="IA37" s="133">
        <v>0.25</v>
      </c>
      <c r="IB37" s="133">
        <v>0.25</v>
      </c>
      <c r="IC37" s="133">
        <v>0.25</v>
      </c>
      <c r="ID37" s="138"/>
      <c r="IE37" s="138"/>
      <c r="IF37" s="133">
        <v>0.25</v>
      </c>
      <c r="IG37" s="133">
        <v>0.25</v>
      </c>
      <c r="IH37" s="133">
        <v>0.25</v>
      </c>
      <c r="II37" s="133">
        <v>0.25</v>
      </c>
      <c r="IJ37" s="133">
        <v>0.25</v>
      </c>
      <c r="IK37" s="138"/>
      <c r="IL37" s="138"/>
      <c r="IM37" s="133">
        <v>0.25</v>
      </c>
      <c r="IN37" s="133">
        <v>0.25</v>
      </c>
      <c r="IO37" s="133">
        <v>0.25</v>
      </c>
      <c r="IP37" s="133">
        <v>0.25</v>
      </c>
      <c r="IQ37" s="135"/>
      <c r="IR37" s="136"/>
      <c r="IS37" s="136"/>
      <c r="IT37" s="133">
        <v>0.25</v>
      </c>
      <c r="IU37" s="133">
        <v>0.25</v>
      </c>
      <c r="IV37" s="133">
        <v>0.25</v>
      </c>
      <c r="IW37" s="133">
        <v>0.25</v>
      </c>
      <c r="IX37" s="133">
        <v>0.25</v>
      </c>
      <c r="IY37" s="136"/>
      <c r="IZ37" s="136"/>
      <c r="JA37" s="142"/>
      <c r="JB37" s="142"/>
      <c r="JC37" s="142"/>
      <c r="JD37" s="142"/>
      <c r="JE37" s="142"/>
      <c r="JF37" s="136"/>
      <c r="JG37" s="136"/>
      <c r="JH37" s="142"/>
      <c r="JI37" s="142"/>
      <c r="JJ37" s="142"/>
      <c r="JK37" s="142"/>
      <c r="JL37" s="142"/>
      <c r="JM37" s="136"/>
      <c r="JN37" s="136"/>
      <c r="JO37" s="133">
        <v>0.25</v>
      </c>
      <c r="JP37" s="133">
        <v>0.25</v>
      </c>
      <c r="JQ37" s="133">
        <v>0.25</v>
      </c>
      <c r="JR37" s="133">
        <v>0.25</v>
      </c>
      <c r="JS37" s="133">
        <v>0.25</v>
      </c>
      <c r="JT37" s="136"/>
      <c r="JU37" s="136"/>
      <c r="JV37" s="133">
        <v>0.25</v>
      </c>
      <c r="JW37" s="133">
        <v>0.25</v>
      </c>
      <c r="JX37" s="133">
        <v>0.25</v>
      </c>
      <c r="JY37" s="133">
        <v>0.25</v>
      </c>
      <c r="JZ37" s="133">
        <v>0.25</v>
      </c>
      <c r="KA37" s="136"/>
      <c r="KB37" s="136"/>
      <c r="KC37" s="133">
        <v>0.25</v>
      </c>
      <c r="KD37" s="133">
        <v>0.25</v>
      </c>
      <c r="KE37" s="133">
        <v>0.25</v>
      </c>
      <c r="KF37" s="133">
        <v>0.25</v>
      </c>
      <c r="KG37" s="133">
        <v>0.25</v>
      </c>
      <c r="KH37" s="136"/>
      <c r="KI37" s="136"/>
      <c r="KJ37" s="133">
        <v>0.25</v>
      </c>
      <c r="KK37" s="133">
        <v>0.25</v>
      </c>
      <c r="KL37" s="133">
        <v>0.25</v>
      </c>
      <c r="KM37" s="133">
        <v>0.25</v>
      </c>
      <c r="KN37" s="133">
        <v>0.25</v>
      </c>
      <c r="KO37" s="136"/>
      <c r="KP37" s="136"/>
      <c r="KQ37" s="133">
        <v>0.25</v>
      </c>
      <c r="KR37" s="133">
        <v>0.25</v>
      </c>
      <c r="KS37" s="133">
        <v>0.25</v>
      </c>
      <c r="KT37" s="133">
        <v>0.25</v>
      </c>
      <c r="KU37" s="133">
        <v>0.25</v>
      </c>
      <c r="KV37" s="136"/>
      <c r="KW37" s="136"/>
      <c r="KX37" s="133">
        <v>0.25</v>
      </c>
      <c r="KY37" s="133">
        <v>0.25</v>
      </c>
      <c r="KZ37" s="133">
        <v>0.25</v>
      </c>
      <c r="LA37" s="133">
        <v>0.25</v>
      </c>
      <c r="LB37" s="133">
        <v>0.25</v>
      </c>
      <c r="LC37" s="136"/>
      <c r="LD37" s="136"/>
      <c r="LE37" s="133">
        <v>0.25</v>
      </c>
      <c r="LF37" s="133">
        <v>0.25</v>
      </c>
      <c r="LG37" s="133">
        <v>0.25</v>
      </c>
      <c r="LH37" s="133">
        <v>0.25</v>
      </c>
      <c r="LI37" s="133">
        <v>0.25</v>
      </c>
      <c r="LJ37" s="136"/>
      <c r="LK37" s="136"/>
      <c r="LL37" s="133">
        <v>0.25</v>
      </c>
      <c r="LM37" s="133">
        <v>0.25</v>
      </c>
      <c r="LN37" s="133">
        <v>0.25</v>
      </c>
      <c r="LO37" s="133">
        <v>0.25</v>
      </c>
      <c r="LP37" s="133">
        <v>0.25</v>
      </c>
      <c r="LQ37" s="136"/>
      <c r="LR37" s="136"/>
      <c r="LS37" s="133">
        <v>0.25</v>
      </c>
      <c r="LT37" s="133">
        <v>0.25</v>
      </c>
      <c r="LU37" s="133">
        <v>0.25</v>
      </c>
      <c r="LV37" s="133">
        <v>0.25</v>
      </c>
      <c r="LW37" s="133">
        <v>0.25</v>
      </c>
      <c r="LX37" s="136"/>
      <c r="LY37" s="136"/>
      <c r="LZ37" s="133">
        <v>0.25</v>
      </c>
      <c r="MA37" s="133">
        <v>0.25</v>
      </c>
      <c r="MB37" s="133">
        <v>0.25</v>
      </c>
      <c r="MC37" s="144">
        <v>0.25</v>
      </c>
      <c r="MD37" s="144">
        <v>0.25</v>
      </c>
      <c r="ME37" s="145"/>
      <c r="MF37" s="145"/>
      <c r="MG37" s="144">
        <v>0.25</v>
      </c>
      <c r="MH37" s="144">
        <v>0.25</v>
      </c>
      <c r="MI37" s="144">
        <v>0.25</v>
      </c>
      <c r="MJ37" s="144">
        <v>0.25</v>
      </c>
      <c r="MK37" s="144">
        <v>0.25</v>
      </c>
      <c r="ML37" s="145"/>
      <c r="MM37" s="145"/>
      <c r="MN37" s="144">
        <v>0.25</v>
      </c>
      <c r="MO37" s="144">
        <v>0.25</v>
      </c>
      <c r="MP37" s="144">
        <v>0.25</v>
      </c>
      <c r="MQ37" s="144">
        <v>0.25</v>
      </c>
      <c r="MR37" s="144">
        <v>0.25</v>
      </c>
      <c r="MS37" s="145"/>
      <c r="MT37" s="145"/>
      <c r="MU37" s="144">
        <v>0.25</v>
      </c>
      <c r="MV37" s="144">
        <v>0.25</v>
      </c>
      <c r="MW37" s="144">
        <v>0.25</v>
      </c>
      <c r="MX37" s="144">
        <v>0.25</v>
      </c>
      <c r="MY37" s="144">
        <v>0.25</v>
      </c>
      <c r="MZ37" s="145"/>
      <c r="NA37" s="145"/>
      <c r="NB37" s="144">
        <v>0.5</v>
      </c>
      <c r="NC37" s="143">
        <v>0.5</v>
      </c>
      <c r="ND37" s="146"/>
    </row>
    <row r="38" spans="2:368" ht="30" customHeight="1" x14ac:dyDescent="0.3">
      <c r="C38" s="101" t="s">
        <v>51</v>
      </c>
      <c r="D38" s="101"/>
      <c r="E38" s="98">
        <f>SUM(E31:E37)</f>
        <v>65793.75</v>
      </c>
    </row>
    <row r="40" spans="2:368" ht="30" customHeight="1" x14ac:dyDescent="0.3">
      <c r="B40" s="99" t="s">
        <v>56</v>
      </c>
      <c r="E40" s="97">
        <f>628.5*4</f>
        <v>2514</v>
      </c>
    </row>
    <row r="41" spans="2:368" ht="30" customHeight="1" x14ac:dyDescent="0.3">
      <c r="B41" s="99" t="s">
        <v>54</v>
      </c>
      <c r="E41" s="97">
        <f>289*2</f>
        <v>578</v>
      </c>
    </row>
    <row r="42" spans="2:368" ht="30" customHeight="1" x14ac:dyDescent="0.3">
      <c r="B42" s="99" t="s">
        <v>53</v>
      </c>
      <c r="E42" s="97">
        <v>150</v>
      </c>
    </row>
    <row r="43" spans="2:368" ht="30" customHeight="1" x14ac:dyDescent="0.3">
      <c r="B43" s="99" t="s">
        <v>55</v>
      </c>
      <c r="E43" s="97">
        <v>1000</v>
      </c>
    </row>
    <row r="44" spans="2:368" ht="30" customHeight="1" x14ac:dyDescent="0.3">
      <c r="C44" s="101" t="s">
        <v>52</v>
      </c>
      <c r="D44" s="101"/>
      <c r="E44" s="98">
        <f>SUM(E40:E43)</f>
        <v>4242</v>
      </c>
    </row>
    <row r="46" spans="2:368" ht="30" customHeight="1" x14ac:dyDescent="0.35">
      <c r="C46" s="102" t="s">
        <v>57</v>
      </c>
      <c r="D46" s="102"/>
      <c r="E46" s="100">
        <f>SUM(E38,E44)</f>
        <v>70035.75</v>
      </c>
    </row>
  </sheetData>
  <mergeCells count="59">
    <mergeCell ref="MU4:NA4"/>
    <mergeCell ref="NB4:NH4"/>
    <mergeCell ref="LL4:LR4"/>
    <mergeCell ref="LS4:LY4"/>
    <mergeCell ref="LZ4:MF4"/>
    <mergeCell ref="MG4:MM4"/>
    <mergeCell ref="MN4:MT4"/>
    <mergeCell ref="KC4:KI4"/>
    <mergeCell ref="KJ4:KP4"/>
    <mergeCell ref="KQ4:KW4"/>
    <mergeCell ref="KX4:LD4"/>
    <mergeCell ref="LE4:LK4"/>
    <mergeCell ref="IT4:IZ4"/>
    <mergeCell ref="JA4:JG4"/>
    <mergeCell ref="JH4:JN4"/>
    <mergeCell ref="JO4:JU4"/>
    <mergeCell ref="JV4:KB4"/>
    <mergeCell ref="IF4:IL4"/>
    <mergeCell ref="IM4:IS4"/>
    <mergeCell ref="GP4:GV4"/>
    <mergeCell ref="GW4:HC4"/>
    <mergeCell ref="HD4:HJ4"/>
    <mergeCell ref="HK4:HQ4"/>
    <mergeCell ref="HR4:HX4"/>
    <mergeCell ref="HY4:IE4"/>
    <mergeCell ref="FN4:FT4"/>
    <mergeCell ref="FU4:GA4"/>
    <mergeCell ref="GB4:GH4"/>
    <mergeCell ref="GI4:GO4"/>
    <mergeCell ref="EE4:EK4"/>
    <mergeCell ref="EL4:ER4"/>
    <mergeCell ref="ES4:EY4"/>
    <mergeCell ref="EZ4:FF4"/>
    <mergeCell ref="FG4:FM4"/>
    <mergeCell ref="CV4:DB4"/>
    <mergeCell ref="DC4:DI4"/>
    <mergeCell ref="DJ4:DP4"/>
    <mergeCell ref="DQ4:DW4"/>
    <mergeCell ref="DX4:ED4"/>
    <mergeCell ref="BM4:BS4"/>
    <mergeCell ref="BT4:BZ4"/>
    <mergeCell ref="CA4:CG4"/>
    <mergeCell ref="CH4:CN4"/>
    <mergeCell ref="CO4:CU4"/>
    <mergeCell ref="BF4:BL4"/>
    <mergeCell ref="C3:D3"/>
    <mergeCell ref="C4:D4"/>
    <mergeCell ref="AK4:AQ4"/>
    <mergeCell ref="E4:F4"/>
    <mergeCell ref="E3:F3"/>
    <mergeCell ref="I4:O4"/>
    <mergeCell ref="P4:V4"/>
    <mergeCell ref="W4:AC4"/>
    <mergeCell ref="AD4:AJ4"/>
    <mergeCell ref="C38:D38"/>
    <mergeCell ref="C44:D44"/>
    <mergeCell ref="C46:D46"/>
    <mergeCell ref="AR4:AX4"/>
    <mergeCell ref="AY4:BE4"/>
  </mergeCells>
  <conditionalFormatting sqref="D22:D23 D7:D19">
    <cfRule type="dataBar" priority="6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24:D28">
    <cfRule type="dataBar" priority="48">
      <dataBar>
        <cfvo type="num" val="0"/>
        <cfvo type="num" val="1"/>
        <color theme="0" tint="-0.249977111117893"/>
      </dataBar>
      <extLst>
        <ext xmlns:x14="http://schemas.microsoft.com/office/spreadsheetml/2009/9/main" uri="{B025F937-C7B1-47D3-B67F-A62EFF666E3E}">
          <x14:id>{39384190-2606-4909-85F3-BB48EE40B67C}</x14:id>
        </ext>
      </extLst>
    </cfRule>
  </conditionalFormatting>
  <conditionalFormatting sqref="I5:IS7 AB8:IS8 I9:IS12 I13:Z13 HC13:IS13 IA19:IS19 I14:IS16 DX17:IS18 EU20:IS23 DX20:ET28 I17:DW28 DX19:FW19 EU24:HH24 EU25:IS28">
    <cfRule type="expression" dxfId="35" priority="32">
      <formula>AND(TODAY()&gt;=I$5,TODAY()&lt;J$5)</formula>
    </cfRule>
  </conditionalFormatting>
  <conditionalFormatting sqref="I7:IS7 AB8:IS8 I9:IS12 I13:Z13 HC13:IS13 IA19:IS19 I14:IS16 DX17:IS18 EU20:IS23 DX20:ET28 I17:DW28 DX19:FW19 EU24:HH24 EU25:IS28">
    <cfRule type="expression" dxfId="34" priority="30">
      <formula>AND(inizio_attività&lt;=I$5,ROUNDDOWN((fine_attività-inizio_attività+1)*avanzamento_attività,0)+inizio_attività-1&gt;=I$5)</formula>
    </cfRule>
    <cfRule type="expression" dxfId="33" priority="31" stopIfTrue="1">
      <formula>AND(fine_attività&gt;=I$5,inizio_attività&lt;J$5)</formula>
    </cfRule>
  </conditionalFormatting>
  <conditionalFormatting sqref="IT5:IZ6">
    <cfRule type="expression" dxfId="28" priority="29">
      <formula>AND(TODAY()&gt;=IT$5,TODAY()&lt;IU$5)</formula>
    </cfRule>
  </conditionalFormatting>
  <conditionalFormatting sqref="JA5:JG6">
    <cfRule type="expression" dxfId="27" priority="28">
      <formula>AND(TODAY()&gt;=JA$5,TODAY()&lt;JB$5)</formula>
    </cfRule>
  </conditionalFormatting>
  <conditionalFormatting sqref="JH5:JN6">
    <cfRule type="expression" dxfId="26" priority="27">
      <formula>AND(TODAY()&gt;=JH$5,TODAY()&lt;JI$5)</formula>
    </cfRule>
  </conditionalFormatting>
  <conditionalFormatting sqref="JO5:JU6">
    <cfRule type="expression" dxfId="25" priority="26">
      <formula>AND(TODAY()&gt;=JO$5,TODAY()&lt;JP$5)</formula>
    </cfRule>
  </conditionalFormatting>
  <conditionalFormatting sqref="JV5:KB6">
    <cfRule type="expression" dxfId="24" priority="25">
      <formula>AND(TODAY()&gt;=JV$5,TODAY()&lt;JW$5)</formula>
    </cfRule>
  </conditionalFormatting>
  <conditionalFormatting sqref="KC5:KI6">
    <cfRule type="expression" dxfId="23" priority="24">
      <formula>AND(TODAY()&gt;=KC$5,TODAY()&lt;KD$5)</formula>
    </cfRule>
  </conditionalFormatting>
  <conditionalFormatting sqref="KJ5:KP6">
    <cfRule type="expression" dxfId="22" priority="23">
      <formula>AND(TODAY()&gt;=KJ$5,TODAY()&lt;KK$5)</formula>
    </cfRule>
  </conditionalFormatting>
  <conditionalFormatting sqref="KQ5:KW6">
    <cfRule type="expression" dxfId="21" priority="22">
      <formula>AND(TODAY()&gt;=KQ$5,TODAY()&lt;KR$5)</formula>
    </cfRule>
  </conditionalFormatting>
  <conditionalFormatting sqref="KX5:LD6">
    <cfRule type="expression" dxfId="20" priority="21">
      <formula>AND(TODAY()&gt;=KX$5,TODAY()&lt;KY$5)</formula>
    </cfRule>
  </conditionalFormatting>
  <conditionalFormatting sqref="LE5:LK6">
    <cfRule type="expression" dxfId="19" priority="20">
      <formula>AND(TODAY()&gt;=LE$5,TODAY()&lt;LF$5)</formula>
    </cfRule>
  </conditionalFormatting>
  <conditionalFormatting sqref="LL5:LR6">
    <cfRule type="expression" dxfId="18" priority="19">
      <formula>AND(TODAY()&gt;=LL$5,TODAY()&lt;LM$5)</formula>
    </cfRule>
  </conditionalFormatting>
  <conditionalFormatting sqref="LS5:LY6">
    <cfRule type="expression" dxfId="17" priority="18">
      <formula>AND(TODAY()&gt;=LS$5,TODAY()&lt;LT$5)</formula>
    </cfRule>
  </conditionalFormatting>
  <conditionalFormatting sqref="LZ5:MF6">
    <cfRule type="expression" dxfId="16" priority="17">
      <formula>AND(TODAY()&gt;=LZ$5,TODAY()&lt;MA$5)</formula>
    </cfRule>
  </conditionalFormatting>
  <conditionalFormatting sqref="MG5:MM6">
    <cfRule type="expression" dxfId="15" priority="16">
      <formula>AND(TODAY()&gt;=MG$5,TODAY()&lt;MH$5)</formula>
    </cfRule>
  </conditionalFormatting>
  <conditionalFormatting sqref="MN5:MT6">
    <cfRule type="expression" dxfId="14" priority="15">
      <formula>AND(TODAY()&gt;=MN$5,TODAY()&lt;MO$5)</formula>
    </cfRule>
  </conditionalFormatting>
  <conditionalFormatting sqref="IU8:MR23 IU25:MR28">
    <cfRule type="expression" dxfId="13" priority="14">
      <formula>AND(TODAY()&gt;=IU$5,TODAY()&lt;IV$5)</formula>
    </cfRule>
  </conditionalFormatting>
  <conditionalFormatting sqref="IU8:MR23 IU25:MR28">
    <cfRule type="expression" dxfId="12" priority="12">
      <formula>AND(inizio_attività&lt;=IU$5,ROUNDDOWN((fine_attività-inizio_attività+1)*avanzamento_attività,0)+inizio_attività-1&gt;=IU$5)</formula>
    </cfRule>
    <cfRule type="expression" dxfId="11" priority="13" stopIfTrue="1">
      <formula>AND(fine_attività&gt;=IU$5,inizio_attività&lt;IV$5)</formula>
    </cfRule>
  </conditionalFormatting>
  <conditionalFormatting sqref="IT8:IT23 IT25:IT28">
    <cfRule type="expression" dxfId="10" priority="11">
      <formula>AND(TODAY()&gt;=IT$5,TODAY()&lt;IU$5)</formula>
    </cfRule>
  </conditionalFormatting>
  <conditionalFormatting sqref="IT8:IT23 IT25:IT28">
    <cfRule type="expression" dxfId="9" priority="9">
      <formula>AND(inizio_attività&lt;=IT$5,ROUNDDOWN((fine_attività-inizio_attività+1)*avanzamento_attività,0)+inizio_attività-1&gt;=IT$5)</formula>
    </cfRule>
    <cfRule type="expression" dxfId="8" priority="10" stopIfTrue="1">
      <formula>AND(fine_attività&gt;=IT$5,inizio_attività&lt;IU$5)</formula>
    </cfRule>
  </conditionalFormatting>
  <conditionalFormatting sqref="MU5:NA6">
    <cfRule type="expression" dxfId="7" priority="8">
      <formula>AND(TODAY()&gt;=MU$5,TODAY()&lt;MV$5)</formula>
    </cfRule>
  </conditionalFormatting>
  <conditionalFormatting sqref="NB5:NH6">
    <cfRule type="expression" dxfId="6" priority="7">
      <formula>AND(TODAY()&gt;=NB$5,TODAY()&lt;NC$5)</formula>
    </cfRule>
  </conditionalFormatting>
  <conditionalFormatting sqref="MS8:NF23 MS25:NF28 ND24:NF24">
    <cfRule type="expression" dxfId="5" priority="6">
      <formula>AND(TODAY()&gt;=MS$5,TODAY()&lt;MT$5)</formula>
    </cfRule>
  </conditionalFormatting>
  <conditionalFormatting sqref="MS8:NF23 MS25:NF28 ND24:NF24">
    <cfRule type="expression" dxfId="4" priority="4">
      <formula>AND(inizio_attività&lt;=MS$5,ROUNDDOWN((fine_attività-inizio_attività+1)*avanzamento_attività,0)+inizio_attività-1&gt;=MS$5)</formula>
    </cfRule>
    <cfRule type="expression" dxfId="3" priority="5" stopIfTrue="1">
      <formula>AND(fine_attività&gt;=MS$5,inizio_attività&lt;MT$5)</formula>
    </cfRule>
  </conditionalFormatting>
  <conditionalFormatting sqref="NG8:NH28">
    <cfRule type="expression" dxfId="2" priority="3">
      <formula>AND(TODAY()&gt;=NG$5,TODAY()&lt;NH$5)</formula>
    </cfRule>
  </conditionalFormatting>
  <conditionalFormatting sqref="NG8:NH28">
    <cfRule type="expression" dxfId="1" priority="1">
      <formula>AND(inizio_attività&lt;=NG$5,ROUNDDOWN((fine_attività-inizio_attività+1)*avanzamento_attività,0)+inizio_attività-1&gt;=NG$5)</formula>
    </cfRule>
    <cfRule type="expression" dxfId="0" priority="2" stopIfTrue="1">
      <formula>AND(fine_attività&gt;=NG$5,inizio_attività&lt;NH$5)</formula>
    </cfRule>
  </conditionalFormatting>
  <dataValidations disablePrompts="1"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D22:D23 D7:D19</xm:sqref>
        </x14:conditionalFormatting>
        <x14:conditionalFormatting xmlns:xm="http://schemas.microsoft.com/office/excel/2006/main">
          <x14:cfRule type="dataBar" id="{39384190-2606-4909-85F3-BB48EE40B67C}">
            <x14:dataBar minLength="0" maxLength="100" gradient="0">
              <x14:cfvo type="num">
                <xm:f>0</xm:f>
              </x14:cfvo>
              <x14:cfvo type="num">
                <xm:f>1</xm:f>
              </x14:cfvo>
              <x14:negativeFillColor rgb="FFFF0000"/>
              <x14:axisColor rgb="FF000000"/>
            </x14:dataBar>
          </x14:cfRule>
          <xm:sqref>D24:D28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48150f8-85e9-4aeb-ae75-a80aa57084e0" xsi:nil="true"/>
    <lcf76f155ced4ddcb4097134ff3c332f xmlns="5735192e-ec71-40a1-825c-8971dcddf2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A57CFF5DE98A40ACFEE50952031BB2" ma:contentTypeVersion="13" ma:contentTypeDescription="Create a new document." ma:contentTypeScope="" ma:versionID="1b290a6e6252649908d92c5976d5d7e2">
  <xsd:schema xmlns:xsd="http://www.w3.org/2001/XMLSchema" xmlns:xs="http://www.w3.org/2001/XMLSchema" xmlns:p="http://schemas.microsoft.com/office/2006/metadata/properties" xmlns:ns2="5735192e-ec71-40a1-825c-8971dcddf271" xmlns:ns3="848150f8-85e9-4aeb-ae75-a80aa57084e0" targetNamespace="http://schemas.microsoft.com/office/2006/metadata/properties" ma:root="true" ma:fieldsID="58a6a892a146a2221de2f89f384aacde" ns2:_="" ns3:_="">
    <xsd:import namespace="5735192e-ec71-40a1-825c-8971dcddf271"/>
    <xsd:import namespace="848150f8-85e9-4aeb-ae75-a80aa57084e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5192e-ec71-40a1-825c-8971dcddf27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1236525-b976-4609-a1d2-2c06a491e05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8150f8-85e9-4aeb-ae75-a80aa57084e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5362636-606f-46bc-9d50-61b4a37de972}" ma:internalName="TaxCatchAll" ma:showField="CatchAllData" ma:web="848150f8-85e9-4aeb-ae75-a80aa57084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42067bfa-91da-4259-bf33-b8f66a9169e2"/>
  </ds:schemaRefs>
</ds:datastoreItem>
</file>

<file path=customXml/itemProps3.xml><?xml version="1.0" encoding="utf-8"?>
<ds:datastoreItem xmlns:ds="http://schemas.openxmlformats.org/officeDocument/2006/customXml" ds:itemID="{5AE65840-8E77-452E-B380-430E2FCF62A5}"/>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CBS</vt:lpstr>
      <vt:lpstr>CBS!avanzamento_attività</vt:lpstr>
      <vt:lpstr>CBS!fine_attività</vt:lpstr>
      <vt:lpstr>CBS!inizio_attività</vt:lpstr>
      <vt:lpstr>Inizio_progetto</vt:lpstr>
      <vt:lpstr>CBS!Print_Titles</vt:lpstr>
      <vt:lpstr>Visualizza_settimana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2025-04-08T17:37:14Z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0x0101000FA57CFF5DE98A40ACFEE50952031BB2</vt:lpwstr>
  </property>
  <property fmtid="{D5CDD505-2E9C-101B-9397-08002B2CF9AE}" pid="3" name="MediaServiceImageTags">
    <vt:lpwstr/>
  </property>
  <property fmtid="{D5CDD505-2E9C-101B-9397-08002B2CF9AE}" pid="4" name="Order">
    <vt:r8>2200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