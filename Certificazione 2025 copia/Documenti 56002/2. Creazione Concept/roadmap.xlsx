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filterPrivacy="1" codeName="ThisWorkbook"/>
  <xr:revisionPtr revIDLastSave="1" documentId="8_{F941EDCF-01A1-4C5C-A269-EBBAF1624AA2}" xr6:coauthVersionLast="47" xr6:coauthVersionMax="47" xr10:uidLastSave="{A27920AD-E923-4720-9AA0-768DF82D6E13}"/>
  <bookViews>
    <workbookView xWindow="11070" yWindow="2670" windowWidth="24165" windowHeight="15345" xr2:uid="{00000000-000D-0000-FFFF-FFFF00000000}"/>
  </bookViews>
  <sheets>
    <sheet name="PianificazioneProgetto" sheetId="11" r:id="rId1"/>
  </sheets>
  <definedNames>
    <definedName name="avanzamento_attività" localSheetId="0">PianificazioneProgetto!$D1</definedName>
    <definedName name="fine_attività" localSheetId="0">PianificazioneProgetto!$F1</definedName>
    <definedName name="inizio_attività" localSheetId="0">PianificazioneProgetto!$E1</definedName>
    <definedName name="Inizio_progetto">PianificazioneProgetto!$E$3</definedName>
    <definedName name="oggi" localSheetId="0">TODAY()</definedName>
    <definedName name="_xlnm.Print_Titles" localSheetId="0">PianificazioneProgetto!$4:$6</definedName>
    <definedName name="Visualizza_settimana">PianificazioneProgetto!$E$4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Y6" i="11" l="1"/>
  <c r="GX6" i="11"/>
  <c r="GW6" i="11"/>
  <c r="GV6" i="11"/>
  <c r="GU6" i="11"/>
  <c r="GT6" i="11"/>
  <c r="GS6" i="11"/>
  <c r="GR6" i="11"/>
  <c r="GQ6" i="11"/>
  <c r="GP6" i="11"/>
  <c r="GY5" i="11"/>
  <c r="GZ5" i="11" s="1"/>
  <c r="GX5" i="11"/>
  <c r="GW5" i="11"/>
  <c r="GV5" i="11"/>
  <c r="GU5" i="11"/>
  <c r="GT5" i="11"/>
  <c r="GS5" i="11"/>
  <c r="GR5" i="11"/>
  <c r="GQ5" i="11"/>
  <c r="GP5" i="11"/>
  <c r="GW4" i="11"/>
  <c r="GP4" i="11"/>
  <c r="F28" i="11"/>
  <c r="H28" i="11"/>
  <c r="F26" i="11"/>
  <c r="E26" i="11"/>
  <c r="F25" i="11"/>
  <c r="E3" i="11"/>
  <c r="HA5" i="11" l="1"/>
  <c r="GZ6" i="11"/>
  <c r="E10" i="11"/>
  <c r="F10" i="11" s="1"/>
  <c r="E9" i="11"/>
  <c r="H7" i="11"/>
  <c r="HA6" i="11" l="1"/>
  <c r="HB5" i="11"/>
  <c r="F9" i="11"/>
  <c r="H9" i="11" s="1"/>
  <c r="E11" i="11"/>
  <c r="H10" i="11"/>
  <c r="I5" i="11"/>
  <c r="I4" i="11" s="1"/>
  <c r="H19" i="11"/>
  <c r="H13" i="11"/>
  <c r="H8" i="11"/>
  <c r="HB6" i="11" l="1"/>
  <c r="HC5" i="11"/>
  <c r="F11" i="11"/>
  <c r="H11" i="11"/>
  <c r="E12" i="11"/>
  <c r="I6" i="11"/>
  <c r="HD5" i="11" l="1"/>
  <c r="HC6" i="11"/>
  <c r="F12" i="11"/>
  <c r="E14" i="11" s="1"/>
  <c r="J5" i="11"/>
  <c r="HE5" i="11" l="1"/>
  <c r="HD4" i="11"/>
  <c r="HD6" i="11"/>
  <c r="F14" i="11"/>
  <c r="E16" i="11" s="1"/>
  <c r="F16" i="11" s="1"/>
  <c r="H12" i="11"/>
  <c r="K5" i="11"/>
  <c r="HE6" i="11" l="1"/>
  <c r="HF5" i="11"/>
  <c r="E15" i="11"/>
  <c r="H14" i="11"/>
  <c r="L5" i="11"/>
  <c r="HG5" i="11" l="1"/>
  <c r="HF6" i="11"/>
  <c r="F15" i="11"/>
  <c r="M5" i="11"/>
  <c r="HG6" i="11" l="1"/>
  <c r="HH5" i="11"/>
  <c r="E17" i="11"/>
  <c r="E18" i="11"/>
  <c r="F17" i="11"/>
  <c r="H15" i="11"/>
  <c r="N5" i="11"/>
  <c r="HH6" i="11" l="1"/>
  <c r="HI5" i="11"/>
  <c r="F18" i="11"/>
  <c r="H18" i="11"/>
  <c r="H17" i="11"/>
  <c r="E20" i="11"/>
  <c r="F20" i="11" s="1"/>
  <c r="O5" i="11"/>
  <c r="HI6" i="11" l="1"/>
  <c r="HJ5" i="11"/>
  <c r="H20" i="11"/>
  <c r="E25" i="11"/>
  <c r="E23" i="11"/>
  <c r="F23" i="11" s="1"/>
  <c r="E21" i="11"/>
  <c r="F21" i="11" s="1"/>
  <c r="E22" i="11"/>
  <c r="F22" i="11" s="1"/>
  <c r="P5" i="11"/>
  <c r="P6" i="11" s="1"/>
  <c r="O6" i="11"/>
  <c r="N6" i="11"/>
  <c r="M6" i="11"/>
  <c r="L6" i="11"/>
  <c r="K6" i="11"/>
  <c r="J6" i="11"/>
  <c r="HK5" i="11" l="1"/>
  <c r="HJ6" i="11"/>
  <c r="H25" i="11"/>
  <c r="H22" i="11"/>
  <c r="H23" i="11"/>
  <c r="P4" i="11"/>
  <c r="Q5" i="11"/>
  <c r="HK6" i="11" l="1"/>
  <c r="HK4" i="11"/>
  <c r="HL5" i="11"/>
  <c r="E27" i="11"/>
  <c r="F27" i="11" s="1"/>
  <c r="H26" i="11"/>
  <c r="H21" i="11"/>
  <c r="R5" i="11"/>
  <c r="HM5" i="11" l="1"/>
  <c r="HL6" i="11"/>
  <c r="H27" i="11"/>
  <c r="S5" i="11"/>
  <c r="HN5" i="11" l="1"/>
  <c r="HM6" i="11"/>
  <c r="T5" i="11"/>
  <c r="HO5" i="11" l="1"/>
  <c r="HN6" i="11"/>
  <c r="U5" i="11"/>
  <c r="HP5" i="11" l="1"/>
  <c r="HO6" i="11"/>
  <c r="E28" i="11"/>
  <c r="V5" i="11"/>
  <c r="HQ5" i="11" l="1"/>
  <c r="HP6" i="11"/>
  <c r="W5" i="11"/>
  <c r="W6" i="11" s="1"/>
  <c r="V6" i="11"/>
  <c r="U6" i="11"/>
  <c r="T6" i="11"/>
  <c r="S6" i="11"/>
  <c r="R6" i="11"/>
  <c r="Q6" i="11"/>
  <c r="H16" i="11"/>
  <c r="HR5" i="11" l="1"/>
  <c r="HQ6" i="11"/>
  <c r="X5" i="11"/>
  <c r="Y5" i="11" s="1"/>
  <c r="W4" i="11"/>
  <c r="HR6" i="11" l="1"/>
  <c r="HS5" i="11"/>
  <c r="HR4" i="11"/>
  <c r="Z5" i="11"/>
  <c r="HS6" i="11" l="1"/>
  <c r="HT5" i="11"/>
  <c r="AA5" i="11"/>
  <c r="HU5" i="11" l="1"/>
  <c r="HT6" i="11"/>
  <c r="AB5" i="11"/>
  <c r="HU6" i="11" l="1"/>
  <c r="HV5" i="11"/>
  <c r="AC5" i="11"/>
  <c r="HW5" i="11" l="1"/>
  <c r="HV6" i="11"/>
  <c r="AD5" i="11"/>
  <c r="AD6" i="11" s="1"/>
  <c r="AC6" i="11"/>
  <c r="AB6" i="11"/>
  <c r="AA6" i="11"/>
  <c r="Z6" i="11"/>
  <c r="Y6" i="11"/>
  <c r="X6" i="11"/>
  <c r="HX5" i="11" l="1"/>
  <c r="HW6" i="11"/>
  <c r="AE5" i="11"/>
  <c r="AF5" i="11" s="1"/>
  <c r="HY5" i="11" l="1"/>
  <c r="HX6" i="11"/>
  <c r="AG5" i="11"/>
  <c r="HZ5" i="11" l="1"/>
  <c r="HY4" i="11"/>
  <c r="HY6" i="11"/>
  <c r="AH5" i="11"/>
  <c r="HZ6" i="11" l="1"/>
  <c r="IA5" i="11"/>
  <c r="AI5" i="11"/>
  <c r="IB5" i="11" l="1"/>
  <c r="IA6" i="11"/>
  <c r="AJ5" i="11"/>
  <c r="AJ6" i="11" s="1"/>
  <c r="AI6" i="11"/>
  <c r="AH6" i="11"/>
  <c r="AG6" i="11"/>
  <c r="AF6" i="11"/>
  <c r="AE6" i="11"/>
  <c r="AD4" i="11"/>
  <c r="IC5" i="11" l="1"/>
  <c r="IB6" i="11"/>
  <c r="AK5" i="11"/>
  <c r="ID5" i="11" l="1"/>
  <c r="IC6" i="11"/>
  <c r="AK4" i="11"/>
  <c r="AK6" i="11"/>
  <c r="AL5" i="11"/>
  <c r="ID6" i="11" l="1"/>
  <c r="IE5" i="11"/>
  <c r="AM5" i="11"/>
  <c r="IF5" i="11" l="1"/>
  <c r="IE6" i="11"/>
  <c r="AN5" i="11"/>
  <c r="IF6" i="11" l="1"/>
  <c r="IF4" i="11"/>
  <c r="IG5" i="11"/>
  <c r="AO5" i="11"/>
  <c r="IG6" i="11" l="1"/>
  <c r="IH5" i="11"/>
  <c r="AP5" i="11"/>
  <c r="IH6" i="11" l="1"/>
  <c r="II5" i="11"/>
  <c r="AQ5" i="11"/>
  <c r="AP6" i="11"/>
  <c r="AO6" i="11"/>
  <c r="AN6" i="11"/>
  <c r="AM6" i="11"/>
  <c r="AL6" i="11"/>
  <c r="II6" i="11" l="1"/>
  <c r="IJ5" i="11"/>
  <c r="AQ6" i="11"/>
  <c r="AR5" i="11"/>
  <c r="IK5" i="11" l="1"/>
  <c r="IJ6" i="11"/>
  <c r="AS5" i="11"/>
  <c r="AR6" i="11"/>
  <c r="AR4" i="11"/>
  <c r="IK6" i="11" l="1"/>
  <c r="IL5" i="11"/>
  <c r="AS6" i="11"/>
  <c r="AT5" i="11"/>
  <c r="IL6" i="11" l="1"/>
  <c r="IM5" i="11"/>
  <c r="AT6" i="11"/>
  <c r="AU5" i="11"/>
  <c r="IM4" i="11" l="1"/>
  <c r="IM6" i="11"/>
  <c r="IN5" i="11"/>
  <c r="AU6" i="11"/>
  <c r="AV5" i="11"/>
  <c r="IO5" i="11" l="1"/>
  <c r="IN6" i="11"/>
  <c r="AV6" i="11"/>
  <c r="AW5" i="11"/>
  <c r="AX5" i="11" s="1"/>
  <c r="IO6" i="11" l="1"/>
  <c r="IP5" i="11"/>
  <c r="AW6" i="11"/>
  <c r="IP6" i="11" l="1"/>
  <c r="IQ5" i="11"/>
  <c r="AX6" i="11"/>
  <c r="AY5" i="11"/>
  <c r="AY4" i="11" s="1"/>
  <c r="IR5" i="11" l="1"/>
  <c r="IQ6" i="11"/>
  <c r="AZ5" i="11"/>
  <c r="AY6" i="11"/>
  <c r="IR6" i="11" l="1"/>
  <c r="IS5" i="11"/>
  <c r="IS6" i="11" s="1"/>
  <c r="AZ6" i="11"/>
  <c r="BA5" i="11"/>
  <c r="BA6" i="11" l="1"/>
  <c r="BB5" i="11"/>
  <c r="BB6" i="11" l="1"/>
  <c r="BC5" i="11"/>
  <c r="BD5" i="11" l="1"/>
  <c r="BC6" i="11"/>
  <c r="BD6" i="11" l="1"/>
  <c r="BE5" i="11"/>
  <c r="BE6" i="11" l="1"/>
  <c r="BF5" i="11"/>
  <c r="BF4" i="11" s="1"/>
  <c r="BG5" i="11" l="1"/>
  <c r="BF6" i="11"/>
  <c r="BG6" i="11" l="1"/>
  <c r="BH5" i="11"/>
  <c r="BH6" i="11" l="1"/>
  <c r="BI5" i="11"/>
  <c r="BI6" i="11" l="1"/>
  <c r="BJ5" i="11"/>
  <c r="BK5" i="11" l="1"/>
  <c r="BJ6" i="11"/>
  <c r="BK6" i="11" l="1"/>
  <c r="BL5" i="11"/>
  <c r="BL6" i="11" l="1"/>
  <c r="BM5" i="11"/>
  <c r="BN5" i="11" l="1"/>
  <c r="BM4" i="11"/>
  <c r="BM6" i="11"/>
  <c r="BN6" i="11" l="1"/>
  <c r="BO5" i="11"/>
  <c r="BP5" i="11" l="1"/>
  <c r="BO6" i="11"/>
  <c r="BP6" i="11" l="1"/>
  <c r="BQ5" i="11"/>
  <c r="BR5" i="11" l="1"/>
  <c r="BQ6" i="11"/>
  <c r="BR6" i="11" l="1"/>
  <c r="BS5" i="11"/>
  <c r="BT5" i="11" l="1"/>
  <c r="BS6" i="11"/>
  <c r="BU5" i="11" l="1"/>
  <c r="BT6" i="11"/>
  <c r="BT4" i="11"/>
  <c r="BU6" i="11" l="1"/>
  <c r="BV5" i="11"/>
  <c r="BV6" i="11" l="1"/>
  <c r="BW5" i="11"/>
  <c r="BW6" i="11" l="1"/>
  <c r="BX5" i="11"/>
  <c r="BX6" i="11" l="1"/>
  <c r="BY5" i="11"/>
  <c r="BY6" i="11" l="1"/>
  <c r="BZ5" i="11"/>
  <c r="CA5" i="11" l="1"/>
  <c r="BZ6" i="11"/>
  <c r="CA6" i="11" l="1"/>
  <c r="CB5" i="11"/>
  <c r="CA4" i="11"/>
  <c r="CB6" i="11" l="1"/>
  <c r="CC5" i="11"/>
  <c r="CD5" i="11" l="1"/>
  <c r="CC6" i="11"/>
  <c r="CD6" i="11" l="1"/>
  <c r="CE5" i="11"/>
  <c r="CF5" i="11" l="1"/>
  <c r="CE6" i="11"/>
  <c r="CG5" i="11" l="1"/>
  <c r="CF6" i="11"/>
  <c r="CG6" i="11" l="1"/>
  <c r="CH5" i="11"/>
  <c r="CH6" i="11" l="1"/>
  <c r="CI5" i="11"/>
  <c r="CH4" i="11"/>
  <c r="CI6" i="11" l="1"/>
  <c r="CJ5" i="11"/>
  <c r="CJ6" i="11" l="1"/>
  <c r="CK5" i="11"/>
  <c r="CL5" i="11" l="1"/>
  <c r="CK6" i="11"/>
  <c r="CM5" i="11" l="1"/>
  <c r="CL6" i="11"/>
  <c r="CM6" i="11" l="1"/>
  <c r="CN5" i="11"/>
  <c r="CN6" i="11" l="1"/>
  <c r="CO5" i="11"/>
  <c r="CP5" i="11" l="1"/>
  <c r="CO4" i="11"/>
  <c r="CO6" i="11"/>
  <c r="CQ5" i="11" l="1"/>
  <c r="CP6" i="11"/>
  <c r="CQ6" i="11" l="1"/>
  <c r="CR5" i="11"/>
  <c r="CS5" i="11" l="1"/>
  <c r="CR6" i="11"/>
  <c r="CS6" i="11" l="1"/>
  <c r="CT5" i="11"/>
  <c r="CU5" i="11" l="1"/>
  <c r="CT6" i="11"/>
  <c r="CU6" i="11" l="1"/>
  <c r="CV5" i="11"/>
  <c r="CV6" i="11" l="1"/>
  <c r="CW5" i="11"/>
  <c r="CV4" i="11"/>
  <c r="CX5" i="11" l="1"/>
  <c r="CW6" i="11"/>
  <c r="CY5" i="11" l="1"/>
  <c r="CX6" i="11"/>
  <c r="CY6" i="11" l="1"/>
  <c r="CZ5" i="11"/>
  <c r="DA5" i="11" l="1"/>
  <c r="CZ6" i="11"/>
  <c r="DA6" i="11" l="1"/>
  <c r="DB5" i="11"/>
  <c r="DB6" i="11" l="1"/>
  <c r="DC5" i="11"/>
  <c r="DD5" i="11" l="1"/>
  <c r="DC6" i="11"/>
  <c r="DC4" i="11"/>
  <c r="DD6" i="11" l="1"/>
  <c r="DE5" i="11"/>
  <c r="DF5" i="11" l="1"/>
  <c r="DE6" i="11"/>
  <c r="DG5" i="11" l="1"/>
  <c r="DF6" i="11"/>
  <c r="DG6" i="11" l="1"/>
  <c r="DH5" i="11"/>
  <c r="DH6" i="11" l="1"/>
  <c r="DI5" i="11"/>
  <c r="DJ5" i="11" l="1"/>
  <c r="DI6" i="11"/>
  <c r="DK5" i="11" l="1"/>
  <c r="DJ4" i="11"/>
  <c r="DJ6" i="11"/>
  <c r="DL5" i="11" l="1"/>
  <c r="DK6" i="11"/>
  <c r="DM5" i="11" l="1"/>
  <c r="DL6" i="11"/>
  <c r="DN5" i="11" l="1"/>
  <c r="DM6" i="11"/>
  <c r="DO5" i="11" l="1"/>
  <c r="DN6" i="11"/>
  <c r="DP5" i="11" l="1"/>
  <c r="DO6" i="11"/>
  <c r="DP6" i="11" l="1"/>
  <c r="DQ5" i="11"/>
  <c r="DQ4" i="11" l="1"/>
  <c r="DQ6" i="11"/>
  <c r="DR5" i="11"/>
  <c r="DR6" i="11" l="1"/>
  <c r="DS5" i="11"/>
  <c r="DS6" i="11" l="1"/>
  <c r="DT5" i="11"/>
  <c r="DT6" i="11" l="1"/>
  <c r="DU5" i="11"/>
  <c r="DV5" i="11" l="1"/>
  <c r="DU6" i="11"/>
  <c r="DW5" i="11" l="1"/>
  <c r="DV6" i="11"/>
  <c r="DX5" i="11" l="1"/>
  <c r="DW6" i="11"/>
  <c r="DY5" i="11" l="1"/>
  <c r="DX4" i="11"/>
  <c r="DX6" i="11"/>
  <c r="DZ5" i="11" l="1"/>
  <c r="DY6" i="11"/>
  <c r="EA5" i="11" l="1"/>
  <c r="DZ6" i="11"/>
  <c r="EB5" i="11" l="1"/>
  <c r="EA6" i="11"/>
  <c r="EB6" i="11" l="1"/>
  <c r="EC5" i="11"/>
  <c r="ED5" i="11" l="1"/>
  <c r="EC6" i="11"/>
  <c r="ED6" i="11" l="1"/>
  <c r="EE5" i="11"/>
  <c r="EF5" i="11" l="1"/>
  <c r="EE6" i="11"/>
  <c r="EE4" i="11"/>
  <c r="EF6" i="11" l="1"/>
  <c r="EG5" i="11"/>
  <c r="EH5" i="11" l="1"/>
  <c r="EG6" i="11"/>
  <c r="EI5" i="11" l="1"/>
  <c r="EH6" i="11"/>
  <c r="EJ5" i="11" l="1"/>
  <c r="EI6" i="11"/>
  <c r="EJ6" i="11" l="1"/>
  <c r="EK5" i="11"/>
  <c r="EK6" i="11" l="1"/>
  <c r="EL5" i="11"/>
  <c r="EL4" i="11" l="1"/>
  <c r="EM5" i="11"/>
  <c r="EL6" i="11"/>
  <c r="EN5" i="11" l="1"/>
  <c r="EM6" i="11"/>
  <c r="EO5" i="11" l="1"/>
  <c r="EN6" i="11"/>
  <c r="EO6" i="11" l="1"/>
  <c r="EP5" i="11"/>
  <c r="EP6" i="11" l="1"/>
  <c r="EQ5" i="11"/>
  <c r="EQ6" i="11" l="1"/>
  <c r="ER5" i="11"/>
  <c r="ES5" i="11" s="1"/>
  <c r="ET5" i="11" l="1"/>
  <c r="ES6" i="11"/>
  <c r="ES4" i="11"/>
  <c r="ER6" i="11"/>
  <c r="ET6" i="11" l="1"/>
  <c r="EU5" i="11"/>
  <c r="EU6" i="11" l="1"/>
  <c r="EV5" i="11"/>
  <c r="EV6" i="11" l="1"/>
  <c r="EW5" i="11"/>
  <c r="EW6" i="11" l="1"/>
  <c r="EX5" i="11"/>
  <c r="EX6" i="11" l="1"/>
  <c r="EY5" i="11"/>
  <c r="EZ5" i="11" l="1"/>
  <c r="EY6" i="11"/>
  <c r="EZ6" i="11" l="1"/>
  <c r="EZ4" i="11"/>
  <c r="FA5" i="11"/>
  <c r="FA6" i="11" l="1"/>
  <c r="FB5" i="11"/>
  <c r="FC5" i="11" l="1"/>
  <c r="FB6" i="11"/>
  <c r="FD5" i="11" l="1"/>
  <c r="FC6" i="11"/>
  <c r="FD6" i="11" l="1"/>
  <c r="FE5" i="11"/>
  <c r="FE6" i="11" l="1"/>
  <c r="FF5" i="11"/>
  <c r="FG5" i="11" l="1"/>
  <c r="FF6" i="11"/>
  <c r="FG6" i="11" l="1"/>
  <c r="FH5" i="11"/>
  <c r="FG4" i="11"/>
  <c r="FH6" i="11" l="1"/>
  <c r="FI5" i="11"/>
  <c r="FI6" i="11" l="1"/>
  <c r="FJ5" i="11"/>
  <c r="FJ6" i="11" l="1"/>
  <c r="FK5" i="11"/>
  <c r="FL5" i="11" l="1"/>
  <c r="FK6" i="11"/>
  <c r="FL6" i="11" l="1"/>
  <c r="FM5" i="11"/>
  <c r="FN5" i="11" l="1"/>
  <c r="FM6" i="11"/>
  <c r="FN4" i="11" l="1"/>
  <c r="FN6" i="11"/>
  <c r="FO5" i="11"/>
  <c r="FO6" i="11" l="1"/>
  <c r="FP5" i="11"/>
  <c r="FP6" i="11" l="1"/>
  <c r="FQ5" i="11"/>
  <c r="FQ6" i="11" l="1"/>
  <c r="FR5" i="11"/>
  <c r="FR6" i="11" l="1"/>
  <c r="FS5" i="11"/>
  <c r="FS6" i="11" l="1"/>
  <c r="FT5" i="11"/>
  <c r="FU5" i="11" l="1"/>
  <c r="FT6" i="11"/>
  <c r="FU6" i="11" l="1"/>
  <c r="FU4" i="11"/>
  <c r="FV5" i="11"/>
  <c r="FW5" i="11" l="1"/>
  <c r="FV6" i="11"/>
  <c r="FW6" i="11" l="1"/>
  <c r="FX5" i="11"/>
  <c r="FY5" i="11" l="1"/>
  <c r="FX6" i="11"/>
  <c r="FY6" i="11" l="1"/>
  <c r="FZ5" i="11"/>
  <c r="FZ6" i="11" l="1"/>
  <c r="GA5" i="11"/>
  <c r="GB5" i="11" l="1"/>
  <c r="GA6" i="11"/>
  <c r="GB6" i="11" l="1"/>
  <c r="GC5" i="11"/>
  <c r="GB4" i="11"/>
  <c r="GC6" i="11" l="1"/>
  <c r="GD5" i="11"/>
  <c r="GE5" i="11" l="1"/>
  <c r="GD6" i="11"/>
  <c r="GE6" i="11" l="1"/>
  <c r="GF5" i="11"/>
  <c r="GG5" i="11" l="1"/>
  <c r="GF6" i="11"/>
  <c r="GG6" i="11" l="1"/>
  <c r="GH5" i="11"/>
  <c r="GI5" i="11" l="1"/>
  <c r="GH6" i="11"/>
  <c r="GI4" i="11" l="1"/>
  <c r="GJ5" i="11"/>
  <c r="GI6" i="11"/>
  <c r="GK5" i="11" l="1"/>
  <c r="GJ6" i="11"/>
  <c r="GL5" i="11" l="1"/>
  <c r="GK6" i="11"/>
  <c r="GM5" i="11" l="1"/>
  <c r="GL6" i="11"/>
  <c r="GN5" i="11" l="1"/>
  <c r="GM6" i="11"/>
  <c r="GN6" i="11" l="1"/>
  <c r="GO5" i="11"/>
  <c r="GO6" i="11" s="1"/>
</calcChain>
</file>

<file path=xl/sharedStrings.xml><?xml version="1.0" encoding="utf-8"?>
<sst xmlns="http://schemas.openxmlformats.org/spreadsheetml/2006/main" count="42" uniqueCount="42">
  <si>
    <t>Come creare la pianificazione di un progetto in questo foglio di lavoro.
Immettere il titolo del progetto nella cella B1. 
Le informazioni su come usare questo foglio di lavoro, con istruzioni per le utilità per la lettura dello schermo e l'autore della cartella di lavoro, si trovano nel foglio di lavoro Informazioni.
Continuare a spostarsi verso il basso nella colonna A per ascoltare altre istruzioni.</t>
  </si>
  <si>
    <t>ISAAC</t>
  </si>
  <si>
    <t>Immettere il nome della società nella cella B2.</t>
  </si>
  <si>
    <t>Teleconsys S.p.A.</t>
  </si>
  <si>
    <t>Immettere il nome del Responsabile di progetto nella cella B3. Immettere la data di inizio del progetto nella cella E3. Inizio progetto: l’etichetta si trova nella cella C3.</t>
  </si>
  <si>
    <t>Inizio progetto:</t>
  </si>
  <si>
    <t>Visualizzazione settimana nella cella E4 rappresenta la settimana iniziale da visualizzare nella pianificazione del progetto nella cella I4. La data di inizio del progetto è la Settimana 1. Per cambiare la visualizzazione della settimana, è sufficiente immettere un diverso numero di settimana nella cella E4.
La data di inizio di ogni settimana, a partire dalla settimana indicata nella cella E4, inizia nella cella I4 e viene calcolata automaticamente. Sono disponibili 8 settimane in questa visualizzazione: dalla cella I4 alla cella BF4.
Queste celle non si dovrebbero modificare.
L'etichetta Visualizza settimana: si trova nella cella C4.</t>
  </si>
  <si>
    <t>Le celle da I5 a BL5 contengono il numero dei giorni delle settimane rappresentate nei blocchi superiori e vengono calcolati automaticamente.
Queste celle non si dovrebbero modificare.
La data corrente viene indicata in rosso (esadecimale AD3815) a partire dalla data odierna nella riga 5 per l’intera colonna di date fino alla fine della pianificazione del progetto.</t>
  </si>
  <si>
    <t>Questa riga contiene le intestazioni per la pianificazione di progetto che segue. 
Spostarsi da B6 a BL 6 per ascoltare il contenuto. La prima lettera di ogni giorno della settimana indicata nell’intestazione, inizia nella cella I6 e continua fino alla cella BL6.
I grafici con la sequenza temporale di progetto vengono generati automaticamente in base alle date di inizio e di fine immesse, usando i formati condizionali.
Non modificare il contenuto delle celle delle colonne dopo la colonna I a partire dalla cella I7.</t>
  </si>
  <si>
    <t>ATTIVITÀ</t>
  </si>
  <si>
    <t>INIZIO</t>
  </si>
  <si>
    <t>FINE</t>
  </si>
  <si>
    <t>GIORNI</t>
  </si>
  <si>
    <t xml:space="preserve">Non eliminare questa riga. Questa riga è nascosta per proteggere una formula usata per evidenziare il giorno corrente all’interno della pianificazione di progetto. </t>
  </si>
  <si>
    <t>La cella B8 contiene il titolo di esempio della Fase 1. 
Immettere un nuovo titolo nella cella B8.
Immettere il nome della persona a cui assegnare la fase nella cella C8, se pertinente al progetto.
Immettere lo stato di avanzamento per l’intera fase nella cella D8, se pertinente al progetto.
Immettere la data di inizio e di fine dell’intera fase nelle celle E8 e F8, se pertinente al progetto. 
Il diagramma di Gantt immetterà automaticamente le date appropriate e applicherà l'ombreggiatura a seconda dello stato.
Per eliminare la fase e utilizzare solo le attività, è sufficiente eliminare la riga corrente.</t>
  </si>
  <si>
    <t xml:space="preserve">Identificazione esigenze e requisti funzionali </t>
  </si>
  <si>
    <t xml:space="preserve">La cella B9 contiene l'attività di esempio "Attività 1". 
Immettere un nuovo nome per l’attività nella cella B9.
Immettere il nome della persona a cui assegnare l'attività nella cella C9.
Immettere lo stato di avanzamento dell'attività nella cella D9. Una barra di stato viene visualizzata nella cella ed è ombreggiata in base allo stato di avanzamento. Ad esempio, lo stato di avanzamento pari al 50% applicherà l'ombreggiatura a metà della cella.
Immettere la data di inizio dell’attività nella cella E9.
Immettere la data di fine dell’attività nella cella F9.
Viene visualizzata una barra di stato ombreggiata in blocchi per le date immesse, a partire dalla cella I9 fino alla BL9. </t>
  </si>
  <si>
    <t>Analisi delle normative</t>
  </si>
  <si>
    <t>Dalla riga 10 alla 13 è ripetuto lo schema della riga 9. 
Ripetere le istruzioni della cella A9 per tutte le righe di attività nel foglio di lavoro. Sovrascrivere i dati di esempio.
L’esempio di un'altra fase inizia nella cella A14. 
Continuare a immettere le attività nelle celle da A10 a A13 o passare alla cella A14 per altre informazioni.</t>
  </si>
  <si>
    <t>Definizione degli scenari di utilizzo</t>
  </si>
  <si>
    <t>Validazione dei requisiti con gli stakeholder</t>
  </si>
  <si>
    <t>Identificazione risorse HW</t>
  </si>
  <si>
    <t>La cella a destra contiene il titolo di esempio della Fase 2. 
È possibile creare una nuova fase in qualsiasi momento nella colonna B. Questa pianificazione di progetto non richiede fasi. Per rimuovere la fase, è sufficiente eliminare la riga.
Per creare un blocco di fase in questa riga, immettere un nuovo titolo nella cella a destra.
Per continuare ad aggiungere attività alla fase precedente, immettere una nuova riga sopra a questa e inserire i dati delle attività seguendo le istruzioni della cella A9.
Aggiornare i dettagli della fase nella cella a destra sulla base delle istruzioni della cella A8.
Spostarsi verso il basso nelle celle della colonna A per altre informazioni.
Se non sono state aggiunte nuove righe al foglio di lavoro, sono disponibili 2 ulteriori blocchi di esempio nelle celle B20 e B26. In caso contrario, spostarsi lungo le celle della colonna A per ulteriori blocchi. 
Ripetere le istruzioni delle celle A8 e A9 se necessario.</t>
  </si>
  <si>
    <t>Ricerca, Sviluppo e Implementazione</t>
  </si>
  <si>
    <t>Studio stato dell'arte modelli AI</t>
  </si>
  <si>
    <t>Addestramento modelli AI</t>
  </si>
  <si>
    <t>Scelta e configurazione HW</t>
  </si>
  <si>
    <t>Integrazione servizio AI/HW</t>
  </si>
  <si>
    <t>Realizzazione user interface</t>
  </si>
  <si>
    <t>Esempio di blocco con titolo di fase</t>
  </si>
  <si>
    <t>Configurazione modello AI</t>
  </si>
  <si>
    <t xml:space="preserve">      Realizzazione testbed in ambiente operativo</t>
  </si>
  <si>
    <t xml:space="preserve">      Verifica prestazioni modello</t>
  </si>
  <si>
    <t xml:space="preserve">      Verifica conformità requisiti di sicurezza</t>
  </si>
  <si>
    <t>Azioni correttive</t>
  </si>
  <si>
    <t>Deployment</t>
  </si>
  <si>
    <t>Adattemento sistema a flussi esistenti</t>
  </si>
  <si>
    <t>Formazione personale</t>
  </si>
  <si>
    <t>Questa è una riga vuota</t>
  </si>
  <si>
    <t>Attivazione e monitoraggio sistema in "test"</t>
  </si>
  <si>
    <t>Messa in produzione controllata</t>
  </si>
  <si>
    <t>Questa riga indica la fine della Pianificazione del progetto. NON immettere dati in questa riga. 
È possibile inserire nuove righe SOPRA per continuare a costruire la pianificazione del progetto.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</si>
</sst>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 mmm\ yyyy"/>
    <numFmt numFmtId="169" formatCode="d"/>
  </numFmts>
  <fonts count="29">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1"/>
      <name val="Calibri"/>
      <family val="2"/>
      <scheme val="minor"/>
    </font>
    <font>
      <b/>
      <sz val="11"/>
      <color theme="1"/>
      <name val="Calibri"/>
      <family val="2"/>
      <scheme val="minor"/>
    </font>
    <font>
      <b/>
      <sz val="9"/>
      <color theme="0"/>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4">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9" tint="0.39997558519241921"/>
        <bgColor indexed="64"/>
      </patternFill>
    </fill>
  </fills>
  <borders count="20">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tint="-0.14993743705557422"/>
      </right>
      <top style="medium">
        <color theme="0" tint="-0.14996795556505021"/>
      </top>
      <bottom style="medium">
        <color theme="0" tint="-0.14996795556505021"/>
      </bottom>
      <diagonal/>
    </border>
    <border>
      <left style="thin">
        <color theme="0" tint="-0.14993743705557422"/>
      </left>
      <right style="thin">
        <color theme="0" tint="-0.14993743705557422"/>
      </right>
      <top style="medium">
        <color theme="0" tint="-0.14996795556505021"/>
      </top>
      <bottom/>
      <diagonal/>
    </border>
    <border>
      <left style="thin">
        <color theme="0" tint="-0.14993743705557422"/>
      </left>
      <right style="thin">
        <color theme="0" tint="-0.14993743705557422"/>
      </right>
      <top/>
      <bottom style="medium">
        <color theme="0" tint="-0.14996795556505021"/>
      </bottom>
      <diagonal/>
    </border>
  </borders>
  <cellStyleXfs count="54">
    <xf numFmtId="0" fontId="0" fillId="0" borderId="0"/>
    <xf numFmtId="0" fontId="3" fillId="0" borderId="0" applyNumberFormat="0" applyFill="0" applyBorder="0" applyAlignment="0" applyProtection="0">
      <alignment vertical="top"/>
      <protection locked="0"/>
    </xf>
    <xf numFmtId="9" fontId="7" fillId="0" borderId="0" applyFont="0" applyFill="0" applyBorder="0" applyAlignment="0" applyProtection="0"/>
    <xf numFmtId="0" fontId="14" fillId="0" borderId="0"/>
    <xf numFmtId="165" fontId="7" fillId="0" borderId="3" applyFont="0" applyFill="0" applyAlignment="0" applyProtection="0"/>
    <xf numFmtId="0" fontId="11" fillId="0" borderId="0" applyNumberFormat="0" applyFill="0" applyBorder="0" applyAlignment="0" applyProtection="0"/>
    <xf numFmtId="0" fontId="8" fillId="0" borderId="0" applyNumberFormat="0" applyFill="0" applyAlignment="0" applyProtection="0"/>
    <xf numFmtId="0" fontId="8" fillId="0" borderId="0" applyNumberFormat="0" applyFill="0" applyProtection="0">
      <alignment vertical="top"/>
    </xf>
    <xf numFmtId="0" fontId="7" fillId="0" borderId="0" applyNumberFormat="0" applyFill="0" applyProtection="0">
      <alignment horizontal="right" indent="1"/>
    </xf>
    <xf numFmtId="167" fontId="7" fillId="0" borderId="3">
      <alignment horizontal="center" vertical="center"/>
    </xf>
    <xf numFmtId="166" fontId="7" fillId="0" borderId="2" applyFill="0">
      <alignment horizontal="center" vertical="center"/>
    </xf>
    <xf numFmtId="0" fontId="7" fillId="0" borderId="2" applyFill="0">
      <alignment horizontal="center" vertical="center"/>
    </xf>
    <xf numFmtId="0" fontId="7" fillId="0" borderId="2" applyFill="0">
      <alignment horizontal="left" vertical="center" indent="2"/>
    </xf>
    <xf numFmtId="0" fontId="17" fillId="0" borderId="0" applyNumberFormat="0" applyFill="0" applyBorder="0" applyAlignment="0" applyProtection="0"/>
    <xf numFmtId="164" fontId="7" fillId="0" borderId="0" applyFont="0" applyFill="0" applyBorder="0" applyAlignment="0" applyProtection="0"/>
    <xf numFmtId="44" fontId="7" fillId="0" borderId="0" applyFont="0" applyFill="0" applyBorder="0" applyAlignment="0" applyProtection="0"/>
    <xf numFmtId="42" fontId="7" fillId="0" borderId="0" applyFont="0" applyFill="0" applyBorder="0" applyAlignment="0" applyProtection="0"/>
    <xf numFmtId="0" fontId="18" fillId="0" borderId="0" applyNumberFormat="0" applyFill="0" applyBorder="0" applyAlignment="0" applyProtection="0"/>
    <xf numFmtId="0" fontId="19" fillId="11" borderId="0" applyNumberFormat="0" applyBorder="0" applyAlignment="0" applyProtection="0"/>
    <xf numFmtId="0" fontId="20" fillId="12" borderId="0" applyNumberFormat="0" applyBorder="0" applyAlignment="0" applyProtection="0"/>
    <xf numFmtId="0" fontId="21" fillId="13" borderId="0" applyNumberFormat="0" applyBorder="0" applyAlignment="0" applyProtection="0"/>
    <xf numFmtId="0" fontId="22" fillId="14" borderId="11" applyNumberFormat="0" applyAlignment="0" applyProtection="0"/>
    <xf numFmtId="0" fontId="23" fillId="15" borderId="12" applyNumberFormat="0" applyAlignment="0" applyProtection="0"/>
    <xf numFmtId="0" fontId="24" fillId="15" borderId="11" applyNumberFormat="0" applyAlignment="0" applyProtection="0"/>
    <xf numFmtId="0" fontId="25" fillId="0" borderId="13" applyNumberFormat="0" applyFill="0" applyAlignment="0" applyProtection="0"/>
    <xf numFmtId="0" fontId="26" fillId="16" borderId="14" applyNumberFormat="0" applyAlignment="0" applyProtection="0"/>
    <xf numFmtId="0" fontId="27" fillId="0" borderId="0" applyNumberFormat="0" applyFill="0" applyBorder="0" applyAlignment="0" applyProtection="0"/>
    <xf numFmtId="0" fontId="7" fillId="17" borderId="15" applyNumberFormat="0" applyFont="0" applyAlignment="0" applyProtection="0"/>
    <xf numFmtId="0" fontId="28" fillId="0" borderId="0" applyNumberFormat="0" applyFill="0" applyBorder="0" applyAlignment="0" applyProtection="0"/>
    <xf numFmtId="0" fontId="5" fillId="0" borderId="16" applyNumberFormat="0" applyFill="0" applyAlignment="0" applyProtection="0"/>
    <xf numFmtId="0" fontId="14"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1" borderId="0" applyNumberFormat="0" applyBorder="0" applyAlignment="0" applyProtection="0"/>
    <xf numFmtId="0" fontId="14"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7" fillId="25" borderId="0" applyNumberFormat="0" applyBorder="0" applyAlignment="0" applyProtection="0"/>
    <xf numFmtId="0" fontId="14"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7" fillId="29" borderId="0" applyNumberFormat="0" applyBorder="0" applyAlignment="0" applyProtection="0"/>
    <xf numFmtId="0" fontId="14"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7" fillId="33" borderId="0" applyNumberFormat="0" applyBorder="0" applyAlignment="0" applyProtection="0"/>
    <xf numFmtId="0" fontId="14" fillId="34" borderId="0" applyNumberFormat="0" applyBorder="0" applyAlignment="0" applyProtection="0"/>
    <xf numFmtId="0" fontId="7" fillId="35" borderId="0" applyNumberFormat="0" applyBorder="0" applyAlignment="0" applyProtection="0"/>
    <xf numFmtId="0" fontId="7" fillId="36" borderId="0" applyNumberFormat="0" applyBorder="0" applyAlignment="0" applyProtection="0"/>
    <xf numFmtId="0" fontId="7" fillId="37" borderId="0" applyNumberFormat="0" applyBorder="0" applyAlignment="0" applyProtection="0"/>
    <xf numFmtId="0" fontId="14" fillId="38" borderId="0" applyNumberFormat="0" applyBorder="0" applyAlignment="0" applyProtection="0"/>
    <xf numFmtId="0" fontId="7" fillId="39" borderId="0" applyNumberFormat="0" applyBorder="0" applyAlignment="0" applyProtection="0"/>
    <xf numFmtId="0" fontId="7" fillId="40" borderId="0" applyNumberFormat="0" applyBorder="0" applyAlignment="0" applyProtection="0"/>
    <xf numFmtId="0" fontId="7" fillId="41" borderId="0" applyNumberFormat="0" applyBorder="0" applyAlignment="0" applyProtection="0"/>
  </cellStyleXfs>
  <cellXfs count="7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6" fillId="10" borderId="1" xfId="0" applyFont="1" applyFill="1" applyBorder="1" applyAlignment="1">
      <alignment horizontal="left" vertical="center" indent="1"/>
    </xf>
    <xf numFmtId="0" fontId="6" fillId="10" borderId="1" xfId="0" applyFont="1" applyFill="1" applyBorder="1" applyAlignment="1">
      <alignment horizontal="center" vertical="center" wrapText="1"/>
    </xf>
    <xf numFmtId="0" fontId="10" fillId="9" borderId="8" xfId="0" applyFont="1" applyFill="1" applyBorder="1" applyAlignment="1">
      <alignment horizontal="center" vertical="center" shrinkToFit="1"/>
    </xf>
    <xf numFmtId="0" fontId="12" fillId="0" borderId="0" xfId="0" applyFont="1"/>
    <xf numFmtId="0" fontId="13" fillId="0" borderId="0" xfId="1" applyFont="1" applyAlignment="1" applyProtection="1"/>
    <xf numFmtId="0" fontId="4" fillId="0" borderId="2" xfId="0" applyFont="1" applyBorder="1" applyAlignment="1">
      <alignment horizontal="center" vertical="center"/>
    </xf>
    <xf numFmtId="0" fontId="5" fillId="6" borderId="2" xfId="0" applyFont="1" applyFill="1" applyBorder="1" applyAlignment="1">
      <alignment horizontal="left" vertical="center" indent="1"/>
    </xf>
    <xf numFmtId="9" fontId="4" fillId="6" borderId="2" xfId="2" applyFont="1" applyFill="1" applyBorder="1" applyAlignment="1">
      <alignment horizontal="center" vertical="center"/>
    </xf>
    <xf numFmtId="9" fontId="4" fillId="2" borderId="2" xfId="2" applyFont="1" applyFill="1" applyBorder="1" applyAlignment="1">
      <alignment horizontal="center" vertical="center"/>
    </xf>
    <xf numFmtId="0" fontId="5" fillId="7" borderId="2" xfId="0" applyFont="1" applyFill="1" applyBorder="1" applyAlignment="1">
      <alignment horizontal="left" vertical="center" indent="1"/>
    </xf>
    <xf numFmtId="9" fontId="4" fillId="7" borderId="2" xfId="2" applyFont="1" applyFill="1" applyBorder="1" applyAlignment="1">
      <alignment horizontal="center" vertical="center"/>
    </xf>
    <xf numFmtId="9" fontId="4" fillId="3" borderId="2" xfId="2" applyFont="1" applyFill="1" applyBorder="1" applyAlignment="1">
      <alignment horizontal="center" vertical="center"/>
    </xf>
    <xf numFmtId="0" fontId="5" fillId="4" borderId="2" xfId="0" applyFont="1" applyFill="1" applyBorder="1" applyAlignment="1">
      <alignment horizontal="left" vertical="center" indent="1"/>
    </xf>
    <xf numFmtId="9" fontId="4" fillId="4" borderId="2" xfId="2" applyFont="1" applyFill="1" applyBorder="1" applyAlignment="1">
      <alignment horizontal="center" vertical="center"/>
    </xf>
    <xf numFmtId="9" fontId="4" fillId="8" borderId="2" xfId="2"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2" fillId="0" borderId="0" xfId="0" applyFont="1" applyAlignment="1">
      <alignment horizontal="center" vertical="center"/>
    </xf>
    <xf numFmtId="0" fontId="14" fillId="0" borderId="0" xfId="3"/>
    <xf numFmtId="0" fontId="14" fillId="0" borderId="0" xfId="3" applyAlignment="1">
      <alignment wrapText="1"/>
    </xf>
    <xf numFmtId="0" fontId="14" fillId="0" borderId="0" xfId="0" applyFont="1" applyAlignment="1">
      <alignment horizontal="center"/>
    </xf>
    <xf numFmtId="0" fontId="0" fillId="0" borderId="0" xfId="0" applyAlignment="1">
      <alignment wrapText="1"/>
    </xf>
    <xf numFmtId="0" fontId="11" fillId="0" borderId="0" xfId="5" applyAlignment="1">
      <alignment horizontal="left"/>
    </xf>
    <xf numFmtId="0" fontId="8" fillId="0" borderId="0" xfId="6"/>
    <xf numFmtId="0" fontId="8" fillId="0" borderId="0" xfId="7">
      <alignment vertical="top"/>
    </xf>
    <xf numFmtId="0" fontId="7" fillId="6" borderId="2" xfId="11" applyFill="1">
      <alignment horizontal="center" vertical="center"/>
    </xf>
    <xf numFmtId="0" fontId="7" fillId="2" borderId="2" xfId="11" applyFill="1">
      <alignment horizontal="center" vertical="center"/>
    </xf>
    <xf numFmtId="0" fontId="7" fillId="7" borderId="2" xfId="11" applyFill="1">
      <alignment horizontal="center" vertical="center"/>
    </xf>
    <xf numFmtId="0" fontId="7" fillId="3" borderId="2" xfId="11" applyFill="1">
      <alignment horizontal="center" vertical="center"/>
    </xf>
    <xf numFmtId="0" fontId="7" fillId="4" borderId="2" xfId="11" applyFill="1">
      <alignment horizontal="center" vertical="center"/>
    </xf>
    <xf numFmtId="0" fontId="7" fillId="8" borderId="2" xfId="11" applyFill="1">
      <alignment horizontal="center" vertical="center"/>
    </xf>
    <xf numFmtId="0" fontId="7" fillId="2" borderId="2" xfId="12" applyFill="1">
      <alignment horizontal="left" vertical="center" indent="2"/>
    </xf>
    <xf numFmtId="0" fontId="7" fillId="3" borderId="2" xfId="12" applyFill="1">
      <alignment horizontal="left" vertical="center" indent="2"/>
    </xf>
    <xf numFmtId="0" fontId="7" fillId="8" borderId="2" xfId="12" applyFill="1">
      <alignment horizontal="left" vertical="center" indent="2"/>
    </xf>
    <xf numFmtId="0" fontId="0" fillId="0" borderId="10" xfId="0" applyBorder="1"/>
    <xf numFmtId="0" fontId="15" fillId="0" borderId="0" xfId="0" applyFont="1"/>
    <xf numFmtId="0" fontId="16" fillId="0" borderId="0" xfId="1" applyFont="1" applyProtection="1">
      <alignment vertical="top"/>
    </xf>
    <xf numFmtId="166" fontId="0" fillId="6" borderId="2" xfId="0" applyNumberFormat="1" applyFill="1" applyBorder="1" applyAlignment="1">
      <alignment horizontal="center" vertical="center"/>
    </xf>
    <xf numFmtId="166" fontId="4" fillId="6" borderId="2" xfId="0" applyNumberFormat="1" applyFont="1" applyFill="1" applyBorder="1" applyAlignment="1">
      <alignment horizontal="center" vertical="center"/>
    </xf>
    <xf numFmtId="166" fontId="7" fillId="2" borderId="2" xfId="10" applyFill="1">
      <alignment horizontal="center" vertical="center"/>
    </xf>
    <xf numFmtId="166" fontId="0" fillId="7" borderId="2" xfId="0" applyNumberFormat="1" applyFill="1" applyBorder="1" applyAlignment="1">
      <alignment horizontal="center" vertical="center"/>
    </xf>
    <xf numFmtId="166" fontId="4" fillId="7" borderId="2" xfId="0" applyNumberFormat="1" applyFont="1" applyFill="1" applyBorder="1" applyAlignment="1">
      <alignment horizontal="center" vertical="center"/>
    </xf>
    <xf numFmtId="166" fontId="7" fillId="3" borderId="2" xfId="10" applyFill="1">
      <alignment horizontal="center" vertical="center"/>
    </xf>
    <xf numFmtId="166" fontId="0" fillId="4" borderId="2" xfId="0" applyNumberFormat="1" applyFill="1" applyBorder="1" applyAlignment="1">
      <alignment horizontal="center" vertical="center"/>
    </xf>
    <xf numFmtId="166" fontId="4" fillId="4" borderId="2" xfId="0" applyNumberFormat="1" applyFont="1" applyFill="1" applyBorder="1" applyAlignment="1">
      <alignment horizontal="center" vertical="center"/>
    </xf>
    <xf numFmtId="166" fontId="7" fillId="8" borderId="2" xfId="10" applyFill="1">
      <alignment horizontal="center" vertical="center"/>
    </xf>
    <xf numFmtId="169" fontId="9" fillId="5" borderId="6" xfId="0" applyNumberFormat="1" applyFont="1" applyFill="1" applyBorder="1" applyAlignment="1">
      <alignment horizontal="center" vertical="center"/>
    </xf>
    <xf numFmtId="169" fontId="9" fillId="5" borderId="0" xfId="0" applyNumberFormat="1" applyFont="1" applyFill="1" applyAlignment="1">
      <alignment horizontal="center" vertical="center"/>
    </xf>
    <xf numFmtId="169" fontId="9" fillId="5" borderId="7" xfId="0" applyNumberFormat="1" applyFont="1" applyFill="1" applyBorder="1" applyAlignment="1">
      <alignment horizontal="center" vertical="center"/>
    </xf>
    <xf numFmtId="0" fontId="7" fillId="42" borderId="2" xfId="11" applyFill="1">
      <alignment horizontal="center" vertical="center"/>
    </xf>
    <xf numFmtId="9" fontId="4" fillId="42" borderId="2" xfId="2" applyFont="1" applyFill="1" applyBorder="1" applyAlignment="1">
      <alignment horizontal="center" vertical="center"/>
    </xf>
    <xf numFmtId="166" fontId="7" fillId="42" borderId="2" xfId="10" applyFill="1">
      <alignment horizontal="center" vertical="center"/>
    </xf>
    <xf numFmtId="0" fontId="7" fillId="42" borderId="2" xfId="12" applyFill="1">
      <alignment horizontal="left" vertical="center" indent="2"/>
    </xf>
    <xf numFmtId="0" fontId="5" fillId="43" borderId="2" xfId="0" applyFont="1" applyFill="1" applyBorder="1" applyAlignment="1">
      <alignment horizontal="left" vertical="center" indent="1"/>
    </xf>
    <xf numFmtId="0" fontId="7" fillId="43" borderId="2" xfId="11" applyFill="1">
      <alignment horizontal="center" vertical="center"/>
    </xf>
    <xf numFmtId="9" fontId="4" fillId="43" borderId="2" xfId="2" applyFont="1" applyFill="1" applyBorder="1" applyAlignment="1">
      <alignment horizontal="center" vertical="center"/>
    </xf>
    <xf numFmtId="166" fontId="0" fillId="43" borderId="2" xfId="0" applyNumberFormat="1" applyFill="1" applyBorder="1" applyAlignment="1">
      <alignment horizontal="center" vertical="center"/>
    </xf>
    <xf numFmtId="166" fontId="4" fillId="43" borderId="2" xfId="0" applyNumberFormat="1" applyFont="1" applyFill="1" applyBorder="1" applyAlignment="1">
      <alignment horizontal="center" vertical="center"/>
    </xf>
    <xf numFmtId="0" fontId="7" fillId="8" borderId="2" xfId="11" applyFill="1" applyAlignment="1">
      <alignment horizontal="left" vertical="center"/>
    </xf>
    <xf numFmtId="9" fontId="7" fillId="8" borderId="2" xfId="11" applyNumberFormat="1" applyFill="1">
      <alignment horizontal="center" vertical="center"/>
    </xf>
    <xf numFmtId="166" fontId="7" fillId="8" borderId="2" xfId="11" applyNumberFormat="1" applyFill="1">
      <alignment horizontal="center"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168" fontId="0" fillId="5" borderId="4" xfId="0" applyNumberFormat="1" applyFill="1" applyBorder="1" applyAlignment="1">
      <alignment horizontal="left" vertical="center" wrapText="1" indent="1"/>
    </xf>
    <xf numFmtId="168" fontId="0" fillId="5" borderId="1" xfId="0" applyNumberFormat="1" applyFill="1" applyBorder="1" applyAlignment="1">
      <alignment horizontal="left" vertical="center" wrapText="1" indent="1"/>
    </xf>
    <xf numFmtId="168" fontId="0" fillId="5" borderId="5" xfId="0" applyNumberFormat="1" applyFill="1" applyBorder="1" applyAlignment="1">
      <alignment horizontal="left" vertical="center" wrapText="1" indent="1"/>
    </xf>
    <xf numFmtId="0" fontId="7" fillId="0" borderId="0" xfId="8" applyAlignment="1">
      <alignment horizontal="right" indent="1"/>
    </xf>
    <xf numFmtId="0" fontId="7" fillId="0" borderId="7" xfId="8" applyBorder="1" applyAlignment="1">
      <alignment horizontal="right" indent="1"/>
    </xf>
    <xf numFmtId="167" fontId="7" fillId="0" borderId="3" xfId="9" applyAlignment="1">
      <alignment horizontal="center" vertical="center"/>
    </xf>
    <xf numFmtId="0" fontId="14" fillId="0" borderId="1" xfId="8" applyFont="1" applyBorder="1" applyAlignment="1">
      <alignment horizontal="right" indent="1"/>
    </xf>
  </cellXfs>
  <cellStyles count="54">
    <cellStyle name="20% - Colore 1" xfId="31" builtinId="30" customBuiltin="1"/>
    <cellStyle name="20% - Colore 2" xfId="35" builtinId="34" customBuiltin="1"/>
    <cellStyle name="20% - Colore 3" xfId="39" builtinId="38" customBuiltin="1"/>
    <cellStyle name="20% - Colore 4" xfId="43" builtinId="42" customBuiltin="1"/>
    <cellStyle name="20% - Colore 5" xfId="47" builtinId="46" customBuiltin="1"/>
    <cellStyle name="20% - Colore 6" xfId="51" builtinId="50" customBuiltin="1"/>
    <cellStyle name="40% - Colore 1" xfId="32" builtinId="31" customBuiltin="1"/>
    <cellStyle name="40% - Colore 2" xfId="36" builtinId="35" customBuiltin="1"/>
    <cellStyle name="40% - Colore 3" xfId="40" builtinId="39" customBuiltin="1"/>
    <cellStyle name="40% - Colore 4" xfId="44" builtinId="43" customBuiltin="1"/>
    <cellStyle name="40% - Colore 5" xfId="48" builtinId="47" customBuiltin="1"/>
    <cellStyle name="40% - Colore 6" xfId="52" builtinId="51" customBuiltin="1"/>
    <cellStyle name="60% - Colore 1" xfId="33" builtinId="32" customBuiltin="1"/>
    <cellStyle name="60% - Colore 2" xfId="37" builtinId="36" customBuiltin="1"/>
    <cellStyle name="60% - Colore 3" xfId="41" builtinId="40" customBuiltin="1"/>
    <cellStyle name="60% - Colore 4" xfId="45" builtinId="44" customBuiltin="1"/>
    <cellStyle name="60% - Colore 5" xfId="49" builtinId="48" customBuiltin="1"/>
    <cellStyle name="60% - Colore 6" xfId="53" builtinId="52" customBuiltin="1"/>
    <cellStyle name="Attività" xfId="12" xr:uid="{6391D789-272B-4DD2-9BF3-2CDCF610FA41}"/>
    <cellStyle name="Calcolo" xfId="23" builtinId="22" customBuiltin="1"/>
    <cellStyle name="Cella collegata" xfId="24" builtinId="24" customBuiltin="1"/>
    <cellStyle name="Cella da controllare" xfId="25" builtinId="23" customBuiltin="1"/>
    <cellStyle name="Collegamento ipertestuale" xfId="1" builtinId="8" customBuiltin="1"/>
    <cellStyle name="Collegamento ipertestuale visitato" xfId="13" builtinId="9" customBuiltin="1"/>
    <cellStyle name="Colore 1" xfId="30" builtinId="29" customBuiltin="1"/>
    <cellStyle name="Colore 2" xfId="34" builtinId="33" customBuiltin="1"/>
    <cellStyle name="Colore 3" xfId="38" builtinId="37" customBuiltin="1"/>
    <cellStyle name="Colore 4" xfId="42" builtinId="41" customBuiltin="1"/>
    <cellStyle name="Colore 5" xfId="46" builtinId="45" customBuiltin="1"/>
    <cellStyle name="Colore 6" xfId="50" builtinId="49" customBuiltin="1"/>
    <cellStyle name="Data" xfId="10" xr:uid="{229918B6-DD13-4F5A-97B9-305F7E002AA3}"/>
    <cellStyle name="Inizio progetto" xfId="9" xr:uid="{8EB8A09A-C31C-40A3-B2C1-9449520178B8}"/>
    <cellStyle name="Input" xfId="21" builtinId="20" customBuiltin="1"/>
    <cellStyle name="Migliaia" xfId="4" builtinId="3" customBuiltin="1"/>
    <cellStyle name="Migliaia [0]" xfId="14" builtinId="6" customBuiltin="1"/>
    <cellStyle name="Neutrale" xfId="20" builtinId="28" customBuiltin="1"/>
    <cellStyle name="Nome" xfId="11" xr:uid="{B2D3C1EE-6B41-4801-AAFC-C2274E49E503}"/>
    <cellStyle name="Normale" xfId="0" builtinId="0" customBuiltin="1"/>
    <cellStyle name="Nota" xfId="27" builtinId="10" customBuiltin="1"/>
    <cellStyle name="Output" xfId="22" builtinId="21" customBuiltin="1"/>
    <cellStyle name="Percentuale" xfId="2" builtinId="5" customBuiltin="1"/>
    <cellStyle name="Testo avviso" xfId="26" builtinId="11" customBuiltin="1"/>
    <cellStyle name="Testo descrittivo" xfId="28" builtinId="53" customBuiltin="1"/>
    <cellStyle name="Titolo" xfId="5" builtinId="15" customBuiltin="1"/>
    <cellStyle name="Titolo 1" xfId="6" builtinId="16" customBuiltin="1"/>
    <cellStyle name="Titolo 2" xfId="7" builtinId="17" customBuiltin="1"/>
    <cellStyle name="Titolo 3" xfId="8" builtinId="18" customBuiltin="1"/>
    <cellStyle name="Titolo 4" xfId="17" builtinId="19" customBuiltin="1"/>
    <cellStyle name="Totale" xfId="29" builtinId="25" customBuiltin="1"/>
    <cellStyle name="Valore non valido" xfId="19" builtinId="27" customBuiltin="1"/>
    <cellStyle name="Valore valido" xfId="18" builtinId="26" customBuiltin="1"/>
    <cellStyle name="Valuta" xfId="15" builtinId="4" customBuiltin="1"/>
    <cellStyle name="Valuta [0]" xfId="16" builtinId="7" customBuiltin="1"/>
    <cellStyle name="zTestoNascosto" xfId="3" xr:uid="{26E66EE6-E33F-4D77-BAE4-0FB4F5BBF673}"/>
  </cellStyles>
  <dxfs count="15">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ElencoAttività" pivot="0" count="9" xr9:uid="{00000000-0011-0000-FFFF-FFFF00000000}">
      <tableStyleElement type="wholeTable" dxfId="14"/>
      <tableStyleElement type="headerRow" dxfId="13"/>
      <tableStyleElement type="totalRow" dxfId="12"/>
      <tableStyleElement type="firstColumn" dxfId="11"/>
      <tableStyleElement type="lastColumn" dxfId="10"/>
      <tableStyleElement type="firstRowStripe" dxfId="9"/>
      <tableStyleElement type="secondRowStripe" dxfId="8"/>
      <tableStyleElement type="firstColumnStripe" dxfId="7"/>
      <tableStyleElement type="secondColumnStripe" dxfId="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IS32"/>
  <sheetViews>
    <sheetView showGridLines="0" tabSelected="1" showRuler="0" zoomScale="70" zoomScaleNormal="70" zoomScalePageLayoutView="70" workbookViewId="0">
      <pane ySplit="6" topLeftCell="A32" activePane="bottomLeft" state="frozen"/>
      <selection pane="bottomLeft" activeCell="B2" sqref="B2"/>
    </sheetView>
  </sheetViews>
  <sheetFormatPr defaultRowHeight="30" customHeight="1"/>
  <cols>
    <col min="1" max="1" width="2.7109375" style="25" customWidth="1"/>
    <col min="2" max="2" width="30.7109375" customWidth="1"/>
    <col min="3" max="3" width="15.7109375" customWidth="1"/>
    <col min="4" max="4" width="2" customWidth="1"/>
    <col min="5" max="5" width="10.42578125" style="5" customWidth="1"/>
    <col min="6" max="6" width="10.42578125" customWidth="1"/>
    <col min="7" max="7" width="4.7109375" customWidth="1"/>
    <col min="8" max="8" width="11.140625" customWidth="1"/>
    <col min="9" max="253" width="1.7109375" customWidth="1"/>
  </cols>
  <sheetData>
    <row r="1" spans="1:253" ht="30" customHeight="1">
      <c r="A1" s="26" t="s">
        <v>0</v>
      </c>
      <c r="B1" s="29" t="s">
        <v>1</v>
      </c>
      <c r="C1" s="1"/>
      <c r="D1" s="2"/>
      <c r="E1" s="4"/>
      <c r="F1" s="24"/>
      <c r="H1" s="2"/>
      <c r="I1" s="42"/>
    </row>
    <row r="2" spans="1:253" ht="30" customHeight="1">
      <c r="A2" s="25" t="s">
        <v>2</v>
      </c>
      <c r="B2" s="30" t="s">
        <v>3</v>
      </c>
      <c r="I2" s="43"/>
    </row>
    <row r="3" spans="1:253" ht="30" customHeight="1">
      <c r="A3" s="25" t="s">
        <v>4</v>
      </c>
      <c r="B3" s="31"/>
      <c r="C3" s="74" t="s">
        <v>5</v>
      </c>
      <c r="D3" s="75"/>
      <c r="E3" s="76">
        <f>DATE(2024, 12, 1)</f>
        <v>45627</v>
      </c>
      <c r="F3" s="76"/>
    </row>
    <row r="4" spans="1:253" ht="30" customHeight="1">
      <c r="A4" s="26" t="s">
        <v>6</v>
      </c>
      <c r="C4" s="74"/>
      <c r="D4" s="74"/>
      <c r="E4" s="77">
        <v>1</v>
      </c>
      <c r="F4" s="77"/>
      <c r="I4" s="71">
        <f>I5</f>
        <v>45628</v>
      </c>
      <c r="J4" s="72"/>
      <c r="K4" s="72"/>
      <c r="L4" s="72"/>
      <c r="M4" s="72"/>
      <c r="N4" s="72"/>
      <c r="O4" s="73"/>
      <c r="P4" s="71">
        <f>P5</f>
        <v>45635</v>
      </c>
      <c r="Q4" s="72"/>
      <c r="R4" s="72"/>
      <c r="S4" s="72"/>
      <c r="T4" s="72"/>
      <c r="U4" s="72"/>
      <c r="V4" s="73"/>
      <c r="W4" s="71">
        <f>W5</f>
        <v>45642</v>
      </c>
      <c r="X4" s="72"/>
      <c r="Y4" s="72"/>
      <c r="Z4" s="72"/>
      <c r="AA4" s="72"/>
      <c r="AB4" s="72"/>
      <c r="AC4" s="73"/>
      <c r="AD4" s="71">
        <f>AD5</f>
        <v>45649</v>
      </c>
      <c r="AE4" s="72"/>
      <c r="AF4" s="72"/>
      <c r="AG4" s="72"/>
      <c r="AH4" s="72"/>
      <c r="AI4" s="72"/>
      <c r="AJ4" s="73"/>
      <c r="AK4" s="71">
        <f>AK5</f>
        <v>45656</v>
      </c>
      <c r="AL4" s="72"/>
      <c r="AM4" s="72"/>
      <c r="AN4" s="72"/>
      <c r="AO4" s="72"/>
      <c r="AP4" s="72"/>
      <c r="AQ4" s="73"/>
      <c r="AR4" s="71">
        <f>AR5</f>
        <v>45663</v>
      </c>
      <c r="AS4" s="72"/>
      <c r="AT4" s="72"/>
      <c r="AU4" s="72"/>
      <c r="AV4" s="72"/>
      <c r="AW4" s="72"/>
      <c r="AX4" s="73"/>
      <c r="AY4" s="71">
        <f>AY5</f>
        <v>45670</v>
      </c>
      <c r="AZ4" s="72"/>
      <c r="BA4" s="72"/>
      <c r="BB4" s="72"/>
      <c r="BC4" s="72"/>
      <c r="BD4" s="72"/>
      <c r="BE4" s="73"/>
      <c r="BF4" s="71">
        <f>BF5</f>
        <v>45677</v>
      </c>
      <c r="BG4" s="72"/>
      <c r="BH4" s="72"/>
      <c r="BI4" s="72"/>
      <c r="BJ4" s="72"/>
      <c r="BK4" s="72"/>
      <c r="BL4" s="73"/>
      <c r="BM4" s="71">
        <f>BM5</f>
        <v>45684</v>
      </c>
      <c r="BN4" s="72"/>
      <c r="BO4" s="72"/>
      <c r="BP4" s="72"/>
      <c r="BQ4" s="72"/>
      <c r="BR4" s="72"/>
      <c r="BS4" s="73"/>
      <c r="BT4" s="71">
        <f>BT5</f>
        <v>45691</v>
      </c>
      <c r="BU4" s="72"/>
      <c r="BV4" s="72"/>
      <c r="BW4" s="72"/>
      <c r="BX4" s="72"/>
      <c r="BY4" s="72"/>
      <c r="BZ4" s="73"/>
      <c r="CA4" s="71">
        <f>CA5</f>
        <v>45698</v>
      </c>
      <c r="CB4" s="72"/>
      <c r="CC4" s="72"/>
      <c r="CD4" s="72"/>
      <c r="CE4" s="72"/>
      <c r="CF4" s="72"/>
      <c r="CG4" s="73"/>
      <c r="CH4" s="71">
        <f>CH5</f>
        <v>45705</v>
      </c>
      <c r="CI4" s="72"/>
      <c r="CJ4" s="72"/>
      <c r="CK4" s="72"/>
      <c r="CL4" s="72"/>
      <c r="CM4" s="72"/>
      <c r="CN4" s="73"/>
      <c r="CO4" s="71">
        <f>CO5</f>
        <v>45712</v>
      </c>
      <c r="CP4" s="72"/>
      <c r="CQ4" s="72"/>
      <c r="CR4" s="72"/>
      <c r="CS4" s="72"/>
      <c r="CT4" s="72"/>
      <c r="CU4" s="73"/>
      <c r="CV4" s="71">
        <f>CV5</f>
        <v>45719</v>
      </c>
      <c r="CW4" s="72"/>
      <c r="CX4" s="72"/>
      <c r="CY4" s="72"/>
      <c r="CZ4" s="72"/>
      <c r="DA4" s="72"/>
      <c r="DB4" s="73"/>
      <c r="DC4" s="71">
        <f>DC5</f>
        <v>45726</v>
      </c>
      <c r="DD4" s="72"/>
      <c r="DE4" s="72"/>
      <c r="DF4" s="72"/>
      <c r="DG4" s="72"/>
      <c r="DH4" s="72"/>
      <c r="DI4" s="73"/>
      <c r="DJ4" s="71">
        <f>DJ5</f>
        <v>45733</v>
      </c>
      <c r="DK4" s="72"/>
      <c r="DL4" s="72"/>
      <c r="DM4" s="72"/>
      <c r="DN4" s="72"/>
      <c r="DO4" s="72"/>
      <c r="DP4" s="73"/>
      <c r="DQ4" s="71">
        <f>DQ5</f>
        <v>45740</v>
      </c>
      <c r="DR4" s="72"/>
      <c r="DS4" s="72"/>
      <c r="DT4" s="72"/>
      <c r="DU4" s="72"/>
      <c r="DV4" s="72"/>
      <c r="DW4" s="73"/>
      <c r="DX4" s="71">
        <f>DX5</f>
        <v>45747</v>
      </c>
      <c r="DY4" s="72"/>
      <c r="DZ4" s="72"/>
      <c r="EA4" s="72"/>
      <c r="EB4" s="72"/>
      <c r="EC4" s="72"/>
      <c r="ED4" s="73"/>
      <c r="EE4" s="71">
        <f>EE5</f>
        <v>45754</v>
      </c>
      <c r="EF4" s="72"/>
      <c r="EG4" s="72"/>
      <c r="EH4" s="72"/>
      <c r="EI4" s="72"/>
      <c r="EJ4" s="72"/>
      <c r="EK4" s="73"/>
      <c r="EL4" s="71">
        <f>EL5</f>
        <v>45761</v>
      </c>
      <c r="EM4" s="72"/>
      <c r="EN4" s="72"/>
      <c r="EO4" s="72"/>
      <c r="EP4" s="72"/>
      <c r="EQ4" s="72"/>
      <c r="ER4" s="73"/>
      <c r="ES4" s="71">
        <f>ES5</f>
        <v>45768</v>
      </c>
      <c r="ET4" s="72"/>
      <c r="EU4" s="72"/>
      <c r="EV4" s="72"/>
      <c r="EW4" s="72"/>
      <c r="EX4" s="72"/>
      <c r="EY4" s="73"/>
      <c r="EZ4" s="71">
        <f>EZ5</f>
        <v>45775</v>
      </c>
      <c r="FA4" s="72"/>
      <c r="FB4" s="72"/>
      <c r="FC4" s="72"/>
      <c r="FD4" s="72"/>
      <c r="FE4" s="72"/>
      <c r="FF4" s="73"/>
      <c r="FG4" s="71">
        <f>FG5</f>
        <v>45782</v>
      </c>
      <c r="FH4" s="72"/>
      <c r="FI4" s="72"/>
      <c r="FJ4" s="72"/>
      <c r="FK4" s="72"/>
      <c r="FL4" s="72"/>
      <c r="FM4" s="73"/>
      <c r="FN4" s="71">
        <f>FN5</f>
        <v>45789</v>
      </c>
      <c r="FO4" s="72"/>
      <c r="FP4" s="72"/>
      <c r="FQ4" s="72"/>
      <c r="FR4" s="72"/>
      <c r="FS4" s="72"/>
      <c r="FT4" s="73"/>
      <c r="FU4" s="71">
        <f>FU5</f>
        <v>45796</v>
      </c>
      <c r="FV4" s="72"/>
      <c r="FW4" s="72"/>
      <c r="FX4" s="72"/>
      <c r="FY4" s="72"/>
      <c r="FZ4" s="72"/>
      <c r="GA4" s="73"/>
      <c r="GB4" s="71">
        <f>GB5</f>
        <v>45803</v>
      </c>
      <c r="GC4" s="72"/>
      <c r="GD4" s="72"/>
      <c r="GE4" s="72"/>
      <c r="GF4" s="72"/>
      <c r="GG4" s="72"/>
      <c r="GH4" s="73"/>
      <c r="GI4" s="71">
        <f>GI5</f>
        <v>45810</v>
      </c>
      <c r="GJ4" s="72"/>
      <c r="GK4" s="72"/>
      <c r="GL4" s="72"/>
      <c r="GM4" s="72"/>
      <c r="GN4" s="72"/>
      <c r="GO4" s="73"/>
      <c r="GP4" s="71">
        <f>GP5</f>
        <v>45817</v>
      </c>
      <c r="GQ4" s="72"/>
      <c r="GR4" s="72"/>
      <c r="GS4" s="72"/>
      <c r="GT4" s="72"/>
      <c r="GU4" s="72"/>
      <c r="GV4" s="73"/>
      <c r="GW4" s="71">
        <f>GW5</f>
        <v>45824</v>
      </c>
      <c r="GX4" s="72"/>
      <c r="GY4" s="72"/>
      <c r="GZ4" s="72"/>
      <c r="HA4" s="72"/>
      <c r="HB4" s="72"/>
      <c r="HC4" s="73"/>
      <c r="HD4" s="71">
        <f>HD5</f>
        <v>45831</v>
      </c>
      <c r="HE4" s="72"/>
      <c r="HF4" s="72"/>
      <c r="HG4" s="72"/>
      <c r="HH4" s="72"/>
      <c r="HI4" s="72"/>
      <c r="HJ4" s="73"/>
      <c r="HK4" s="71">
        <f>HK5</f>
        <v>45838</v>
      </c>
      <c r="HL4" s="72"/>
      <c r="HM4" s="72"/>
      <c r="HN4" s="72"/>
      <c r="HO4" s="72"/>
      <c r="HP4" s="72"/>
      <c r="HQ4" s="73"/>
      <c r="HR4" s="71">
        <f>HR5</f>
        <v>45845</v>
      </c>
      <c r="HS4" s="72"/>
      <c r="HT4" s="72"/>
      <c r="HU4" s="72"/>
      <c r="HV4" s="72"/>
      <c r="HW4" s="72"/>
      <c r="HX4" s="73"/>
      <c r="HY4" s="71">
        <f>HY5</f>
        <v>45852</v>
      </c>
      <c r="HZ4" s="72"/>
      <c r="IA4" s="72"/>
      <c r="IB4" s="72"/>
      <c r="IC4" s="72"/>
      <c r="ID4" s="72"/>
      <c r="IE4" s="73"/>
      <c r="IF4" s="71">
        <f>IF5</f>
        <v>45859</v>
      </c>
      <c r="IG4" s="72"/>
      <c r="IH4" s="72"/>
      <c r="II4" s="72"/>
      <c r="IJ4" s="72"/>
      <c r="IK4" s="72"/>
      <c r="IL4" s="73"/>
      <c r="IM4" s="71">
        <f>IM5</f>
        <v>45866</v>
      </c>
      <c r="IN4" s="72"/>
      <c r="IO4" s="72"/>
      <c r="IP4" s="72"/>
      <c r="IQ4" s="72"/>
      <c r="IR4" s="72"/>
      <c r="IS4" s="73"/>
    </row>
    <row r="5" spans="1:253" ht="15" customHeight="1">
      <c r="A5" s="26" t="s">
        <v>7</v>
      </c>
      <c r="B5" s="41"/>
      <c r="C5" s="41"/>
      <c r="D5" s="41"/>
      <c r="E5" s="41"/>
      <c r="F5" s="41"/>
      <c r="G5" s="41"/>
      <c r="I5" s="53">
        <f>Inizio_progetto-WEEKDAY(Inizio_progetto,1)+2+7*(Visualizza_settimana-1)</f>
        <v>45628</v>
      </c>
      <c r="J5" s="54">
        <f>I5+1</f>
        <v>45629</v>
      </c>
      <c r="K5" s="54">
        <f t="shared" ref="K5:AQ5" si="0">J5+1</f>
        <v>45630</v>
      </c>
      <c r="L5" s="54">
        <f t="shared" si="0"/>
        <v>45631</v>
      </c>
      <c r="M5" s="54">
        <f t="shared" si="0"/>
        <v>45632</v>
      </c>
      <c r="N5" s="54">
        <f t="shared" si="0"/>
        <v>45633</v>
      </c>
      <c r="O5" s="55">
        <f t="shared" si="0"/>
        <v>45634</v>
      </c>
      <c r="P5" s="53">
        <f>O5+1</f>
        <v>45635</v>
      </c>
      <c r="Q5" s="54">
        <f>P5+1</f>
        <v>45636</v>
      </c>
      <c r="R5" s="54">
        <f t="shared" si="0"/>
        <v>45637</v>
      </c>
      <c r="S5" s="54">
        <f t="shared" si="0"/>
        <v>45638</v>
      </c>
      <c r="T5" s="54">
        <f t="shared" si="0"/>
        <v>45639</v>
      </c>
      <c r="U5" s="54">
        <f t="shared" si="0"/>
        <v>45640</v>
      </c>
      <c r="V5" s="55">
        <f t="shared" si="0"/>
        <v>45641</v>
      </c>
      <c r="W5" s="53">
        <f>V5+1</f>
        <v>45642</v>
      </c>
      <c r="X5" s="54">
        <f>W5+1</f>
        <v>45643</v>
      </c>
      <c r="Y5" s="54">
        <f t="shared" si="0"/>
        <v>45644</v>
      </c>
      <c r="Z5" s="54">
        <f t="shared" si="0"/>
        <v>45645</v>
      </c>
      <c r="AA5" s="54">
        <f t="shared" si="0"/>
        <v>45646</v>
      </c>
      <c r="AB5" s="54">
        <f t="shared" si="0"/>
        <v>45647</v>
      </c>
      <c r="AC5" s="55">
        <f t="shared" si="0"/>
        <v>45648</v>
      </c>
      <c r="AD5" s="53">
        <f>AC5+1</f>
        <v>45649</v>
      </c>
      <c r="AE5" s="54">
        <f>AD5+1</f>
        <v>45650</v>
      </c>
      <c r="AF5" s="54">
        <f t="shared" si="0"/>
        <v>45651</v>
      </c>
      <c r="AG5" s="54">
        <f t="shared" si="0"/>
        <v>45652</v>
      </c>
      <c r="AH5" s="54">
        <f t="shared" si="0"/>
        <v>45653</v>
      </c>
      <c r="AI5" s="54">
        <f t="shared" si="0"/>
        <v>45654</v>
      </c>
      <c r="AJ5" s="55">
        <f t="shared" si="0"/>
        <v>45655</v>
      </c>
      <c r="AK5" s="53">
        <f>AJ5+1</f>
        <v>45656</v>
      </c>
      <c r="AL5" s="54">
        <f>AK5+1</f>
        <v>45657</v>
      </c>
      <c r="AM5" s="54">
        <f t="shared" si="0"/>
        <v>45658</v>
      </c>
      <c r="AN5" s="54">
        <f t="shared" si="0"/>
        <v>45659</v>
      </c>
      <c r="AO5" s="54">
        <f t="shared" si="0"/>
        <v>45660</v>
      </c>
      <c r="AP5" s="54">
        <f t="shared" si="0"/>
        <v>45661</v>
      </c>
      <c r="AQ5" s="55">
        <f t="shared" si="0"/>
        <v>45662</v>
      </c>
      <c r="AR5" s="53">
        <f>AQ5+1</f>
        <v>45663</v>
      </c>
      <c r="AS5" s="54">
        <f>AR5+1</f>
        <v>45664</v>
      </c>
      <c r="AT5" s="54">
        <f t="shared" ref="AT5" si="1">AS5+1</f>
        <v>45665</v>
      </c>
      <c r="AU5" s="54">
        <f t="shared" ref="AU5" si="2">AT5+1</f>
        <v>45666</v>
      </c>
      <c r="AV5" s="54">
        <f t="shared" ref="AV5" si="3">AU5+1</f>
        <v>45667</v>
      </c>
      <c r="AW5" s="54">
        <f t="shared" ref="AW5" si="4">AV5+1</f>
        <v>45668</v>
      </c>
      <c r="AX5" s="55">
        <f>AW5+1</f>
        <v>45669</v>
      </c>
      <c r="AY5" s="53">
        <f>AX5+1</f>
        <v>45670</v>
      </c>
      <c r="AZ5" s="54">
        <f>AY5+1</f>
        <v>45671</v>
      </c>
      <c r="BA5" s="54">
        <f t="shared" ref="BA5" si="5">AZ5+1</f>
        <v>45672</v>
      </c>
      <c r="BB5" s="54">
        <f t="shared" ref="BB5" si="6">BA5+1</f>
        <v>45673</v>
      </c>
      <c r="BC5" s="54">
        <f t="shared" ref="BC5" si="7">BB5+1</f>
        <v>45674</v>
      </c>
      <c r="BD5" s="54">
        <f t="shared" ref="BD5" si="8">BC5+1</f>
        <v>45675</v>
      </c>
      <c r="BE5" s="55">
        <f t="shared" ref="BE5" si="9">BD5+1</f>
        <v>45676</v>
      </c>
      <c r="BF5" s="53">
        <f>BE5+1</f>
        <v>45677</v>
      </c>
      <c r="BG5" s="54">
        <f>BF5+1</f>
        <v>45678</v>
      </c>
      <c r="BH5" s="54">
        <f t="shared" ref="BH5" si="10">BG5+1</f>
        <v>45679</v>
      </c>
      <c r="BI5" s="54">
        <f t="shared" ref="BI5" si="11">BH5+1</f>
        <v>45680</v>
      </c>
      <c r="BJ5" s="54">
        <f t="shared" ref="BJ5" si="12">BI5+1</f>
        <v>45681</v>
      </c>
      <c r="BK5" s="54">
        <f t="shared" ref="BK5" si="13">BJ5+1</f>
        <v>45682</v>
      </c>
      <c r="BL5" s="55">
        <f t="shared" ref="BL5" si="14">BK5+1</f>
        <v>45683</v>
      </c>
      <c r="BM5" s="53">
        <f>BL5+1</f>
        <v>45684</v>
      </c>
      <c r="BN5" s="54">
        <f>BM5+1</f>
        <v>45685</v>
      </c>
      <c r="BO5" s="54">
        <f t="shared" ref="BO5" si="15">BN5+1</f>
        <v>45686</v>
      </c>
      <c r="BP5" s="54">
        <f t="shared" ref="BP5" si="16">BO5+1</f>
        <v>45687</v>
      </c>
      <c r="BQ5" s="54">
        <f t="shared" ref="BQ5" si="17">BP5+1</f>
        <v>45688</v>
      </c>
      <c r="BR5" s="54">
        <f t="shared" ref="BR5" si="18">BQ5+1</f>
        <v>45689</v>
      </c>
      <c r="BS5" s="55">
        <f t="shared" ref="BS5" si="19">BR5+1</f>
        <v>45690</v>
      </c>
      <c r="BT5" s="53">
        <f>BS5+1</f>
        <v>45691</v>
      </c>
      <c r="BU5" s="54">
        <f>BT5+1</f>
        <v>45692</v>
      </c>
      <c r="BV5" s="54">
        <f t="shared" ref="BV5" si="20">BU5+1</f>
        <v>45693</v>
      </c>
      <c r="BW5" s="54">
        <f t="shared" ref="BW5" si="21">BV5+1</f>
        <v>45694</v>
      </c>
      <c r="BX5" s="54">
        <f t="shared" ref="BX5" si="22">BW5+1</f>
        <v>45695</v>
      </c>
      <c r="BY5" s="54">
        <f t="shared" ref="BY5" si="23">BX5+1</f>
        <v>45696</v>
      </c>
      <c r="BZ5" s="55">
        <f>BY5+1</f>
        <v>45697</v>
      </c>
      <c r="CA5" s="53">
        <f>BZ5+1</f>
        <v>45698</v>
      </c>
      <c r="CB5" s="54">
        <f>CA5+1</f>
        <v>45699</v>
      </c>
      <c r="CC5" s="54">
        <f t="shared" ref="CC5" si="24">CB5+1</f>
        <v>45700</v>
      </c>
      <c r="CD5" s="54">
        <f t="shared" ref="CD5" si="25">CC5+1</f>
        <v>45701</v>
      </c>
      <c r="CE5" s="54">
        <f t="shared" ref="CE5" si="26">CD5+1</f>
        <v>45702</v>
      </c>
      <c r="CF5" s="54">
        <f t="shared" ref="CF5" si="27">CE5+1</f>
        <v>45703</v>
      </c>
      <c r="CG5" s="55">
        <f t="shared" ref="CG5" si="28">CF5+1</f>
        <v>45704</v>
      </c>
      <c r="CH5" s="53">
        <f>CG5+1</f>
        <v>45705</v>
      </c>
      <c r="CI5" s="54">
        <f>CH5+1</f>
        <v>45706</v>
      </c>
      <c r="CJ5" s="54">
        <f t="shared" ref="CJ5" si="29">CI5+1</f>
        <v>45707</v>
      </c>
      <c r="CK5" s="54">
        <f t="shared" ref="CK5" si="30">CJ5+1</f>
        <v>45708</v>
      </c>
      <c r="CL5" s="54">
        <f t="shared" ref="CL5" si="31">CK5+1</f>
        <v>45709</v>
      </c>
      <c r="CM5" s="54">
        <f t="shared" ref="CM5" si="32">CL5+1</f>
        <v>45710</v>
      </c>
      <c r="CN5" s="55">
        <f t="shared" ref="CN5" si="33">CM5+1</f>
        <v>45711</v>
      </c>
      <c r="CO5" s="53">
        <f>CN5+1</f>
        <v>45712</v>
      </c>
      <c r="CP5" s="54">
        <f>CO5+1</f>
        <v>45713</v>
      </c>
      <c r="CQ5" s="54">
        <f t="shared" ref="CQ5" si="34">CP5+1</f>
        <v>45714</v>
      </c>
      <c r="CR5" s="54">
        <f t="shared" ref="CR5" si="35">CQ5+1</f>
        <v>45715</v>
      </c>
      <c r="CS5" s="54">
        <f t="shared" ref="CS5" si="36">CR5+1</f>
        <v>45716</v>
      </c>
      <c r="CT5" s="54">
        <f t="shared" ref="CT5" si="37">CS5+1</f>
        <v>45717</v>
      </c>
      <c r="CU5" s="55">
        <f t="shared" ref="CU5" si="38">CT5+1</f>
        <v>45718</v>
      </c>
      <c r="CV5" s="53">
        <f>CU5+1</f>
        <v>45719</v>
      </c>
      <c r="CW5" s="54">
        <f>CV5+1</f>
        <v>45720</v>
      </c>
      <c r="CX5" s="54">
        <f t="shared" ref="CX5" si="39">CW5+1</f>
        <v>45721</v>
      </c>
      <c r="CY5" s="54">
        <f t="shared" ref="CY5" si="40">CX5+1</f>
        <v>45722</v>
      </c>
      <c r="CZ5" s="54">
        <f t="shared" ref="CZ5" si="41">CY5+1</f>
        <v>45723</v>
      </c>
      <c r="DA5" s="54">
        <f t="shared" ref="DA5" si="42">CZ5+1</f>
        <v>45724</v>
      </c>
      <c r="DB5" s="55">
        <f>DA5+1</f>
        <v>45725</v>
      </c>
      <c r="DC5" s="53">
        <f>DB5+1</f>
        <v>45726</v>
      </c>
      <c r="DD5" s="54">
        <f>DC5+1</f>
        <v>45727</v>
      </c>
      <c r="DE5" s="54">
        <f t="shared" ref="DE5" si="43">DD5+1</f>
        <v>45728</v>
      </c>
      <c r="DF5" s="54">
        <f t="shared" ref="DF5" si="44">DE5+1</f>
        <v>45729</v>
      </c>
      <c r="DG5" s="54">
        <f t="shared" ref="DG5" si="45">DF5+1</f>
        <v>45730</v>
      </c>
      <c r="DH5" s="54">
        <f t="shared" ref="DH5" si="46">DG5+1</f>
        <v>45731</v>
      </c>
      <c r="DI5" s="55">
        <f t="shared" ref="DI5" si="47">DH5+1</f>
        <v>45732</v>
      </c>
      <c r="DJ5" s="53">
        <f>DI5+1</f>
        <v>45733</v>
      </c>
      <c r="DK5" s="54">
        <f>DJ5+1</f>
        <v>45734</v>
      </c>
      <c r="DL5" s="54">
        <f t="shared" ref="DL5" si="48">DK5+1</f>
        <v>45735</v>
      </c>
      <c r="DM5" s="54">
        <f t="shared" ref="DM5" si="49">DL5+1</f>
        <v>45736</v>
      </c>
      <c r="DN5" s="54">
        <f t="shared" ref="DN5" si="50">DM5+1</f>
        <v>45737</v>
      </c>
      <c r="DO5" s="54">
        <f t="shared" ref="DO5" si="51">DN5+1</f>
        <v>45738</v>
      </c>
      <c r="DP5" s="55">
        <f t="shared" ref="DP5" si="52">DO5+1</f>
        <v>45739</v>
      </c>
      <c r="DQ5" s="53">
        <f>DP5+1</f>
        <v>45740</v>
      </c>
      <c r="DR5" s="54">
        <f>DQ5+1</f>
        <v>45741</v>
      </c>
      <c r="DS5" s="54">
        <f t="shared" ref="DS5" si="53">DR5+1</f>
        <v>45742</v>
      </c>
      <c r="DT5" s="54">
        <f t="shared" ref="DT5" si="54">DS5+1</f>
        <v>45743</v>
      </c>
      <c r="DU5" s="54">
        <f t="shared" ref="DU5" si="55">DT5+1</f>
        <v>45744</v>
      </c>
      <c r="DV5" s="54">
        <f t="shared" ref="DV5" si="56">DU5+1</f>
        <v>45745</v>
      </c>
      <c r="DW5" s="55">
        <f t="shared" ref="DW5" si="57">DV5+1</f>
        <v>45746</v>
      </c>
      <c r="DX5" s="53">
        <f>DW5+1</f>
        <v>45747</v>
      </c>
      <c r="DY5" s="54">
        <f>DX5+1</f>
        <v>45748</v>
      </c>
      <c r="DZ5" s="54">
        <f t="shared" ref="DZ5" si="58">DY5+1</f>
        <v>45749</v>
      </c>
      <c r="EA5" s="54">
        <f t="shared" ref="EA5" si="59">DZ5+1</f>
        <v>45750</v>
      </c>
      <c r="EB5" s="54">
        <f t="shared" ref="EB5" si="60">EA5+1</f>
        <v>45751</v>
      </c>
      <c r="EC5" s="54">
        <f t="shared" ref="EC5" si="61">EB5+1</f>
        <v>45752</v>
      </c>
      <c r="ED5" s="55">
        <f>EC5+1</f>
        <v>45753</v>
      </c>
      <c r="EE5" s="53">
        <f>ED5+1</f>
        <v>45754</v>
      </c>
      <c r="EF5" s="54">
        <f>EE5+1</f>
        <v>45755</v>
      </c>
      <c r="EG5" s="54">
        <f t="shared" ref="EG5" si="62">EF5+1</f>
        <v>45756</v>
      </c>
      <c r="EH5" s="54">
        <f t="shared" ref="EH5" si="63">EG5+1</f>
        <v>45757</v>
      </c>
      <c r="EI5" s="54">
        <f t="shared" ref="EI5" si="64">EH5+1</f>
        <v>45758</v>
      </c>
      <c r="EJ5" s="54">
        <f t="shared" ref="EJ5" si="65">EI5+1</f>
        <v>45759</v>
      </c>
      <c r="EK5" s="55">
        <f t="shared" ref="EK5" si="66">EJ5+1</f>
        <v>45760</v>
      </c>
      <c r="EL5" s="53">
        <f>EK5+1</f>
        <v>45761</v>
      </c>
      <c r="EM5" s="54">
        <f>EL5+1</f>
        <v>45762</v>
      </c>
      <c r="EN5" s="54">
        <f t="shared" ref="EN5" si="67">EM5+1</f>
        <v>45763</v>
      </c>
      <c r="EO5" s="54">
        <f t="shared" ref="EO5" si="68">EN5+1</f>
        <v>45764</v>
      </c>
      <c r="EP5" s="54">
        <f t="shared" ref="EP5" si="69">EO5+1</f>
        <v>45765</v>
      </c>
      <c r="EQ5" s="54">
        <f t="shared" ref="EQ5" si="70">EP5+1</f>
        <v>45766</v>
      </c>
      <c r="ER5" s="55">
        <f t="shared" ref="ER5" si="71">EQ5+1</f>
        <v>45767</v>
      </c>
      <c r="ES5" s="53">
        <f>ER5+1</f>
        <v>45768</v>
      </c>
      <c r="ET5" s="54">
        <f>ES5+1</f>
        <v>45769</v>
      </c>
      <c r="EU5" s="54">
        <f t="shared" ref="EU5" si="72">ET5+1</f>
        <v>45770</v>
      </c>
      <c r="EV5" s="54">
        <f t="shared" ref="EV5" si="73">EU5+1</f>
        <v>45771</v>
      </c>
      <c r="EW5" s="54">
        <f t="shared" ref="EW5" si="74">EV5+1</f>
        <v>45772</v>
      </c>
      <c r="EX5" s="54">
        <f t="shared" ref="EX5" si="75">EW5+1</f>
        <v>45773</v>
      </c>
      <c r="EY5" s="55">
        <f>EX5+1</f>
        <v>45774</v>
      </c>
      <c r="EZ5" s="53">
        <f>EY5+1</f>
        <v>45775</v>
      </c>
      <c r="FA5" s="54">
        <f>EZ5+1</f>
        <v>45776</v>
      </c>
      <c r="FB5" s="54">
        <f t="shared" ref="FB5" si="76">FA5+1</f>
        <v>45777</v>
      </c>
      <c r="FC5" s="54">
        <f t="shared" ref="FC5" si="77">FB5+1</f>
        <v>45778</v>
      </c>
      <c r="FD5" s="54">
        <f t="shared" ref="FD5" si="78">FC5+1</f>
        <v>45779</v>
      </c>
      <c r="FE5" s="54">
        <f t="shared" ref="FE5" si="79">FD5+1</f>
        <v>45780</v>
      </c>
      <c r="FF5" s="55">
        <f t="shared" ref="FF5" si="80">FE5+1</f>
        <v>45781</v>
      </c>
      <c r="FG5" s="53">
        <f>FF5+1</f>
        <v>45782</v>
      </c>
      <c r="FH5" s="54">
        <f>FG5+1</f>
        <v>45783</v>
      </c>
      <c r="FI5" s="54">
        <f t="shared" ref="FI5" si="81">FH5+1</f>
        <v>45784</v>
      </c>
      <c r="FJ5" s="54">
        <f t="shared" ref="FJ5" si="82">FI5+1</f>
        <v>45785</v>
      </c>
      <c r="FK5" s="54">
        <f t="shared" ref="FK5" si="83">FJ5+1</f>
        <v>45786</v>
      </c>
      <c r="FL5" s="54">
        <f t="shared" ref="FL5" si="84">FK5+1</f>
        <v>45787</v>
      </c>
      <c r="FM5" s="55">
        <f t="shared" ref="FM5" si="85">FL5+1</f>
        <v>45788</v>
      </c>
      <c r="FN5" s="53">
        <f>FM5+1</f>
        <v>45789</v>
      </c>
      <c r="FO5" s="54">
        <f>FN5+1</f>
        <v>45790</v>
      </c>
      <c r="FP5" s="54">
        <f t="shared" ref="FP5" si="86">FO5+1</f>
        <v>45791</v>
      </c>
      <c r="FQ5" s="54">
        <f t="shared" ref="FQ5" si="87">FP5+1</f>
        <v>45792</v>
      </c>
      <c r="FR5" s="54">
        <f t="shared" ref="FR5" si="88">FQ5+1</f>
        <v>45793</v>
      </c>
      <c r="FS5" s="54">
        <f t="shared" ref="FS5" si="89">FR5+1</f>
        <v>45794</v>
      </c>
      <c r="FT5" s="55">
        <f t="shared" ref="FT5" si="90">FS5+1</f>
        <v>45795</v>
      </c>
      <c r="FU5" s="53">
        <f>FT5+1</f>
        <v>45796</v>
      </c>
      <c r="FV5" s="54">
        <f>FU5+1</f>
        <v>45797</v>
      </c>
      <c r="FW5" s="54">
        <f t="shared" ref="FW5" si="91">FV5+1</f>
        <v>45798</v>
      </c>
      <c r="FX5" s="54">
        <f t="shared" ref="FX5" si="92">FW5+1</f>
        <v>45799</v>
      </c>
      <c r="FY5" s="54">
        <f t="shared" ref="FY5" si="93">FX5+1</f>
        <v>45800</v>
      </c>
      <c r="FZ5" s="54">
        <f t="shared" ref="FZ5" si="94">FY5+1</f>
        <v>45801</v>
      </c>
      <c r="GA5" s="55">
        <f>FZ5+1</f>
        <v>45802</v>
      </c>
      <c r="GB5" s="53">
        <f>GA5+1</f>
        <v>45803</v>
      </c>
      <c r="GC5" s="54">
        <f>GB5+1</f>
        <v>45804</v>
      </c>
      <c r="GD5" s="54">
        <f t="shared" ref="GD5" si="95">GC5+1</f>
        <v>45805</v>
      </c>
      <c r="GE5" s="54">
        <f t="shared" ref="GE5" si="96">GD5+1</f>
        <v>45806</v>
      </c>
      <c r="GF5" s="54">
        <f t="shared" ref="GF5" si="97">GE5+1</f>
        <v>45807</v>
      </c>
      <c r="GG5" s="54">
        <f t="shared" ref="GG5" si="98">GF5+1</f>
        <v>45808</v>
      </c>
      <c r="GH5" s="55">
        <f t="shared" ref="GH5" si="99">GG5+1</f>
        <v>45809</v>
      </c>
      <c r="GI5" s="53">
        <f>GH5+1</f>
        <v>45810</v>
      </c>
      <c r="GJ5" s="54">
        <f>GI5+1</f>
        <v>45811</v>
      </c>
      <c r="GK5" s="54">
        <f t="shared" ref="GK5" si="100">GJ5+1</f>
        <v>45812</v>
      </c>
      <c r="GL5" s="54">
        <f t="shared" ref="GL5" si="101">GK5+1</f>
        <v>45813</v>
      </c>
      <c r="GM5" s="54">
        <f t="shared" ref="GM5" si="102">GL5+1</f>
        <v>45814</v>
      </c>
      <c r="GN5" s="54">
        <f t="shared" ref="GN5" si="103">GM5+1</f>
        <v>45815</v>
      </c>
      <c r="GO5" s="55">
        <f t="shared" ref="GO5" si="104">GN5+1</f>
        <v>45816</v>
      </c>
      <c r="GP5" s="53">
        <f>GO5+1</f>
        <v>45817</v>
      </c>
      <c r="GQ5" s="54">
        <f>GP5+1</f>
        <v>45818</v>
      </c>
      <c r="GR5" s="54">
        <f t="shared" ref="GR5" si="105">GQ5+1</f>
        <v>45819</v>
      </c>
      <c r="GS5" s="54">
        <f t="shared" ref="GS5" si="106">GR5+1</f>
        <v>45820</v>
      </c>
      <c r="GT5" s="54">
        <f t="shared" ref="GT5" si="107">GS5+1</f>
        <v>45821</v>
      </c>
      <c r="GU5" s="54">
        <f t="shared" ref="GU5" si="108">GT5+1</f>
        <v>45822</v>
      </c>
      <c r="GV5" s="55">
        <f t="shared" ref="GV5" si="109">GU5+1</f>
        <v>45823</v>
      </c>
      <c r="GW5" s="53">
        <f>GV5+1</f>
        <v>45824</v>
      </c>
      <c r="GX5" s="54">
        <f>GW5+1</f>
        <v>45825</v>
      </c>
      <c r="GY5" s="54">
        <f t="shared" ref="GY5" si="110">GX5+1</f>
        <v>45826</v>
      </c>
      <c r="GZ5" s="54">
        <f t="shared" ref="GZ5" si="111">GY5+1</f>
        <v>45827</v>
      </c>
      <c r="HA5" s="54">
        <f t="shared" ref="HA5" si="112">GZ5+1</f>
        <v>45828</v>
      </c>
      <c r="HB5" s="54">
        <f t="shared" ref="HB5" si="113">HA5+1</f>
        <v>45829</v>
      </c>
      <c r="HC5" s="55">
        <f>HB5+1</f>
        <v>45830</v>
      </c>
      <c r="HD5" s="53">
        <f>HC5+1</f>
        <v>45831</v>
      </c>
      <c r="HE5" s="54">
        <f>HD5+1</f>
        <v>45832</v>
      </c>
      <c r="HF5" s="54">
        <f t="shared" ref="HF5" si="114">HE5+1</f>
        <v>45833</v>
      </c>
      <c r="HG5" s="54">
        <f t="shared" ref="HG5" si="115">HF5+1</f>
        <v>45834</v>
      </c>
      <c r="HH5" s="54">
        <f t="shared" ref="HH5" si="116">HG5+1</f>
        <v>45835</v>
      </c>
      <c r="HI5" s="54">
        <f t="shared" ref="HI5" si="117">HH5+1</f>
        <v>45836</v>
      </c>
      <c r="HJ5" s="55">
        <f t="shared" ref="HJ5" si="118">HI5+1</f>
        <v>45837</v>
      </c>
      <c r="HK5" s="53">
        <f>HJ5+1</f>
        <v>45838</v>
      </c>
      <c r="HL5" s="54">
        <f>HK5+1</f>
        <v>45839</v>
      </c>
      <c r="HM5" s="54">
        <f t="shared" ref="HM5" si="119">HL5+1</f>
        <v>45840</v>
      </c>
      <c r="HN5" s="54">
        <f t="shared" ref="HN5" si="120">HM5+1</f>
        <v>45841</v>
      </c>
      <c r="HO5" s="54">
        <f t="shared" ref="HO5" si="121">HN5+1</f>
        <v>45842</v>
      </c>
      <c r="HP5" s="54">
        <f t="shared" ref="HP5" si="122">HO5+1</f>
        <v>45843</v>
      </c>
      <c r="HQ5" s="55">
        <f t="shared" ref="HQ5" si="123">HP5+1</f>
        <v>45844</v>
      </c>
      <c r="HR5" s="53">
        <f>HQ5+1</f>
        <v>45845</v>
      </c>
      <c r="HS5" s="54">
        <f>HR5+1</f>
        <v>45846</v>
      </c>
      <c r="HT5" s="54">
        <f t="shared" ref="HT5" si="124">HS5+1</f>
        <v>45847</v>
      </c>
      <c r="HU5" s="54">
        <f t="shared" ref="HU5" si="125">HT5+1</f>
        <v>45848</v>
      </c>
      <c r="HV5" s="54">
        <f t="shared" ref="HV5" si="126">HU5+1</f>
        <v>45849</v>
      </c>
      <c r="HW5" s="54">
        <f t="shared" ref="HW5" si="127">HV5+1</f>
        <v>45850</v>
      </c>
      <c r="HX5" s="55">
        <f t="shared" ref="HX5" si="128">HW5+1</f>
        <v>45851</v>
      </c>
      <c r="HY5" s="53">
        <f>HX5+1</f>
        <v>45852</v>
      </c>
      <c r="HZ5" s="54">
        <f>HY5+1</f>
        <v>45853</v>
      </c>
      <c r="IA5" s="54">
        <f t="shared" ref="IA5" si="129">HZ5+1</f>
        <v>45854</v>
      </c>
      <c r="IB5" s="54">
        <f t="shared" ref="IB5" si="130">IA5+1</f>
        <v>45855</v>
      </c>
      <c r="IC5" s="54">
        <f t="shared" ref="IC5" si="131">IB5+1</f>
        <v>45856</v>
      </c>
      <c r="ID5" s="54">
        <f t="shared" ref="ID5" si="132">IC5+1</f>
        <v>45857</v>
      </c>
      <c r="IE5" s="55">
        <f>ID5+1</f>
        <v>45858</v>
      </c>
      <c r="IF5" s="53">
        <f>IE5+1</f>
        <v>45859</v>
      </c>
      <c r="IG5" s="54">
        <f>IF5+1</f>
        <v>45860</v>
      </c>
      <c r="IH5" s="54">
        <f t="shared" ref="IH5" si="133">IG5+1</f>
        <v>45861</v>
      </c>
      <c r="II5" s="54">
        <f t="shared" ref="II5" si="134">IH5+1</f>
        <v>45862</v>
      </c>
      <c r="IJ5" s="54">
        <f t="shared" ref="IJ5" si="135">II5+1</f>
        <v>45863</v>
      </c>
      <c r="IK5" s="54">
        <f t="shared" ref="IK5" si="136">IJ5+1</f>
        <v>45864</v>
      </c>
      <c r="IL5" s="55">
        <f t="shared" ref="IL5" si="137">IK5+1</f>
        <v>45865</v>
      </c>
      <c r="IM5" s="53">
        <f>IL5+1</f>
        <v>45866</v>
      </c>
      <c r="IN5" s="54">
        <f>IM5+1</f>
        <v>45867</v>
      </c>
      <c r="IO5" s="54">
        <f t="shared" ref="IO5" si="138">IN5+1</f>
        <v>45868</v>
      </c>
      <c r="IP5" s="54">
        <f t="shared" ref="IP5" si="139">IO5+1</f>
        <v>45869</v>
      </c>
      <c r="IQ5" s="54">
        <f t="shared" ref="IQ5" si="140">IP5+1</f>
        <v>45870</v>
      </c>
      <c r="IR5" s="54">
        <f t="shared" ref="IR5" si="141">IQ5+1</f>
        <v>45871</v>
      </c>
      <c r="IS5" s="55">
        <f t="shared" ref="IS5" si="142">IR5+1</f>
        <v>45872</v>
      </c>
    </row>
    <row r="6" spans="1:253" ht="30" customHeight="1" thickBot="1">
      <c r="A6" s="26" t="s">
        <v>8</v>
      </c>
      <c r="B6" s="7" t="s">
        <v>9</v>
      </c>
      <c r="C6" s="8"/>
      <c r="D6" s="8"/>
      <c r="E6" s="8" t="s">
        <v>10</v>
      </c>
      <c r="F6" s="8" t="s">
        <v>11</v>
      </c>
      <c r="G6" s="8"/>
      <c r="H6" s="8" t="s">
        <v>12</v>
      </c>
      <c r="I6" s="9" t="str">
        <f t="shared" ref="I6:AN6" si="143">LEFT(TEXT(I5,"ggg"),1)</f>
        <v>l</v>
      </c>
      <c r="J6" s="9" t="str">
        <f t="shared" si="143"/>
        <v>m</v>
      </c>
      <c r="K6" s="9" t="str">
        <f t="shared" si="143"/>
        <v>m</v>
      </c>
      <c r="L6" s="9" t="str">
        <f t="shared" si="143"/>
        <v>g</v>
      </c>
      <c r="M6" s="9" t="str">
        <f t="shared" si="143"/>
        <v>v</v>
      </c>
      <c r="N6" s="9" t="str">
        <f t="shared" si="143"/>
        <v>s</v>
      </c>
      <c r="O6" s="9" t="str">
        <f t="shared" si="143"/>
        <v>d</v>
      </c>
      <c r="P6" s="9" t="str">
        <f t="shared" si="143"/>
        <v>l</v>
      </c>
      <c r="Q6" s="9" t="str">
        <f t="shared" si="143"/>
        <v>m</v>
      </c>
      <c r="R6" s="9" t="str">
        <f t="shared" si="143"/>
        <v>m</v>
      </c>
      <c r="S6" s="9" t="str">
        <f t="shared" si="143"/>
        <v>g</v>
      </c>
      <c r="T6" s="9" t="str">
        <f t="shared" si="143"/>
        <v>v</v>
      </c>
      <c r="U6" s="9" t="str">
        <f t="shared" si="143"/>
        <v>s</v>
      </c>
      <c r="V6" s="9" t="str">
        <f t="shared" si="143"/>
        <v>d</v>
      </c>
      <c r="W6" s="9" t="str">
        <f t="shared" si="143"/>
        <v>l</v>
      </c>
      <c r="X6" s="9" t="str">
        <f t="shared" si="143"/>
        <v>m</v>
      </c>
      <c r="Y6" s="9" t="str">
        <f t="shared" si="143"/>
        <v>m</v>
      </c>
      <c r="Z6" s="9" t="str">
        <f t="shared" si="143"/>
        <v>g</v>
      </c>
      <c r="AA6" s="9" t="str">
        <f t="shared" si="143"/>
        <v>v</v>
      </c>
      <c r="AB6" s="9" t="str">
        <f t="shared" si="143"/>
        <v>s</v>
      </c>
      <c r="AC6" s="9" t="str">
        <f t="shared" si="143"/>
        <v>d</v>
      </c>
      <c r="AD6" s="9" t="str">
        <f t="shared" si="143"/>
        <v>l</v>
      </c>
      <c r="AE6" s="9" t="str">
        <f t="shared" si="143"/>
        <v>m</v>
      </c>
      <c r="AF6" s="9" t="str">
        <f t="shared" si="143"/>
        <v>m</v>
      </c>
      <c r="AG6" s="9" t="str">
        <f t="shared" si="143"/>
        <v>g</v>
      </c>
      <c r="AH6" s="9" t="str">
        <f t="shared" si="143"/>
        <v>v</v>
      </c>
      <c r="AI6" s="9" t="str">
        <f t="shared" si="143"/>
        <v>s</v>
      </c>
      <c r="AJ6" s="9" t="str">
        <f t="shared" si="143"/>
        <v>d</v>
      </c>
      <c r="AK6" s="9" t="str">
        <f>LEFT(TEXT(AK5,"ggg"),1)</f>
        <v>l</v>
      </c>
      <c r="AL6" s="9" t="str">
        <f t="shared" si="143"/>
        <v>m</v>
      </c>
      <c r="AM6" s="9" t="str">
        <f t="shared" si="143"/>
        <v>m</v>
      </c>
      <c r="AN6" s="9" t="str">
        <f t="shared" si="143"/>
        <v>g</v>
      </c>
      <c r="AO6" s="9" t="str">
        <f t="shared" ref="AO6:AQ6" si="144">LEFT(TEXT(AO5,"ggg"),1)</f>
        <v>v</v>
      </c>
      <c r="AP6" s="9" t="str">
        <f t="shared" si="144"/>
        <v>s</v>
      </c>
      <c r="AQ6" s="9" t="str">
        <f t="shared" si="144"/>
        <v>d</v>
      </c>
      <c r="AR6" s="9" t="str">
        <f>LEFT(TEXT(AR5,"ggg"),1)</f>
        <v>l</v>
      </c>
      <c r="AS6" s="9" t="str">
        <f t="shared" ref="AS6:AX6" si="145">LEFT(TEXT(AS5,"ggg"),1)</f>
        <v>m</v>
      </c>
      <c r="AT6" s="9" t="str">
        <f t="shared" si="145"/>
        <v>m</v>
      </c>
      <c r="AU6" s="9" t="str">
        <f t="shared" si="145"/>
        <v>g</v>
      </c>
      <c r="AV6" s="9" t="str">
        <f t="shared" si="145"/>
        <v>v</v>
      </c>
      <c r="AW6" s="9" t="str">
        <f t="shared" si="145"/>
        <v>s</v>
      </c>
      <c r="AX6" s="9" t="str">
        <f t="shared" si="145"/>
        <v>d</v>
      </c>
      <c r="AY6" s="9" t="str">
        <f>LEFT(TEXT(AY5,"ggg"),1)</f>
        <v>l</v>
      </c>
      <c r="AZ6" s="9" t="str">
        <f t="shared" ref="AZ6:BE6" si="146">LEFT(TEXT(AZ5,"ggg"),1)</f>
        <v>m</v>
      </c>
      <c r="BA6" s="9" t="str">
        <f t="shared" si="146"/>
        <v>m</v>
      </c>
      <c r="BB6" s="9" t="str">
        <f t="shared" si="146"/>
        <v>g</v>
      </c>
      <c r="BC6" s="9" t="str">
        <f t="shared" si="146"/>
        <v>v</v>
      </c>
      <c r="BD6" s="9" t="str">
        <f t="shared" si="146"/>
        <v>s</v>
      </c>
      <c r="BE6" s="9" t="str">
        <f t="shared" si="146"/>
        <v>d</v>
      </c>
      <c r="BF6" s="9" t="str">
        <f>LEFT(TEXT(BF5,"ggg"),1)</f>
        <v>l</v>
      </c>
      <c r="BG6" s="9" t="str">
        <f t="shared" ref="BG6:BL6" si="147">LEFT(TEXT(BG5,"ggg"),1)</f>
        <v>m</v>
      </c>
      <c r="BH6" s="9" t="str">
        <f t="shared" si="147"/>
        <v>m</v>
      </c>
      <c r="BI6" s="9" t="str">
        <f t="shared" si="147"/>
        <v>g</v>
      </c>
      <c r="BJ6" s="9" t="str">
        <f t="shared" si="147"/>
        <v>v</v>
      </c>
      <c r="BK6" s="9" t="str">
        <f t="shared" si="147"/>
        <v>s</v>
      </c>
      <c r="BL6" s="9" t="str">
        <f t="shared" si="147"/>
        <v>d</v>
      </c>
      <c r="BM6" s="9" t="str">
        <f>LEFT(TEXT(BM5,"ggg"),1)</f>
        <v>l</v>
      </c>
      <c r="BN6" s="9" t="str">
        <f t="shared" ref="BN6:CN6" si="148">LEFT(TEXT(BN5,"ggg"),1)</f>
        <v>m</v>
      </c>
      <c r="BO6" s="9" t="str">
        <f t="shared" si="148"/>
        <v>m</v>
      </c>
      <c r="BP6" s="9" t="str">
        <f t="shared" si="148"/>
        <v>g</v>
      </c>
      <c r="BQ6" s="9" t="str">
        <f t="shared" si="148"/>
        <v>v</v>
      </c>
      <c r="BR6" s="9" t="str">
        <f t="shared" si="148"/>
        <v>s</v>
      </c>
      <c r="BS6" s="9" t="str">
        <f t="shared" si="148"/>
        <v>d</v>
      </c>
      <c r="BT6" s="9" t="str">
        <f>LEFT(TEXT(BT5,"ggg"),1)</f>
        <v>l</v>
      </c>
      <c r="BU6" s="9" t="str">
        <f t="shared" ref="BU6:BZ6" si="149">LEFT(TEXT(BU5,"ggg"),1)</f>
        <v>m</v>
      </c>
      <c r="BV6" s="9" t="str">
        <f t="shared" si="149"/>
        <v>m</v>
      </c>
      <c r="BW6" s="9" t="str">
        <f t="shared" si="149"/>
        <v>g</v>
      </c>
      <c r="BX6" s="9" t="str">
        <f t="shared" si="149"/>
        <v>v</v>
      </c>
      <c r="BY6" s="9" t="str">
        <f t="shared" si="149"/>
        <v>s</v>
      </c>
      <c r="BZ6" s="9" t="str">
        <f t="shared" si="149"/>
        <v>d</v>
      </c>
      <c r="CA6" s="9" t="str">
        <f>LEFT(TEXT(CA5,"ggg"),1)</f>
        <v>l</v>
      </c>
      <c r="CB6" s="9" t="str">
        <f t="shared" ref="CB6:CG6" si="150">LEFT(TEXT(CB5,"ggg"),1)</f>
        <v>m</v>
      </c>
      <c r="CC6" s="9" t="str">
        <f t="shared" si="150"/>
        <v>m</v>
      </c>
      <c r="CD6" s="9" t="str">
        <f t="shared" si="150"/>
        <v>g</v>
      </c>
      <c r="CE6" s="9" t="str">
        <f t="shared" si="150"/>
        <v>v</v>
      </c>
      <c r="CF6" s="9" t="str">
        <f t="shared" si="150"/>
        <v>s</v>
      </c>
      <c r="CG6" s="9" t="str">
        <f t="shared" si="150"/>
        <v>d</v>
      </c>
      <c r="CH6" s="9" t="str">
        <f>LEFT(TEXT(CH5,"ggg"),1)</f>
        <v>l</v>
      </c>
      <c r="CI6" s="9" t="str">
        <f t="shared" ref="CI6:CN6" si="151">LEFT(TEXT(CI5,"ggg"),1)</f>
        <v>m</v>
      </c>
      <c r="CJ6" s="9" t="str">
        <f t="shared" si="151"/>
        <v>m</v>
      </c>
      <c r="CK6" s="9" t="str">
        <f t="shared" si="151"/>
        <v>g</v>
      </c>
      <c r="CL6" s="9" t="str">
        <f t="shared" si="151"/>
        <v>v</v>
      </c>
      <c r="CM6" s="9" t="str">
        <f t="shared" si="151"/>
        <v>s</v>
      </c>
      <c r="CN6" s="9" t="str">
        <f t="shared" si="151"/>
        <v>d</v>
      </c>
      <c r="CO6" s="9" t="str">
        <f>LEFT(TEXT(CO5,"ggg"),1)</f>
        <v>l</v>
      </c>
      <c r="CP6" s="9" t="str">
        <f t="shared" ref="CP6:DU6" si="152">LEFT(TEXT(CP5,"ggg"),1)</f>
        <v>m</v>
      </c>
      <c r="CQ6" s="9" t="str">
        <f t="shared" si="152"/>
        <v>m</v>
      </c>
      <c r="CR6" s="9" t="str">
        <f t="shared" si="152"/>
        <v>g</v>
      </c>
      <c r="CS6" s="9" t="str">
        <f t="shared" si="152"/>
        <v>v</v>
      </c>
      <c r="CT6" s="9" t="str">
        <f t="shared" si="152"/>
        <v>s</v>
      </c>
      <c r="CU6" s="9" t="str">
        <f t="shared" si="152"/>
        <v>d</v>
      </c>
      <c r="CV6" s="9" t="str">
        <f>LEFT(TEXT(CV5,"ggg"),1)</f>
        <v>l</v>
      </c>
      <c r="CW6" s="9" t="str">
        <f t="shared" ref="CW6:DB6" si="153">LEFT(TEXT(CW5,"ggg"),1)</f>
        <v>m</v>
      </c>
      <c r="CX6" s="9" t="str">
        <f t="shared" si="153"/>
        <v>m</v>
      </c>
      <c r="CY6" s="9" t="str">
        <f t="shared" si="153"/>
        <v>g</v>
      </c>
      <c r="CZ6" s="9" t="str">
        <f t="shared" si="153"/>
        <v>v</v>
      </c>
      <c r="DA6" s="9" t="str">
        <f t="shared" si="153"/>
        <v>s</v>
      </c>
      <c r="DB6" s="9" t="str">
        <f t="shared" si="153"/>
        <v>d</v>
      </c>
      <c r="DC6" s="9" t="str">
        <f>LEFT(TEXT(DC5,"ggg"),1)</f>
        <v>l</v>
      </c>
      <c r="DD6" s="9" t="str">
        <f t="shared" ref="DD6:DI6" si="154">LEFT(TEXT(DD5,"ggg"),1)</f>
        <v>m</v>
      </c>
      <c r="DE6" s="9" t="str">
        <f t="shared" si="154"/>
        <v>m</v>
      </c>
      <c r="DF6" s="9" t="str">
        <f t="shared" si="154"/>
        <v>g</v>
      </c>
      <c r="DG6" s="9" t="str">
        <f t="shared" si="154"/>
        <v>v</v>
      </c>
      <c r="DH6" s="9" t="str">
        <f t="shared" si="154"/>
        <v>s</v>
      </c>
      <c r="DI6" s="9" t="str">
        <f t="shared" si="154"/>
        <v>d</v>
      </c>
      <c r="DJ6" s="9" t="str">
        <f>LEFT(TEXT(DJ5,"ggg"),1)</f>
        <v>l</v>
      </c>
      <c r="DK6" s="9" t="str">
        <f t="shared" ref="DK6:DP6" si="155">LEFT(TEXT(DK5,"ggg"),1)</f>
        <v>m</v>
      </c>
      <c r="DL6" s="9" t="str">
        <f t="shared" si="155"/>
        <v>m</v>
      </c>
      <c r="DM6" s="9" t="str">
        <f t="shared" si="155"/>
        <v>g</v>
      </c>
      <c r="DN6" s="9" t="str">
        <f t="shared" si="155"/>
        <v>v</v>
      </c>
      <c r="DO6" s="9" t="str">
        <f t="shared" si="155"/>
        <v>s</v>
      </c>
      <c r="DP6" s="9" t="str">
        <f t="shared" si="155"/>
        <v>d</v>
      </c>
      <c r="DQ6" s="9" t="str">
        <f>LEFT(TEXT(DQ5,"ggg"),1)</f>
        <v>l</v>
      </c>
      <c r="DR6" s="9" t="str">
        <f t="shared" ref="DR6:ER6" si="156">LEFT(TEXT(DR5,"ggg"),1)</f>
        <v>m</v>
      </c>
      <c r="DS6" s="9" t="str">
        <f t="shared" si="156"/>
        <v>m</v>
      </c>
      <c r="DT6" s="9" t="str">
        <f t="shared" si="156"/>
        <v>g</v>
      </c>
      <c r="DU6" s="9" t="str">
        <f t="shared" si="156"/>
        <v>v</v>
      </c>
      <c r="DV6" s="9" t="str">
        <f t="shared" si="156"/>
        <v>s</v>
      </c>
      <c r="DW6" s="9" t="str">
        <f t="shared" si="156"/>
        <v>d</v>
      </c>
      <c r="DX6" s="9" t="str">
        <f>LEFT(TEXT(DX5,"ggg"),1)</f>
        <v>l</v>
      </c>
      <c r="DY6" s="9" t="str">
        <f t="shared" ref="DY6:ED6" si="157">LEFT(TEXT(DY5,"ggg"),1)</f>
        <v>m</v>
      </c>
      <c r="DZ6" s="9" t="str">
        <f t="shared" si="157"/>
        <v>m</v>
      </c>
      <c r="EA6" s="9" t="str">
        <f t="shared" si="157"/>
        <v>g</v>
      </c>
      <c r="EB6" s="9" t="str">
        <f t="shared" si="157"/>
        <v>v</v>
      </c>
      <c r="EC6" s="9" t="str">
        <f t="shared" si="157"/>
        <v>s</v>
      </c>
      <c r="ED6" s="9" t="str">
        <f t="shared" si="157"/>
        <v>d</v>
      </c>
      <c r="EE6" s="9" t="str">
        <f>LEFT(TEXT(EE5,"ggg"),1)</f>
        <v>l</v>
      </c>
      <c r="EF6" s="9" t="str">
        <f t="shared" ref="EF6:EK6" si="158">LEFT(TEXT(EF5,"ggg"),1)</f>
        <v>m</v>
      </c>
      <c r="EG6" s="9" t="str">
        <f t="shared" si="158"/>
        <v>m</v>
      </c>
      <c r="EH6" s="9" t="str">
        <f t="shared" si="158"/>
        <v>g</v>
      </c>
      <c r="EI6" s="9" t="str">
        <f t="shared" si="158"/>
        <v>v</v>
      </c>
      <c r="EJ6" s="9" t="str">
        <f t="shared" si="158"/>
        <v>s</v>
      </c>
      <c r="EK6" s="9" t="str">
        <f t="shared" si="158"/>
        <v>d</v>
      </c>
      <c r="EL6" s="9" t="str">
        <f>LEFT(TEXT(EL5,"ggg"),1)</f>
        <v>l</v>
      </c>
      <c r="EM6" s="9" t="str">
        <f t="shared" ref="EM6:ER6" si="159">LEFT(TEXT(EM5,"ggg"),1)</f>
        <v>m</v>
      </c>
      <c r="EN6" s="9" t="str">
        <f t="shared" si="159"/>
        <v>m</v>
      </c>
      <c r="EO6" s="9" t="str">
        <f t="shared" si="159"/>
        <v>g</v>
      </c>
      <c r="EP6" s="9" t="str">
        <f t="shared" si="159"/>
        <v>v</v>
      </c>
      <c r="EQ6" s="9" t="str">
        <f t="shared" si="159"/>
        <v>s</v>
      </c>
      <c r="ER6" s="9" t="str">
        <f t="shared" si="159"/>
        <v>d</v>
      </c>
      <c r="ES6" s="9" t="str">
        <f>LEFT(TEXT(ES5,"ggg"),1)</f>
        <v>l</v>
      </c>
      <c r="ET6" s="9" t="str">
        <f t="shared" ref="ET6:EY6" si="160">LEFT(TEXT(ET5,"ggg"),1)</f>
        <v>m</v>
      </c>
      <c r="EU6" s="9" t="str">
        <f t="shared" si="160"/>
        <v>m</v>
      </c>
      <c r="EV6" s="9" t="str">
        <f t="shared" si="160"/>
        <v>g</v>
      </c>
      <c r="EW6" s="9" t="str">
        <f t="shared" si="160"/>
        <v>v</v>
      </c>
      <c r="EX6" s="9" t="str">
        <f t="shared" si="160"/>
        <v>s</v>
      </c>
      <c r="EY6" s="9" t="str">
        <f t="shared" si="160"/>
        <v>d</v>
      </c>
      <c r="EZ6" s="9" t="str">
        <f>LEFT(TEXT(EZ5,"ggg"),1)</f>
        <v>l</v>
      </c>
      <c r="FA6" s="9" t="str">
        <f t="shared" ref="FA6:FF6" si="161">LEFT(TEXT(FA5,"ggg"),1)</f>
        <v>m</v>
      </c>
      <c r="FB6" s="9" t="str">
        <f t="shared" si="161"/>
        <v>m</v>
      </c>
      <c r="FC6" s="9" t="str">
        <f t="shared" si="161"/>
        <v>g</v>
      </c>
      <c r="FD6" s="9" t="str">
        <f t="shared" si="161"/>
        <v>v</v>
      </c>
      <c r="FE6" s="9" t="str">
        <f t="shared" si="161"/>
        <v>s</v>
      </c>
      <c r="FF6" s="9" t="str">
        <f t="shared" si="161"/>
        <v>d</v>
      </c>
      <c r="FG6" s="9" t="str">
        <f>LEFT(TEXT(FG5,"ggg"),1)</f>
        <v>l</v>
      </c>
      <c r="FH6" s="9" t="str">
        <f t="shared" ref="FH6:FM6" si="162">LEFT(TEXT(FH5,"ggg"),1)</f>
        <v>m</v>
      </c>
      <c r="FI6" s="9" t="str">
        <f t="shared" si="162"/>
        <v>m</v>
      </c>
      <c r="FJ6" s="9" t="str">
        <f t="shared" si="162"/>
        <v>g</v>
      </c>
      <c r="FK6" s="9" t="str">
        <f t="shared" si="162"/>
        <v>v</v>
      </c>
      <c r="FL6" s="9" t="str">
        <f t="shared" si="162"/>
        <v>s</v>
      </c>
      <c r="FM6" s="9" t="str">
        <f t="shared" si="162"/>
        <v>d</v>
      </c>
      <c r="FN6" s="9" t="str">
        <f>LEFT(TEXT(FN5,"ggg"),1)</f>
        <v>l</v>
      </c>
      <c r="FO6" s="9" t="str">
        <f t="shared" ref="FO6:FT6" si="163">LEFT(TEXT(FO5,"ggg"),1)</f>
        <v>m</v>
      </c>
      <c r="FP6" s="9" t="str">
        <f t="shared" si="163"/>
        <v>m</v>
      </c>
      <c r="FQ6" s="9" t="str">
        <f t="shared" si="163"/>
        <v>g</v>
      </c>
      <c r="FR6" s="9" t="str">
        <f t="shared" si="163"/>
        <v>v</v>
      </c>
      <c r="FS6" s="9" t="str">
        <f t="shared" si="163"/>
        <v>s</v>
      </c>
      <c r="FT6" s="9" t="str">
        <f t="shared" si="163"/>
        <v>d</v>
      </c>
      <c r="FU6" s="9" t="str">
        <f>LEFT(TEXT(FU5,"ggg"),1)</f>
        <v>l</v>
      </c>
      <c r="FV6" s="9" t="str">
        <f t="shared" ref="FV6:GA6" si="164">LEFT(TEXT(FV5,"ggg"),1)</f>
        <v>m</v>
      </c>
      <c r="FW6" s="9" t="str">
        <f t="shared" si="164"/>
        <v>m</v>
      </c>
      <c r="FX6" s="9" t="str">
        <f t="shared" si="164"/>
        <v>g</v>
      </c>
      <c r="FY6" s="9" t="str">
        <f t="shared" si="164"/>
        <v>v</v>
      </c>
      <c r="FZ6" s="9" t="str">
        <f t="shared" si="164"/>
        <v>s</v>
      </c>
      <c r="GA6" s="9" t="str">
        <f t="shared" si="164"/>
        <v>d</v>
      </c>
      <c r="GB6" s="9" t="str">
        <f>LEFT(TEXT(GB5,"ggg"),1)</f>
        <v>l</v>
      </c>
      <c r="GC6" s="9" t="str">
        <f t="shared" ref="GC6:GH6" si="165">LEFT(TEXT(GC5,"ggg"),1)</f>
        <v>m</v>
      </c>
      <c r="GD6" s="9" t="str">
        <f t="shared" si="165"/>
        <v>m</v>
      </c>
      <c r="GE6" s="9" t="str">
        <f t="shared" si="165"/>
        <v>g</v>
      </c>
      <c r="GF6" s="9" t="str">
        <f t="shared" si="165"/>
        <v>v</v>
      </c>
      <c r="GG6" s="9" t="str">
        <f t="shared" si="165"/>
        <v>s</v>
      </c>
      <c r="GH6" s="9" t="str">
        <f t="shared" si="165"/>
        <v>d</v>
      </c>
      <c r="GI6" s="9" t="str">
        <f>LEFT(TEXT(GI5,"ggg"),1)</f>
        <v>l</v>
      </c>
      <c r="GJ6" s="9" t="str">
        <f t="shared" ref="GJ6:GO6" si="166">LEFT(TEXT(GJ5,"ggg"),1)</f>
        <v>m</v>
      </c>
      <c r="GK6" s="9" t="str">
        <f t="shared" si="166"/>
        <v>m</v>
      </c>
      <c r="GL6" s="9" t="str">
        <f t="shared" si="166"/>
        <v>g</v>
      </c>
      <c r="GM6" s="9" t="str">
        <f t="shared" si="166"/>
        <v>v</v>
      </c>
      <c r="GN6" s="9" t="str">
        <f t="shared" si="166"/>
        <v>s</v>
      </c>
      <c r="GO6" s="9" t="str">
        <f t="shared" si="166"/>
        <v>d</v>
      </c>
      <c r="GP6" s="9" t="str">
        <f>LEFT(TEXT(GP5,"ggg"),1)</f>
        <v>l</v>
      </c>
      <c r="GQ6" s="9" t="str">
        <f t="shared" ref="GQ6:GV6" si="167">LEFT(TEXT(GQ5,"ggg"),1)</f>
        <v>m</v>
      </c>
      <c r="GR6" s="9" t="str">
        <f t="shared" si="167"/>
        <v>m</v>
      </c>
      <c r="GS6" s="9" t="str">
        <f t="shared" si="167"/>
        <v>g</v>
      </c>
      <c r="GT6" s="9" t="str">
        <f t="shared" si="167"/>
        <v>v</v>
      </c>
      <c r="GU6" s="9" t="str">
        <f t="shared" si="167"/>
        <v>s</v>
      </c>
      <c r="GV6" s="9" t="str">
        <f t="shared" si="167"/>
        <v>d</v>
      </c>
      <c r="GW6" s="9" t="str">
        <f>LEFT(TEXT(GW5,"ggg"),1)</f>
        <v>l</v>
      </c>
      <c r="GX6" s="9" t="str">
        <f t="shared" ref="GX6:HC6" si="168">LEFT(TEXT(GX5,"ggg"),1)</f>
        <v>m</v>
      </c>
      <c r="GY6" s="9" t="str">
        <f t="shared" si="168"/>
        <v>m</v>
      </c>
      <c r="GZ6" s="9" t="str">
        <f t="shared" si="168"/>
        <v>g</v>
      </c>
      <c r="HA6" s="9" t="str">
        <f t="shared" si="168"/>
        <v>v</v>
      </c>
      <c r="HB6" s="9" t="str">
        <f t="shared" si="168"/>
        <v>s</v>
      </c>
      <c r="HC6" s="9" t="str">
        <f t="shared" si="168"/>
        <v>d</v>
      </c>
      <c r="HD6" s="9" t="str">
        <f>LEFT(TEXT(HD5,"ggg"),1)</f>
        <v>l</v>
      </c>
      <c r="HE6" s="9" t="str">
        <f t="shared" ref="HE6:HJ6" si="169">LEFT(TEXT(HE5,"ggg"),1)</f>
        <v>m</v>
      </c>
      <c r="HF6" s="9" t="str">
        <f t="shared" si="169"/>
        <v>m</v>
      </c>
      <c r="HG6" s="9" t="str">
        <f t="shared" si="169"/>
        <v>g</v>
      </c>
      <c r="HH6" s="9" t="str">
        <f t="shared" si="169"/>
        <v>v</v>
      </c>
      <c r="HI6" s="9" t="str">
        <f t="shared" si="169"/>
        <v>s</v>
      </c>
      <c r="HJ6" s="9" t="str">
        <f t="shared" si="169"/>
        <v>d</v>
      </c>
      <c r="HK6" s="9" t="str">
        <f>LEFT(TEXT(HK5,"ggg"),1)</f>
        <v>l</v>
      </c>
      <c r="HL6" s="9" t="str">
        <f t="shared" ref="HL6:HQ6" si="170">LEFT(TEXT(HL5,"ggg"),1)</f>
        <v>m</v>
      </c>
      <c r="HM6" s="9" t="str">
        <f t="shared" si="170"/>
        <v>m</v>
      </c>
      <c r="HN6" s="9" t="str">
        <f t="shared" si="170"/>
        <v>g</v>
      </c>
      <c r="HO6" s="9" t="str">
        <f t="shared" si="170"/>
        <v>v</v>
      </c>
      <c r="HP6" s="9" t="str">
        <f t="shared" si="170"/>
        <v>s</v>
      </c>
      <c r="HQ6" s="9" t="str">
        <f t="shared" si="170"/>
        <v>d</v>
      </c>
      <c r="HR6" s="9" t="str">
        <f>LEFT(TEXT(HR5,"ggg"),1)</f>
        <v>l</v>
      </c>
      <c r="HS6" s="9" t="str">
        <f t="shared" ref="HS6:HX6" si="171">LEFT(TEXT(HS5,"ggg"),1)</f>
        <v>m</v>
      </c>
      <c r="HT6" s="9" t="str">
        <f t="shared" si="171"/>
        <v>m</v>
      </c>
      <c r="HU6" s="9" t="str">
        <f t="shared" si="171"/>
        <v>g</v>
      </c>
      <c r="HV6" s="9" t="str">
        <f t="shared" si="171"/>
        <v>v</v>
      </c>
      <c r="HW6" s="9" t="str">
        <f t="shared" si="171"/>
        <v>s</v>
      </c>
      <c r="HX6" s="9" t="str">
        <f t="shared" si="171"/>
        <v>d</v>
      </c>
      <c r="HY6" s="9" t="str">
        <f>LEFT(TEXT(HY5,"ggg"),1)</f>
        <v>l</v>
      </c>
      <c r="HZ6" s="9" t="str">
        <f t="shared" ref="HZ6:IE6" si="172">LEFT(TEXT(HZ5,"ggg"),1)</f>
        <v>m</v>
      </c>
      <c r="IA6" s="9" t="str">
        <f t="shared" si="172"/>
        <v>m</v>
      </c>
      <c r="IB6" s="9" t="str">
        <f t="shared" si="172"/>
        <v>g</v>
      </c>
      <c r="IC6" s="9" t="str">
        <f t="shared" si="172"/>
        <v>v</v>
      </c>
      <c r="ID6" s="9" t="str">
        <f t="shared" si="172"/>
        <v>s</v>
      </c>
      <c r="IE6" s="9" t="str">
        <f t="shared" si="172"/>
        <v>d</v>
      </c>
      <c r="IF6" s="9" t="str">
        <f>LEFT(TEXT(IF5,"ggg"),1)</f>
        <v>l</v>
      </c>
      <c r="IG6" s="9" t="str">
        <f t="shared" ref="IG6:IL6" si="173">LEFT(TEXT(IG5,"ggg"),1)</f>
        <v>m</v>
      </c>
      <c r="IH6" s="9" t="str">
        <f t="shared" si="173"/>
        <v>m</v>
      </c>
      <c r="II6" s="9" t="str">
        <f t="shared" si="173"/>
        <v>g</v>
      </c>
      <c r="IJ6" s="9" t="str">
        <f t="shared" si="173"/>
        <v>v</v>
      </c>
      <c r="IK6" s="9" t="str">
        <f t="shared" si="173"/>
        <v>s</v>
      </c>
      <c r="IL6" s="9" t="str">
        <f t="shared" si="173"/>
        <v>d</v>
      </c>
      <c r="IM6" s="9" t="str">
        <f>LEFT(TEXT(IM5,"ggg"),1)</f>
        <v>l</v>
      </c>
      <c r="IN6" s="9" t="str">
        <f t="shared" ref="IN6:IS6" si="174">LEFT(TEXT(IN5,"ggg"),1)</f>
        <v>m</v>
      </c>
      <c r="IO6" s="9" t="str">
        <f t="shared" si="174"/>
        <v>m</v>
      </c>
      <c r="IP6" s="9" t="str">
        <f t="shared" si="174"/>
        <v>g</v>
      </c>
      <c r="IQ6" s="9" t="str">
        <f t="shared" si="174"/>
        <v>v</v>
      </c>
      <c r="IR6" s="9" t="str">
        <f t="shared" si="174"/>
        <v>s</v>
      </c>
      <c r="IS6" s="9" t="str">
        <f t="shared" si="174"/>
        <v>d</v>
      </c>
    </row>
    <row r="7" spans="1:253" ht="30" hidden="1" customHeight="1" thickBot="1">
      <c r="A7" s="25" t="s">
        <v>13</v>
      </c>
      <c r="C7" s="28"/>
      <c r="E7"/>
      <c r="H7" t="str">
        <f ca="1">IF(OR(ISBLANK(inizio_attività),ISBLANK(fine_attività)),"",fine_attività-inizio_attività+1)</f>
        <v/>
      </c>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c r="DU7" s="22"/>
      <c r="DV7" s="22"/>
      <c r="DW7" s="22"/>
      <c r="DX7" s="22"/>
      <c r="DY7" s="22"/>
      <c r="DZ7" s="22"/>
      <c r="EA7" s="22"/>
      <c r="EB7" s="22"/>
      <c r="EC7" s="22"/>
      <c r="ED7" s="22"/>
      <c r="EE7" s="22"/>
      <c r="EF7" s="22"/>
      <c r="EG7" s="22"/>
      <c r="EH7" s="22"/>
      <c r="EI7" s="22"/>
      <c r="EJ7" s="22"/>
      <c r="EK7" s="22"/>
      <c r="EL7" s="22"/>
      <c r="EM7" s="22"/>
      <c r="EN7" s="22"/>
      <c r="EO7" s="22"/>
      <c r="EP7" s="22"/>
      <c r="EQ7" s="22"/>
      <c r="ER7" s="22"/>
      <c r="ES7" s="22"/>
      <c r="ET7" s="22"/>
      <c r="EU7" s="22"/>
      <c r="EV7" s="22"/>
      <c r="EW7" s="22"/>
      <c r="EX7" s="22"/>
      <c r="EY7" s="22"/>
      <c r="EZ7" s="22"/>
      <c r="FA7" s="22"/>
      <c r="FB7" s="22"/>
      <c r="FC7" s="22"/>
      <c r="FD7" s="22"/>
      <c r="FE7" s="22"/>
      <c r="FF7" s="22"/>
      <c r="FG7" s="22"/>
      <c r="FH7" s="22"/>
      <c r="FI7" s="22"/>
      <c r="FJ7" s="22"/>
      <c r="FK7" s="22"/>
      <c r="FL7" s="22"/>
      <c r="FM7" s="22"/>
      <c r="FN7" s="22"/>
      <c r="FO7" s="22"/>
      <c r="FP7" s="22"/>
      <c r="FQ7" s="22"/>
      <c r="FR7" s="22"/>
      <c r="FS7" s="22"/>
      <c r="FT7" s="22"/>
      <c r="FU7" s="22"/>
      <c r="FV7" s="22"/>
      <c r="FW7" s="22"/>
      <c r="FX7" s="22"/>
      <c r="FY7" s="22"/>
      <c r="FZ7" s="22"/>
      <c r="GA7" s="22"/>
      <c r="GB7" s="22"/>
      <c r="GC7" s="22"/>
      <c r="GD7" s="22"/>
      <c r="GE7" s="22"/>
      <c r="GF7" s="22"/>
      <c r="GG7" s="22"/>
      <c r="GH7" s="22"/>
      <c r="GI7" s="22"/>
      <c r="GJ7" s="22"/>
      <c r="GK7" s="22"/>
      <c r="GL7" s="22"/>
      <c r="GM7" s="22"/>
      <c r="GN7" s="22"/>
      <c r="GO7" s="22"/>
      <c r="GP7" s="22"/>
      <c r="GQ7" s="22"/>
      <c r="GR7" s="22"/>
      <c r="GS7" s="22"/>
      <c r="GT7" s="22"/>
      <c r="GU7" s="22"/>
      <c r="GV7" s="22"/>
      <c r="GW7" s="22"/>
      <c r="GX7" s="22"/>
      <c r="GY7" s="22"/>
      <c r="GZ7" s="22"/>
      <c r="HA7" s="22"/>
      <c r="HB7" s="22"/>
      <c r="HC7" s="22"/>
      <c r="HD7" s="22"/>
      <c r="HE7" s="22"/>
      <c r="HF7" s="22"/>
      <c r="HG7" s="22"/>
      <c r="HH7" s="22"/>
      <c r="HI7" s="22"/>
      <c r="HJ7" s="22"/>
      <c r="HK7" s="22"/>
      <c r="HL7" s="22"/>
      <c r="HM7" s="22"/>
      <c r="HN7" s="22"/>
      <c r="HO7" s="22"/>
      <c r="HP7" s="22"/>
      <c r="HQ7" s="22"/>
      <c r="HR7" s="22"/>
      <c r="HS7" s="22"/>
      <c r="HT7" s="22"/>
      <c r="HU7" s="22"/>
      <c r="HV7" s="22"/>
      <c r="HW7" s="22"/>
      <c r="HX7" s="22"/>
      <c r="HY7" s="22"/>
      <c r="HZ7" s="22"/>
      <c r="IA7" s="22"/>
      <c r="IB7" s="22"/>
      <c r="IC7" s="22"/>
      <c r="ID7" s="22"/>
      <c r="IE7" s="22"/>
      <c r="IF7" s="22"/>
      <c r="IG7" s="22"/>
      <c r="IH7" s="22"/>
      <c r="II7" s="22"/>
      <c r="IJ7" s="22"/>
      <c r="IK7" s="22"/>
      <c r="IL7" s="22"/>
      <c r="IM7" s="22"/>
      <c r="IN7" s="22"/>
      <c r="IO7" s="22"/>
      <c r="IP7" s="22"/>
      <c r="IQ7" s="22"/>
      <c r="IR7" s="22"/>
      <c r="IS7" s="22"/>
    </row>
    <row r="8" spans="1:253" s="3" customFormat="1" ht="30" customHeight="1" thickBot="1">
      <c r="A8" s="26" t="s">
        <v>14</v>
      </c>
      <c r="B8" s="13" t="s">
        <v>15</v>
      </c>
      <c r="C8" s="32"/>
      <c r="D8" s="14"/>
      <c r="E8" s="44"/>
      <c r="F8" s="45"/>
      <c r="G8" s="12"/>
      <c r="H8" s="12" t="str">
        <f t="shared" ref="H8:H19" ca="1" si="175">IF(OR(ISBLANK(inizio_attività),ISBLANK(fine_attività)),"",fine_attività-inizio_attività+1)</f>
        <v/>
      </c>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c r="DU8" s="22"/>
      <c r="DV8" s="22"/>
      <c r="DW8" s="22"/>
      <c r="DX8" s="22"/>
      <c r="DY8" s="22"/>
      <c r="DZ8" s="22"/>
      <c r="EA8" s="22"/>
      <c r="EB8" s="22"/>
      <c r="EC8" s="22"/>
      <c r="ED8" s="22"/>
      <c r="EE8" s="22"/>
      <c r="EF8" s="22"/>
      <c r="EG8" s="22"/>
      <c r="EH8" s="22"/>
      <c r="EI8" s="22"/>
      <c r="EJ8" s="22"/>
      <c r="EK8" s="22"/>
      <c r="EL8" s="22"/>
      <c r="EM8" s="22"/>
      <c r="EN8" s="22"/>
      <c r="EO8" s="22"/>
      <c r="EP8" s="22"/>
      <c r="EQ8" s="22"/>
      <c r="ER8" s="22"/>
      <c r="ES8" s="22"/>
      <c r="ET8" s="22"/>
      <c r="EU8" s="22"/>
      <c r="EV8" s="22"/>
      <c r="EW8" s="22"/>
      <c r="EX8" s="22"/>
      <c r="EY8" s="22"/>
      <c r="EZ8" s="22"/>
      <c r="FA8" s="22"/>
      <c r="FB8" s="22"/>
      <c r="FC8" s="22"/>
      <c r="FD8" s="22"/>
      <c r="FE8" s="22"/>
      <c r="FF8" s="22"/>
      <c r="FG8" s="22"/>
      <c r="FH8" s="22"/>
      <c r="FI8" s="22"/>
      <c r="FJ8" s="22"/>
      <c r="FK8" s="22"/>
      <c r="FL8" s="22"/>
      <c r="FM8" s="22"/>
      <c r="FN8" s="22"/>
      <c r="FO8" s="22"/>
      <c r="FP8" s="22"/>
      <c r="FQ8" s="22"/>
      <c r="FR8" s="22"/>
      <c r="FS8" s="22"/>
      <c r="FT8" s="22"/>
      <c r="FU8" s="22"/>
      <c r="FV8" s="22"/>
      <c r="FW8" s="22"/>
      <c r="FX8" s="22"/>
      <c r="FY8" s="22"/>
      <c r="FZ8" s="22"/>
      <c r="GA8" s="22"/>
      <c r="GB8" s="22"/>
      <c r="GC8" s="22"/>
      <c r="GD8" s="22"/>
      <c r="GE8" s="22"/>
      <c r="GF8" s="22"/>
      <c r="GG8" s="22"/>
      <c r="GH8" s="22"/>
      <c r="GI8" s="22"/>
      <c r="GJ8" s="22"/>
      <c r="GK8" s="22"/>
      <c r="GL8" s="22"/>
      <c r="GM8" s="22"/>
      <c r="GN8" s="22"/>
      <c r="GO8" s="22"/>
      <c r="GP8" s="22"/>
      <c r="GQ8" s="22"/>
      <c r="GR8" s="22"/>
      <c r="GS8" s="22"/>
      <c r="GT8" s="22"/>
      <c r="GU8" s="22"/>
      <c r="GV8" s="22"/>
      <c r="GW8" s="22"/>
      <c r="GX8" s="22"/>
      <c r="GY8" s="22"/>
      <c r="GZ8" s="22"/>
      <c r="HA8" s="22"/>
      <c r="HB8" s="22"/>
      <c r="HC8" s="22"/>
      <c r="HD8" s="22"/>
      <c r="HE8" s="22"/>
      <c r="HF8" s="22"/>
      <c r="HG8" s="22"/>
      <c r="HH8" s="22"/>
      <c r="HI8" s="22"/>
      <c r="HJ8" s="22"/>
      <c r="HK8" s="22"/>
      <c r="HL8" s="22"/>
      <c r="HM8" s="22"/>
      <c r="HN8" s="22"/>
      <c r="HO8" s="22"/>
      <c r="HP8" s="22"/>
      <c r="HQ8" s="22"/>
      <c r="HR8" s="22"/>
      <c r="HS8" s="22"/>
      <c r="HT8" s="22"/>
      <c r="HU8" s="22"/>
      <c r="HV8" s="22"/>
      <c r="HW8" s="22"/>
      <c r="HX8" s="22"/>
      <c r="HY8" s="22"/>
      <c r="HZ8" s="22"/>
      <c r="IA8" s="22"/>
      <c r="IB8" s="22"/>
      <c r="IC8" s="22"/>
      <c r="ID8" s="22"/>
      <c r="IE8" s="22"/>
      <c r="IF8" s="22"/>
      <c r="IG8" s="22"/>
      <c r="IH8" s="22"/>
      <c r="II8" s="22"/>
      <c r="IJ8" s="22"/>
      <c r="IK8" s="22"/>
      <c r="IL8" s="22"/>
      <c r="IM8" s="22"/>
      <c r="IN8" s="22"/>
      <c r="IO8" s="22"/>
      <c r="IP8" s="22"/>
      <c r="IQ8" s="22"/>
      <c r="IR8" s="22"/>
      <c r="IS8" s="22"/>
    </row>
    <row r="9" spans="1:253" s="3" customFormat="1" ht="30" customHeight="1" thickBot="1">
      <c r="A9" s="26" t="s">
        <v>16</v>
      </c>
      <c r="B9" s="38" t="s">
        <v>17</v>
      </c>
      <c r="C9" s="33"/>
      <c r="D9" s="15"/>
      <c r="E9" s="46">
        <f>Inizio_progetto+2</f>
        <v>45629</v>
      </c>
      <c r="F9" s="46">
        <f>E9+8</f>
        <v>45637</v>
      </c>
      <c r="G9" s="12"/>
      <c r="H9" s="12">
        <f ca="1">IF(OR(ISBLANK(inizio_attività),ISBLANK(fine_attività)),"",fine_attività-inizio_attività+1)</f>
        <v>9</v>
      </c>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2"/>
      <c r="BK9" s="22"/>
      <c r="BL9" s="22"/>
      <c r="BM9" s="22"/>
      <c r="BN9" s="22"/>
      <c r="BO9" s="22"/>
      <c r="BP9" s="22"/>
      <c r="BQ9" s="22"/>
      <c r="BR9" s="22"/>
      <c r="BS9" s="22"/>
      <c r="BT9" s="22"/>
      <c r="BU9" s="22"/>
      <c r="BV9" s="22"/>
      <c r="BW9" s="22"/>
      <c r="BX9" s="22"/>
      <c r="BY9" s="22"/>
      <c r="BZ9" s="22"/>
      <c r="CA9" s="22"/>
      <c r="CB9" s="22"/>
      <c r="CC9" s="22"/>
      <c r="CD9" s="22"/>
      <c r="CE9" s="22"/>
      <c r="CF9" s="22"/>
      <c r="CG9" s="22"/>
      <c r="CH9" s="22"/>
      <c r="CI9" s="22"/>
      <c r="CJ9" s="22"/>
      <c r="CK9" s="22"/>
      <c r="CL9" s="22"/>
      <c r="CM9" s="22"/>
      <c r="CN9" s="22"/>
      <c r="CO9" s="22"/>
      <c r="CP9" s="22"/>
      <c r="CQ9" s="22"/>
      <c r="CR9" s="22"/>
      <c r="CS9" s="22"/>
      <c r="CT9" s="22"/>
      <c r="CU9" s="22"/>
      <c r="CV9" s="22"/>
      <c r="CW9" s="22"/>
      <c r="CX9" s="22"/>
      <c r="CY9" s="22"/>
      <c r="CZ9" s="22"/>
      <c r="DA9" s="22"/>
      <c r="DB9" s="22"/>
      <c r="DC9" s="22"/>
      <c r="DD9" s="22"/>
      <c r="DE9" s="22"/>
      <c r="DF9" s="22"/>
      <c r="DG9" s="22"/>
      <c r="DH9" s="22"/>
      <c r="DI9" s="22"/>
      <c r="DJ9" s="22"/>
      <c r="DK9" s="22"/>
      <c r="DL9" s="22"/>
      <c r="DM9" s="22"/>
      <c r="DN9" s="22"/>
      <c r="DO9" s="22"/>
      <c r="DP9" s="22"/>
      <c r="DQ9" s="22"/>
      <c r="DR9" s="22"/>
      <c r="DS9" s="22"/>
      <c r="DT9" s="22"/>
      <c r="DU9" s="22"/>
      <c r="DV9" s="22"/>
      <c r="DW9" s="22"/>
      <c r="DX9" s="22"/>
      <c r="DY9" s="22"/>
      <c r="DZ9" s="22"/>
      <c r="EA9" s="22"/>
      <c r="EB9" s="22"/>
      <c r="EC9" s="22"/>
      <c r="ED9" s="22"/>
      <c r="EE9" s="22"/>
      <c r="EF9" s="22"/>
      <c r="EG9" s="22"/>
      <c r="EH9" s="22"/>
      <c r="EI9" s="22"/>
      <c r="EJ9" s="22"/>
      <c r="EK9" s="22"/>
      <c r="EL9" s="22"/>
      <c r="EM9" s="22"/>
      <c r="EN9" s="22"/>
      <c r="EO9" s="22"/>
      <c r="EP9" s="22"/>
      <c r="EQ9" s="22"/>
      <c r="ER9" s="22"/>
      <c r="ES9" s="22"/>
      <c r="ET9" s="22"/>
      <c r="EU9" s="22"/>
      <c r="EV9" s="22"/>
      <c r="EW9" s="22"/>
      <c r="EX9" s="22"/>
      <c r="EY9" s="22"/>
      <c r="EZ9" s="22"/>
      <c r="FA9" s="22"/>
      <c r="FB9" s="22"/>
      <c r="FC9" s="22"/>
      <c r="FD9" s="22"/>
      <c r="FE9" s="22"/>
      <c r="FF9" s="22"/>
      <c r="FG9" s="22"/>
      <c r="FH9" s="22"/>
      <c r="FI9" s="22"/>
      <c r="FJ9" s="22"/>
      <c r="FK9" s="22"/>
      <c r="FL9" s="22"/>
      <c r="FM9" s="22"/>
      <c r="FN9" s="22"/>
      <c r="FO9" s="22"/>
      <c r="FP9" s="22"/>
      <c r="FQ9" s="22"/>
      <c r="FR9" s="22"/>
      <c r="FS9" s="22"/>
      <c r="FT9" s="22"/>
      <c r="FU9" s="22"/>
      <c r="FV9" s="22"/>
      <c r="FW9" s="22"/>
      <c r="FX9" s="22"/>
      <c r="FY9" s="22"/>
      <c r="FZ9" s="22"/>
      <c r="GA9" s="22"/>
      <c r="GB9" s="22"/>
      <c r="GC9" s="22"/>
      <c r="GD9" s="22"/>
      <c r="GE9" s="22"/>
      <c r="GF9" s="22"/>
      <c r="GG9" s="22"/>
      <c r="GH9" s="22"/>
      <c r="GI9" s="22"/>
      <c r="GJ9" s="22"/>
      <c r="GK9" s="22"/>
      <c r="GL9" s="22"/>
      <c r="GM9" s="22"/>
      <c r="GN9" s="22"/>
      <c r="GO9" s="22"/>
      <c r="GP9" s="22"/>
      <c r="GQ9" s="22"/>
      <c r="GR9" s="22"/>
      <c r="GS9" s="22"/>
      <c r="GT9" s="22"/>
      <c r="GU9" s="22"/>
      <c r="GV9" s="22"/>
      <c r="GW9" s="22"/>
      <c r="GX9" s="22"/>
      <c r="GY9" s="22"/>
      <c r="GZ9" s="22"/>
      <c r="HA9" s="22"/>
      <c r="HB9" s="22"/>
      <c r="HC9" s="22"/>
      <c r="HD9" s="22"/>
      <c r="HE9" s="22"/>
      <c r="HF9" s="22"/>
      <c r="HG9" s="22"/>
      <c r="HH9" s="22"/>
      <c r="HI9" s="22"/>
      <c r="HJ9" s="22"/>
      <c r="HK9" s="22"/>
      <c r="HL9" s="22"/>
      <c r="HM9" s="22"/>
      <c r="HN9" s="22"/>
      <c r="HO9" s="22"/>
      <c r="HP9" s="22"/>
      <c r="HQ9" s="22"/>
      <c r="HR9" s="22"/>
      <c r="HS9" s="22"/>
      <c r="HT9" s="22"/>
      <c r="HU9" s="22"/>
      <c r="HV9" s="22"/>
      <c r="HW9" s="22"/>
      <c r="HX9" s="22"/>
      <c r="HY9" s="22"/>
      <c r="HZ9" s="22"/>
      <c r="IA9" s="22"/>
      <c r="IB9" s="22"/>
      <c r="IC9" s="22"/>
      <c r="ID9" s="22"/>
      <c r="IE9" s="22"/>
      <c r="IF9" s="22"/>
      <c r="IG9" s="22"/>
      <c r="IH9" s="22"/>
      <c r="II9" s="22"/>
      <c r="IJ9" s="22"/>
      <c r="IK9" s="22"/>
      <c r="IL9" s="22"/>
      <c r="IM9" s="22"/>
      <c r="IN9" s="22"/>
      <c r="IO9" s="22"/>
      <c r="IP9" s="22"/>
      <c r="IQ9" s="22"/>
      <c r="IR9" s="22"/>
      <c r="IS9" s="22"/>
    </row>
    <row r="10" spans="1:253" s="3" customFormat="1" ht="30" customHeight="1" thickBot="1">
      <c r="A10" s="26" t="s">
        <v>18</v>
      </c>
      <c r="B10" s="38" t="s">
        <v>19</v>
      </c>
      <c r="C10" s="33"/>
      <c r="D10" s="15"/>
      <c r="E10" s="46">
        <f>Inizio_progetto</f>
        <v>45627</v>
      </c>
      <c r="F10" s="46">
        <f>E10+7</f>
        <v>45634</v>
      </c>
      <c r="G10" s="12"/>
      <c r="H10" s="12">
        <f ca="1">IF(OR(ISBLANK(inizio_attività),ISBLANK(fine_attività)),"",fine_attività-inizio_attività+1)</f>
        <v>8</v>
      </c>
      <c r="I10" s="22"/>
      <c r="J10" s="22"/>
      <c r="K10" s="22"/>
      <c r="L10" s="22"/>
      <c r="M10" s="22"/>
      <c r="N10" s="22"/>
      <c r="O10" s="22"/>
      <c r="P10" s="22"/>
      <c r="Q10" s="22"/>
      <c r="R10" s="22"/>
      <c r="S10" s="22"/>
      <c r="T10" s="22"/>
      <c r="U10" s="23"/>
      <c r="V10" s="23"/>
      <c r="W10" s="22"/>
      <c r="X10" s="22"/>
      <c r="Y10" s="22"/>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c r="BA10" s="22"/>
      <c r="BB10" s="22"/>
      <c r="BC10" s="22"/>
      <c r="BD10" s="22"/>
      <c r="BE10" s="22"/>
      <c r="BF10" s="22"/>
      <c r="BG10" s="22"/>
      <c r="BH10" s="22"/>
      <c r="BI10" s="22"/>
      <c r="BJ10" s="22"/>
      <c r="BK10" s="22"/>
      <c r="BL10" s="22"/>
      <c r="BM10" s="22"/>
      <c r="BN10" s="22"/>
      <c r="BO10" s="22"/>
      <c r="BP10" s="22"/>
      <c r="BQ10" s="22"/>
      <c r="BR10" s="22"/>
      <c r="BS10" s="22"/>
      <c r="BT10" s="22"/>
      <c r="BU10" s="22"/>
      <c r="BV10" s="22"/>
      <c r="BW10" s="22"/>
      <c r="BX10" s="22"/>
      <c r="BY10" s="22"/>
      <c r="BZ10" s="22"/>
      <c r="CA10" s="22"/>
      <c r="CB10" s="22"/>
      <c r="CC10" s="22"/>
      <c r="CD10" s="22"/>
      <c r="CE10" s="22"/>
      <c r="CF10" s="22"/>
      <c r="CG10" s="22"/>
      <c r="CH10" s="22"/>
      <c r="CI10" s="22"/>
      <c r="CJ10" s="22"/>
      <c r="CK10" s="22"/>
      <c r="CL10" s="22"/>
      <c r="CM10" s="22"/>
      <c r="CN10" s="22"/>
      <c r="CO10" s="22"/>
      <c r="CP10" s="22"/>
      <c r="CQ10" s="22"/>
      <c r="CR10" s="22"/>
      <c r="CS10" s="22"/>
      <c r="CT10" s="22"/>
      <c r="CU10" s="22"/>
      <c r="CV10" s="22"/>
      <c r="CW10" s="22"/>
      <c r="CX10" s="22"/>
      <c r="CY10" s="22"/>
      <c r="CZ10" s="22"/>
      <c r="DA10" s="22"/>
      <c r="DB10" s="22"/>
      <c r="DC10" s="22"/>
      <c r="DD10" s="22"/>
      <c r="DE10" s="22"/>
      <c r="DF10" s="22"/>
      <c r="DG10" s="22"/>
      <c r="DH10" s="22"/>
      <c r="DI10" s="22"/>
      <c r="DJ10" s="22"/>
      <c r="DK10" s="22"/>
      <c r="DL10" s="22"/>
      <c r="DM10" s="22"/>
      <c r="DN10" s="22"/>
      <c r="DO10" s="22"/>
      <c r="DP10" s="22"/>
      <c r="DQ10" s="22"/>
      <c r="DR10" s="22"/>
      <c r="DS10" s="22"/>
      <c r="DT10" s="22"/>
      <c r="DU10" s="22"/>
      <c r="DV10" s="22"/>
      <c r="DW10" s="22"/>
      <c r="DX10" s="22"/>
      <c r="DY10" s="22"/>
      <c r="DZ10" s="22"/>
      <c r="EA10" s="22"/>
      <c r="EB10" s="22"/>
      <c r="EC10" s="22"/>
      <c r="ED10" s="22"/>
      <c r="EE10" s="22"/>
      <c r="EF10" s="22"/>
      <c r="EG10" s="22"/>
      <c r="EH10" s="22"/>
      <c r="EI10" s="22"/>
      <c r="EJ10" s="22"/>
      <c r="EK10" s="22"/>
      <c r="EL10" s="22"/>
      <c r="EM10" s="22"/>
      <c r="EN10" s="22"/>
      <c r="EO10" s="22"/>
      <c r="EP10" s="22"/>
      <c r="EQ10" s="22"/>
      <c r="ER10" s="22"/>
      <c r="ES10" s="22"/>
      <c r="ET10" s="22"/>
      <c r="EU10" s="22"/>
      <c r="EV10" s="22"/>
      <c r="EW10" s="22"/>
      <c r="EX10" s="22"/>
      <c r="EY10" s="22"/>
      <c r="EZ10" s="22"/>
      <c r="FA10" s="22"/>
      <c r="FB10" s="22"/>
      <c r="FC10" s="22"/>
      <c r="FD10" s="22"/>
      <c r="FE10" s="22"/>
      <c r="FF10" s="22"/>
      <c r="FG10" s="22"/>
      <c r="FH10" s="22"/>
      <c r="FI10" s="22"/>
      <c r="FJ10" s="22"/>
      <c r="FK10" s="22"/>
      <c r="FL10" s="22"/>
      <c r="FM10" s="22"/>
      <c r="FN10" s="22"/>
      <c r="FO10" s="22"/>
      <c r="FP10" s="22"/>
      <c r="FQ10" s="22"/>
      <c r="FR10" s="22"/>
      <c r="FS10" s="22"/>
      <c r="FT10" s="22"/>
      <c r="FU10" s="22"/>
      <c r="FV10" s="22"/>
      <c r="FW10" s="22"/>
      <c r="FX10" s="22"/>
      <c r="FY10" s="22"/>
      <c r="FZ10" s="22"/>
      <c r="GA10" s="22"/>
      <c r="GB10" s="22"/>
      <c r="GC10" s="22"/>
      <c r="GD10" s="22"/>
      <c r="GE10" s="22"/>
      <c r="GF10" s="22"/>
      <c r="GG10" s="22"/>
      <c r="GH10" s="22"/>
      <c r="GI10" s="22"/>
      <c r="GJ10" s="22"/>
      <c r="GK10" s="22"/>
      <c r="GL10" s="22"/>
      <c r="GM10" s="22"/>
      <c r="GN10" s="22"/>
      <c r="GO10" s="22"/>
      <c r="GP10" s="22"/>
      <c r="GQ10" s="22"/>
      <c r="GR10" s="22"/>
      <c r="GS10" s="22"/>
      <c r="GT10" s="22"/>
      <c r="GU10" s="22"/>
      <c r="GV10" s="22"/>
      <c r="GW10" s="22"/>
      <c r="GX10" s="22"/>
      <c r="GY10" s="22"/>
      <c r="GZ10" s="22"/>
      <c r="HA10" s="22"/>
      <c r="HB10" s="22"/>
      <c r="HC10" s="22"/>
      <c r="HD10" s="22"/>
      <c r="HE10" s="22"/>
      <c r="HF10" s="22"/>
      <c r="HG10" s="22"/>
      <c r="HH10" s="22"/>
      <c r="HI10" s="22"/>
      <c r="HJ10" s="22"/>
      <c r="HK10" s="22"/>
      <c r="HL10" s="22"/>
      <c r="HM10" s="22"/>
      <c r="HN10" s="22"/>
      <c r="HO10" s="22"/>
      <c r="HP10" s="22"/>
      <c r="HQ10" s="22"/>
      <c r="HR10" s="22"/>
      <c r="HS10" s="22"/>
      <c r="HT10" s="22"/>
      <c r="HU10" s="22"/>
      <c r="HV10" s="22"/>
      <c r="HW10" s="22"/>
      <c r="HX10" s="22"/>
      <c r="HY10" s="22"/>
      <c r="HZ10" s="22"/>
      <c r="IA10" s="22"/>
      <c r="IB10" s="22"/>
      <c r="IC10" s="22"/>
      <c r="ID10" s="22"/>
      <c r="IE10" s="22"/>
      <c r="IF10" s="22"/>
      <c r="IG10" s="22"/>
      <c r="IH10" s="22"/>
      <c r="II10" s="22"/>
      <c r="IJ10" s="22"/>
      <c r="IK10" s="22"/>
      <c r="IL10" s="22"/>
      <c r="IM10" s="22"/>
      <c r="IN10" s="22"/>
      <c r="IO10" s="22"/>
      <c r="IP10" s="22"/>
      <c r="IQ10" s="22"/>
      <c r="IR10" s="22"/>
      <c r="IS10" s="22"/>
    </row>
    <row r="11" spans="1:253" s="3" customFormat="1" ht="30" customHeight="1" thickBot="1">
      <c r="A11" s="25"/>
      <c r="B11" s="38" t="s">
        <v>20</v>
      </c>
      <c r="C11" s="33"/>
      <c r="D11" s="15"/>
      <c r="E11" s="46">
        <f>MAX(F9, F10) + 1</f>
        <v>45638</v>
      </c>
      <c r="F11" s="46">
        <f>E11+4</f>
        <v>45642</v>
      </c>
      <c r="G11" s="12"/>
      <c r="H11" s="12">
        <f ca="1">IF(OR(ISBLANK(inizio_attività),ISBLANK(fine_attività)),"",fine_attività-inizio_attività+1)</f>
        <v>5</v>
      </c>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2"/>
      <c r="DK11" s="22"/>
      <c r="DL11" s="22"/>
      <c r="DM11" s="22"/>
      <c r="DN11" s="22"/>
      <c r="DO11" s="22"/>
      <c r="DP11" s="22"/>
      <c r="DQ11" s="22"/>
      <c r="DR11" s="22"/>
      <c r="DS11" s="22"/>
      <c r="DT11" s="22"/>
      <c r="DU11" s="22"/>
      <c r="DV11" s="22"/>
      <c r="DW11" s="22"/>
      <c r="DX11" s="22"/>
      <c r="DY11" s="22"/>
      <c r="DZ11" s="22"/>
      <c r="EA11" s="22"/>
      <c r="EB11" s="22"/>
      <c r="EC11" s="22"/>
      <c r="ED11" s="22"/>
      <c r="EE11" s="22"/>
      <c r="EF11" s="22"/>
      <c r="EG11" s="22"/>
      <c r="EH11" s="22"/>
      <c r="EI11" s="22"/>
      <c r="EJ11" s="22"/>
      <c r="EK11" s="22"/>
      <c r="EL11" s="22"/>
      <c r="EM11" s="22"/>
      <c r="EN11" s="22"/>
      <c r="EO11" s="22"/>
      <c r="EP11" s="22"/>
      <c r="EQ11" s="22"/>
      <c r="ER11" s="22"/>
      <c r="ES11" s="22"/>
      <c r="ET11" s="22"/>
      <c r="EU11" s="22"/>
      <c r="EV11" s="22"/>
      <c r="EW11" s="22"/>
      <c r="EX11" s="22"/>
      <c r="EY11" s="22"/>
      <c r="EZ11" s="22"/>
      <c r="FA11" s="22"/>
      <c r="FB11" s="22"/>
      <c r="FC11" s="22"/>
      <c r="FD11" s="22"/>
      <c r="FE11" s="22"/>
      <c r="FF11" s="22"/>
      <c r="FG11" s="22"/>
      <c r="FH11" s="22"/>
      <c r="FI11" s="22"/>
      <c r="FJ11" s="22"/>
      <c r="FK11" s="22"/>
      <c r="FL11" s="22"/>
      <c r="FM11" s="22"/>
      <c r="FN11" s="22"/>
      <c r="FO11" s="22"/>
      <c r="FP11" s="22"/>
      <c r="FQ11" s="22"/>
      <c r="FR11" s="22"/>
      <c r="FS11" s="22"/>
      <c r="FT11" s="22"/>
      <c r="FU11" s="22"/>
      <c r="FV11" s="22"/>
      <c r="FW11" s="22"/>
      <c r="FX11" s="22"/>
      <c r="FY11" s="22"/>
      <c r="FZ11" s="22"/>
      <c r="GA11" s="22"/>
      <c r="GB11" s="22"/>
      <c r="GC11" s="22"/>
      <c r="GD11" s="22"/>
      <c r="GE11" s="22"/>
      <c r="GF11" s="22"/>
      <c r="GG11" s="22"/>
      <c r="GH11" s="22"/>
      <c r="GI11" s="22"/>
      <c r="GJ11" s="22"/>
      <c r="GK11" s="22"/>
      <c r="GL11" s="22"/>
      <c r="GM11" s="22"/>
      <c r="GN11" s="22"/>
      <c r="GO11" s="22"/>
      <c r="GP11" s="22"/>
      <c r="GQ11" s="22"/>
      <c r="GR11" s="22"/>
      <c r="GS11" s="22"/>
      <c r="GT11" s="22"/>
      <c r="GU11" s="22"/>
      <c r="GV11" s="22"/>
      <c r="GW11" s="22"/>
      <c r="GX11" s="22"/>
      <c r="GY11" s="22"/>
      <c r="GZ11" s="22"/>
      <c r="HA11" s="22"/>
      <c r="HB11" s="22"/>
      <c r="HC11" s="22"/>
      <c r="HD11" s="22"/>
      <c r="HE11" s="22"/>
      <c r="HF11" s="22"/>
      <c r="HG11" s="22"/>
      <c r="HH11" s="22"/>
      <c r="HI11" s="22"/>
      <c r="HJ11" s="22"/>
      <c r="HK11" s="22"/>
      <c r="HL11" s="22"/>
      <c r="HM11" s="22"/>
      <c r="HN11" s="22"/>
      <c r="HO11" s="22"/>
      <c r="HP11" s="22"/>
      <c r="HQ11" s="22"/>
      <c r="HR11" s="22"/>
      <c r="HS11" s="22"/>
      <c r="HT11" s="22"/>
      <c r="HU11" s="22"/>
      <c r="HV11" s="22"/>
      <c r="HW11" s="22"/>
      <c r="HX11" s="22"/>
      <c r="HY11" s="22"/>
      <c r="HZ11" s="22"/>
      <c r="IA11" s="22"/>
      <c r="IB11" s="22"/>
      <c r="IC11" s="22"/>
      <c r="ID11" s="22"/>
      <c r="IE11" s="22"/>
      <c r="IF11" s="22"/>
      <c r="IG11" s="22"/>
      <c r="IH11" s="22"/>
      <c r="II11" s="22"/>
      <c r="IJ11" s="22"/>
      <c r="IK11" s="22"/>
      <c r="IL11" s="22"/>
      <c r="IM11" s="22"/>
      <c r="IN11" s="22"/>
      <c r="IO11" s="22"/>
      <c r="IP11" s="22"/>
      <c r="IQ11" s="22"/>
      <c r="IR11" s="22"/>
      <c r="IS11" s="22"/>
    </row>
    <row r="12" spans="1:253" s="3" customFormat="1" ht="30" customHeight="1" thickBot="1">
      <c r="A12" s="25"/>
      <c r="B12" s="38" t="s">
        <v>21</v>
      </c>
      <c r="C12" s="33"/>
      <c r="D12" s="15"/>
      <c r="E12" s="46">
        <f>F11 + 1</f>
        <v>45643</v>
      </c>
      <c r="F12" s="46">
        <f>E12+3</f>
        <v>45646</v>
      </c>
      <c r="G12" s="12"/>
      <c r="H12" s="12">
        <f ca="1">IF(OR(ISBLANK(inizio_attività),ISBLANK(fine_attività)),"",fine_attività-inizio_attività+1)</f>
        <v>4</v>
      </c>
      <c r="I12" s="22"/>
      <c r="J12" s="22"/>
      <c r="K12" s="22"/>
      <c r="L12" s="22"/>
      <c r="M12" s="22"/>
      <c r="N12" s="22"/>
      <c r="O12" s="22"/>
      <c r="P12" s="22"/>
      <c r="Q12" s="22"/>
      <c r="R12" s="22"/>
      <c r="S12" s="22"/>
      <c r="T12" s="22"/>
      <c r="U12" s="22"/>
      <c r="V12" s="22"/>
      <c r="W12" s="22"/>
      <c r="X12" s="22"/>
      <c r="Y12" s="23"/>
      <c r="Z12" s="22"/>
      <c r="AA12" s="22"/>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2"/>
      <c r="BK12" s="22"/>
      <c r="BL12" s="22"/>
      <c r="BM12" s="22"/>
      <c r="BN12" s="22"/>
      <c r="BO12" s="22"/>
      <c r="BP12" s="22"/>
      <c r="BQ12" s="22"/>
      <c r="BR12" s="22"/>
      <c r="BS12" s="22"/>
      <c r="BT12" s="22"/>
      <c r="BU12" s="22"/>
      <c r="BV12" s="22"/>
      <c r="BW12" s="22"/>
      <c r="BX12" s="22"/>
      <c r="BY12" s="22"/>
      <c r="BZ12" s="22"/>
      <c r="CA12" s="22"/>
      <c r="CB12" s="22"/>
      <c r="CC12" s="22"/>
      <c r="CD12" s="22"/>
      <c r="CE12" s="22"/>
      <c r="CF12" s="22"/>
      <c r="CG12" s="22"/>
      <c r="CH12" s="22"/>
      <c r="CI12" s="22"/>
      <c r="CJ12" s="22"/>
      <c r="CK12" s="22"/>
      <c r="CL12" s="22"/>
      <c r="CM12" s="22"/>
      <c r="CN12" s="22"/>
      <c r="CO12" s="22"/>
      <c r="CP12" s="22"/>
      <c r="CQ12" s="22"/>
      <c r="CR12" s="22"/>
      <c r="CS12" s="22"/>
      <c r="CT12" s="22"/>
      <c r="CU12" s="22"/>
      <c r="CV12" s="22"/>
      <c r="CW12" s="22"/>
      <c r="CX12" s="22"/>
      <c r="CY12" s="22"/>
      <c r="CZ12" s="22"/>
      <c r="DA12" s="22"/>
      <c r="DB12" s="22"/>
      <c r="DC12" s="22"/>
      <c r="DD12" s="22"/>
      <c r="DE12" s="22"/>
      <c r="DF12" s="22"/>
      <c r="DG12" s="22"/>
      <c r="DH12" s="22"/>
      <c r="DI12" s="22"/>
      <c r="DJ12" s="22"/>
      <c r="DK12" s="22"/>
      <c r="DL12" s="22"/>
      <c r="DM12" s="22"/>
      <c r="DN12" s="22"/>
      <c r="DO12" s="22"/>
      <c r="DP12" s="22"/>
      <c r="DQ12" s="22"/>
      <c r="DR12" s="22"/>
      <c r="DS12" s="22"/>
      <c r="DT12" s="22"/>
      <c r="DU12" s="22"/>
      <c r="DV12" s="22"/>
      <c r="DW12" s="22"/>
      <c r="DX12" s="22"/>
      <c r="DY12" s="22"/>
      <c r="DZ12" s="22"/>
      <c r="EA12" s="22"/>
      <c r="EB12" s="22"/>
      <c r="EC12" s="22"/>
      <c r="ED12" s="22"/>
      <c r="EE12" s="22"/>
      <c r="EF12" s="22"/>
      <c r="EG12" s="22"/>
      <c r="EH12" s="22"/>
      <c r="EI12" s="22"/>
      <c r="EJ12" s="22"/>
      <c r="EK12" s="22"/>
      <c r="EL12" s="22"/>
      <c r="EM12" s="22"/>
      <c r="EN12" s="22"/>
      <c r="EO12" s="22"/>
      <c r="EP12" s="22"/>
      <c r="EQ12" s="22"/>
      <c r="ER12" s="22"/>
      <c r="ES12" s="22"/>
      <c r="ET12" s="22"/>
      <c r="EU12" s="22"/>
      <c r="EV12" s="22"/>
      <c r="EW12" s="22"/>
      <c r="EX12" s="22"/>
      <c r="EY12" s="22"/>
      <c r="EZ12" s="22"/>
      <c r="FA12" s="22"/>
      <c r="FB12" s="22"/>
      <c r="FC12" s="22"/>
      <c r="FD12" s="22"/>
      <c r="FE12" s="22"/>
      <c r="FF12" s="22"/>
      <c r="FG12" s="22"/>
      <c r="FH12" s="22"/>
      <c r="FI12" s="22"/>
      <c r="FJ12" s="22"/>
      <c r="FK12" s="22"/>
      <c r="FL12" s="22"/>
      <c r="FM12" s="22"/>
      <c r="FN12" s="22"/>
      <c r="FO12" s="22"/>
      <c r="FP12" s="22"/>
      <c r="FQ12" s="22"/>
      <c r="FR12" s="22"/>
      <c r="FS12" s="22"/>
      <c r="FT12" s="22"/>
      <c r="FU12" s="22"/>
      <c r="FV12" s="22"/>
      <c r="FW12" s="22"/>
      <c r="FX12" s="22"/>
      <c r="FY12" s="22"/>
      <c r="FZ12" s="22"/>
      <c r="GA12" s="22"/>
      <c r="GB12" s="22"/>
      <c r="GC12" s="22"/>
      <c r="GD12" s="22"/>
      <c r="GE12" s="22"/>
      <c r="GF12" s="22"/>
      <c r="GG12" s="22"/>
      <c r="GH12" s="22"/>
      <c r="GI12" s="22"/>
      <c r="GJ12" s="22"/>
      <c r="GK12" s="22"/>
      <c r="GL12" s="22"/>
      <c r="GM12" s="22"/>
      <c r="GN12" s="22"/>
      <c r="GO12" s="22"/>
      <c r="GP12" s="22"/>
      <c r="GQ12" s="22"/>
      <c r="GR12" s="22"/>
      <c r="GS12" s="22"/>
      <c r="GT12" s="22"/>
      <c r="GU12" s="22"/>
      <c r="GV12" s="22"/>
      <c r="GW12" s="22"/>
      <c r="GX12" s="22"/>
      <c r="GY12" s="22"/>
      <c r="GZ12" s="22"/>
      <c r="HA12" s="22"/>
      <c r="HB12" s="22"/>
      <c r="HC12" s="22"/>
      <c r="HD12" s="22"/>
      <c r="HE12" s="22"/>
      <c r="HF12" s="22"/>
      <c r="HG12" s="22"/>
      <c r="HH12" s="22"/>
      <c r="HI12" s="22"/>
      <c r="HJ12" s="22"/>
      <c r="HK12" s="22"/>
      <c r="HL12" s="22"/>
      <c r="HM12" s="22"/>
      <c r="HN12" s="22"/>
      <c r="HO12" s="22"/>
      <c r="HP12" s="22"/>
      <c r="HQ12" s="22"/>
      <c r="HR12" s="22"/>
      <c r="HS12" s="22"/>
      <c r="HT12" s="22"/>
      <c r="HU12" s="22"/>
      <c r="HV12" s="22"/>
      <c r="HW12" s="22"/>
      <c r="HX12" s="22"/>
      <c r="HY12" s="22"/>
      <c r="HZ12" s="22"/>
      <c r="IA12" s="22"/>
      <c r="IB12" s="22"/>
      <c r="IC12" s="22"/>
      <c r="ID12" s="22"/>
      <c r="IE12" s="22"/>
      <c r="IF12" s="22"/>
      <c r="IG12" s="22"/>
      <c r="IH12" s="22"/>
      <c r="II12" s="22"/>
      <c r="IJ12" s="22"/>
      <c r="IK12" s="22"/>
      <c r="IL12" s="22"/>
      <c r="IM12" s="22"/>
      <c r="IN12" s="22"/>
      <c r="IO12" s="22"/>
      <c r="IP12" s="22"/>
      <c r="IQ12" s="22"/>
      <c r="IR12" s="22"/>
      <c r="IS12" s="22"/>
    </row>
    <row r="13" spans="1:253" s="3" customFormat="1" ht="30" customHeight="1" thickBot="1">
      <c r="A13" s="26" t="s">
        <v>22</v>
      </c>
      <c r="B13" s="16" t="s">
        <v>23</v>
      </c>
      <c r="C13" s="34"/>
      <c r="D13" s="17"/>
      <c r="E13" s="47"/>
      <c r="F13" s="48"/>
      <c r="G13" s="12"/>
      <c r="H13" s="12" t="str">
        <f t="shared" ca="1" si="175"/>
        <v/>
      </c>
      <c r="I13" s="69"/>
      <c r="J13" s="69"/>
      <c r="K13" s="69"/>
      <c r="L13" s="69"/>
      <c r="M13" s="69"/>
      <c r="N13" s="22"/>
      <c r="O13" s="22"/>
      <c r="P13" s="22"/>
      <c r="Q13" s="22"/>
      <c r="R13" s="22"/>
      <c r="S13" s="22"/>
      <c r="T13" s="22"/>
      <c r="U13" s="22"/>
      <c r="V13" s="22"/>
      <c r="W13" s="22"/>
      <c r="X13" s="22"/>
      <c r="Y13" s="22"/>
      <c r="Z13" s="22"/>
      <c r="AA13" s="22"/>
      <c r="AB13" s="22"/>
      <c r="AC13" s="22"/>
      <c r="AD13" s="22"/>
      <c r="AE13" s="22"/>
      <c r="AF13" s="22"/>
      <c r="AG13" s="22"/>
      <c r="AH13" s="22"/>
      <c r="AI13" s="22"/>
      <c r="AJ13" s="22"/>
      <c r="AK13" s="22"/>
      <c r="AL13" s="22"/>
      <c r="AM13" s="22"/>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2"/>
      <c r="BL13" s="22"/>
      <c r="BM13" s="22"/>
      <c r="BN13" s="22"/>
      <c r="BO13" s="22"/>
      <c r="BP13" s="22"/>
      <c r="BQ13" s="22"/>
      <c r="BR13" s="22"/>
      <c r="BS13" s="22"/>
      <c r="BT13" s="22"/>
      <c r="BU13" s="22"/>
      <c r="BV13" s="22"/>
      <c r="BW13" s="22"/>
      <c r="BX13" s="22"/>
      <c r="BY13" s="22"/>
      <c r="BZ13" s="22"/>
      <c r="CA13" s="22"/>
      <c r="CB13" s="22"/>
      <c r="CC13" s="22"/>
      <c r="CD13" s="22"/>
      <c r="CE13" s="22"/>
      <c r="CF13" s="22"/>
      <c r="CG13" s="22"/>
      <c r="CH13" s="22"/>
      <c r="CI13" s="22"/>
      <c r="CJ13" s="22"/>
      <c r="CK13" s="22"/>
      <c r="CL13" s="22"/>
      <c r="CM13" s="22"/>
      <c r="CN13" s="22"/>
      <c r="CO13" s="22"/>
      <c r="CP13" s="22"/>
      <c r="CQ13" s="22"/>
      <c r="CR13" s="22"/>
      <c r="CS13" s="22"/>
      <c r="CT13" s="22"/>
      <c r="CU13" s="22"/>
      <c r="CV13" s="22"/>
      <c r="CW13" s="22"/>
      <c r="CX13" s="22"/>
      <c r="CY13" s="22"/>
      <c r="CZ13" s="22"/>
      <c r="DA13" s="22"/>
      <c r="DB13" s="22"/>
      <c r="DC13" s="22"/>
      <c r="DD13" s="22"/>
      <c r="DE13" s="22"/>
      <c r="DF13" s="22"/>
      <c r="DG13" s="22"/>
      <c r="DH13" s="22"/>
      <c r="DI13" s="22"/>
      <c r="DJ13" s="22"/>
      <c r="DK13" s="22"/>
      <c r="DL13" s="22"/>
      <c r="DM13" s="22"/>
      <c r="DN13" s="22"/>
      <c r="DO13" s="22"/>
      <c r="DP13" s="22"/>
      <c r="DQ13" s="22"/>
      <c r="DR13" s="22"/>
      <c r="DS13" s="22"/>
      <c r="DT13" s="22"/>
      <c r="DU13" s="22"/>
      <c r="DV13" s="22"/>
      <c r="DW13" s="22"/>
      <c r="DX13" s="22"/>
      <c r="DY13" s="22"/>
      <c r="DZ13" s="22"/>
      <c r="EA13" s="22"/>
      <c r="EB13" s="22"/>
      <c r="EC13" s="22"/>
      <c r="ED13" s="22"/>
      <c r="EE13" s="22"/>
      <c r="EF13" s="22"/>
      <c r="EG13" s="22"/>
      <c r="EH13" s="22"/>
      <c r="EI13" s="22"/>
      <c r="EJ13" s="22"/>
      <c r="EK13" s="22"/>
      <c r="EL13" s="22"/>
      <c r="EM13" s="22"/>
      <c r="EN13" s="22"/>
      <c r="EO13" s="22"/>
      <c r="EP13" s="22"/>
      <c r="EQ13" s="22"/>
      <c r="ER13" s="22"/>
      <c r="ES13" s="22"/>
      <c r="ET13" s="22"/>
      <c r="EU13" s="22"/>
      <c r="EV13" s="22"/>
      <c r="EW13" s="22"/>
      <c r="EX13" s="22"/>
      <c r="EY13" s="22"/>
      <c r="EZ13" s="22"/>
      <c r="FA13" s="22"/>
      <c r="FB13" s="22"/>
      <c r="FC13" s="22"/>
      <c r="FD13" s="22"/>
      <c r="FE13" s="22"/>
      <c r="FF13" s="22"/>
      <c r="FG13" s="22"/>
      <c r="FH13" s="22"/>
      <c r="FI13" s="22"/>
      <c r="FJ13" s="22"/>
      <c r="FK13" s="22"/>
      <c r="FL13" s="22"/>
      <c r="FM13" s="22"/>
      <c r="FN13" s="22"/>
      <c r="FO13" s="22"/>
      <c r="FP13" s="22"/>
      <c r="FQ13" s="22"/>
      <c r="FR13" s="22"/>
      <c r="FS13" s="22"/>
      <c r="FT13" s="22"/>
      <c r="FU13" s="22"/>
      <c r="FV13" s="22"/>
      <c r="FW13" s="22"/>
      <c r="FX13" s="22"/>
      <c r="FY13" s="22"/>
      <c r="FZ13" s="22"/>
      <c r="GA13" s="22"/>
      <c r="GB13" s="22"/>
      <c r="GC13" s="22"/>
      <c r="GD13" s="22"/>
      <c r="GE13" s="22"/>
      <c r="GF13" s="22"/>
      <c r="GG13" s="22"/>
      <c r="GH13" s="22"/>
      <c r="GI13" s="22"/>
      <c r="GJ13" s="22"/>
      <c r="GK13" s="22"/>
      <c r="GL13" s="22"/>
      <c r="GM13" s="22"/>
      <c r="GN13" s="22"/>
      <c r="GO13" s="22"/>
      <c r="GP13" s="22"/>
      <c r="GQ13" s="22"/>
      <c r="GR13" s="22"/>
      <c r="GS13" s="22"/>
      <c r="GT13" s="22"/>
      <c r="GU13" s="22"/>
      <c r="GV13" s="22"/>
      <c r="GW13" s="22"/>
      <c r="GX13" s="22"/>
      <c r="GY13" s="22"/>
      <c r="GZ13" s="22"/>
      <c r="HA13" s="22"/>
      <c r="HB13" s="22"/>
      <c r="HC13" s="22"/>
      <c r="HD13" s="22"/>
      <c r="HE13" s="22"/>
      <c r="HF13" s="22"/>
      <c r="HG13" s="22"/>
      <c r="HH13" s="22"/>
      <c r="HI13" s="22"/>
      <c r="HJ13" s="22"/>
      <c r="HK13" s="22"/>
      <c r="HL13" s="22"/>
      <c r="HM13" s="22"/>
      <c r="HN13" s="22"/>
      <c r="HO13" s="22"/>
      <c r="HP13" s="22"/>
      <c r="HQ13" s="22"/>
      <c r="HR13" s="22"/>
      <c r="HS13" s="22"/>
      <c r="HT13" s="22"/>
      <c r="HU13" s="22"/>
      <c r="HV13" s="22"/>
      <c r="HW13" s="22"/>
      <c r="HX13" s="22"/>
      <c r="HY13" s="22"/>
      <c r="HZ13" s="22"/>
      <c r="IA13" s="22"/>
      <c r="IB13" s="22"/>
      <c r="IC13" s="22"/>
      <c r="ID13" s="22"/>
      <c r="IE13" s="22"/>
      <c r="IF13" s="22"/>
      <c r="IG13" s="22"/>
      <c r="IH13" s="22"/>
      <c r="II13" s="22"/>
      <c r="IJ13" s="22"/>
      <c r="IK13" s="22"/>
      <c r="IL13" s="22"/>
      <c r="IM13" s="22"/>
      <c r="IN13" s="22"/>
      <c r="IO13" s="22"/>
      <c r="IP13" s="22"/>
      <c r="IQ13" s="22"/>
      <c r="IR13" s="22"/>
      <c r="IS13" s="22"/>
    </row>
    <row r="14" spans="1:253" s="3" customFormat="1" ht="30" customHeight="1" thickBot="1">
      <c r="A14" s="26"/>
      <c r="B14" s="39" t="s">
        <v>24</v>
      </c>
      <c r="C14" s="35"/>
      <c r="D14" s="18"/>
      <c r="E14" s="49">
        <f>F12</f>
        <v>45646</v>
      </c>
      <c r="F14" s="49">
        <f>E14+20</f>
        <v>45666</v>
      </c>
      <c r="G14" s="12"/>
      <c r="H14" s="12">
        <f t="shared" ca="1" si="175"/>
        <v>21</v>
      </c>
      <c r="I14" s="69"/>
      <c r="J14" s="22"/>
      <c r="K14" s="22"/>
      <c r="L14" s="22"/>
      <c r="M14" s="22"/>
      <c r="N14" s="68"/>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c r="GA14" s="22"/>
      <c r="GB14" s="22"/>
      <c r="GC14" s="22"/>
      <c r="GD14" s="22"/>
      <c r="GE14" s="22"/>
      <c r="GF14" s="22"/>
      <c r="GG14" s="22"/>
      <c r="GH14" s="22"/>
      <c r="GI14" s="22"/>
      <c r="GJ14" s="22"/>
      <c r="GK14" s="22"/>
      <c r="GL14" s="22"/>
      <c r="GM14" s="22"/>
      <c r="GN14" s="22"/>
      <c r="GO14" s="22"/>
      <c r="GP14" s="22"/>
      <c r="GQ14" s="22"/>
      <c r="GR14" s="22"/>
      <c r="GS14" s="22"/>
      <c r="GT14" s="22"/>
      <c r="GU14" s="22"/>
      <c r="GV14" s="22"/>
      <c r="GW14" s="22"/>
      <c r="GX14" s="22"/>
      <c r="GY14" s="22"/>
      <c r="GZ14" s="22"/>
      <c r="HA14" s="22"/>
      <c r="HB14" s="22"/>
      <c r="HC14" s="22"/>
      <c r="HD14" s="22"/>
      <c r="HE14" s="22"/>
      <c r="HF14" s="22"/>
      <c r="HG14" s="22"/>
      <c r="HH14" s="22"/>
      <c r="HI14" s="22"/>
      <c r="HJ14" s="22"/>
      <c r="HK14" s="22"/>
      <c r="HL14" s="22"/>
      <c r="HM14" s="22"/>
      <c r="HN14" s="22"/>
      <c r="HO14" s="22"/>
      <c r="HP14" s="22"/>
      <c r="HQ14" s="22"/>
      <c r="HR14" s="22"/>
      <c r="HS14" s="22"/>
      <c r="HT14" s="22"/>
      <c r="HU14" s="22"/>
      <c r="HV14" s="22"/>
      <c r="HW14" s="22"/>
      <c r="HX14" s="22"/>
      <c r="HY14" s="22"/>
      <c r="HZ14" s="22"/>
      <c r="IA14" s="22"/>
      <c r="IB14" s="22"/>
      <c r="IC14" s="22"/>
      <c r="ID14" s="22"/>
      <c r="IE14" s="22"/>
      <c r="IF14" s="22"/>
      <c r="IG14" s="22"/>
      <c r="IH14" s="22"/>
      <c r="II14" s="22"/>
      <c r="IJ14" s="22"/>
      <c r="IK14" s="22"/>
      <c r="IL14" s="22"/>
      <c r="IM14" s="22"/>
      <c r="IN14" s="22"/>
      <c r="IO14" s="22"/>
      <c r="IP14" s="22"/>
      <c r="IQ14" s="22"/>
      <c r="IR14" s="22"/>
      <c r="IS14" s="22"/>
    </row>
    <row r="15" spans="1:253" s="3" customFormat="1" ht="30" customHeight="1" thickBot="1">
      <c r="A15" s="25"/>
      <c r="B15" s="39" t="s">
        <v>25</v>
      </c>
      <c r="C15" s="35"/>
      <c r="D15" s="18"/>
      <c r="E15" s="49">
        <f>F14+1</f>
        <v>45667</v>
      </c>
      <c r="F15" s="49">
        <f>E15+35</f>
        <v>45702</v>
      </c>
      <c r="G15" s="12"/>
      <c r="H15" s="12">
        <f ca="1">IF(OR(ISBLANK(inizio_attività),ISBLANK(fine_attività)),"",fine_attività-inizio_attività+1)</f>
        <v>36</v>
      </c>
      <c r="I15" s="22"/>
      <c r="J15" s="70"/>
      <c r="K15" s="70"/>
      <c r="L15" s="70"/>
      <c r="M15" s="70"/>
      <c r="N15" s="22"/>
      <c r="O15" s="22"/>
      <c r="P15" s="22"/>
      <c r="Q15" s="22"/>
      <c r="R15" s="22"/>
      <c r="S15" s="22"/>
      <c r="T15" s="22"/>
      <c r="U15" s="23"/>
      <c r="V15" s="23"/>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c r="GA15" s="22"/>
      <c r="GB15" s="22"/>
      <c r="GC15" s="22"/>
      <c r="GD15" s="22"/>
      <c r="GE15" s="22"/>
      <c r="GF15" s="22"/>
      <c r="GG15" s="22"/>
      <c r="GH15" s="22"/>
      <c r="GI15" s="22"/>
      <c r="GJ15" s="22"/>
      <c r="GK15" s="22"/>
      <c r="GL15" s="22"/>
      <c r="GM15" s="22"/>
      <c r="GN15" s="22"/>
      <c r="GO15" s="22"/>
      <c r="GP15" s="22"/>
      <c r="GQ15" s="22"/>
      <c r="GR15" s="22"/>
      <c r="GS15" s="22"/>
      <c r="GT15" s="22"/>
      <c r="GU15" s="22"/>
      <c r="GV15" s="22"/>
      <c r="GW15" s="22"/>
      <c r="GX15" s="22"/>
      <c r="GY15" s="22"/>
      <c r="GZ15" s="22"/>
      <c r="HA15" s="22"/>
      <c r="HB15" s="22"/>
      <c r="HC15" s="22"/>
      <c r="HD15" s="22"/>
      <c r="HE15" s="22"/>
      <c r="HF15" s="22"/>
      <c r="HG15" s="22"/>
      <c r="HH15" s="22"/>
      <c r="HI15" s="22"/>
      <c r="HJ15" s="22"/>
      <c r="HK15" s="22"/>
      <c r="HL15" s="22"/>
      <c r="HM15" s="22"/>
      <c r="HN15" s="22"/>
      <c r="HO15" s="22"/>
      <c r="HP15" s="22"/>
      <c r="HQ15" s="22"/>
      <c r="HR15" s="22"/>
      <c r="HS15" s="22"/>
      <c r="HT15" s="22"/>
      <c r="HU15" s="22"/>
      <c r="HV15" s="22"/>
      <c r="HW15" s="22"/>
      <c r="HX15" s="22"/>
      <c r="HY15" s="22"/>
      <c r="HZ15" s="22"/>
      <c r="IA15" s="22"/>
      <c r="IB15" s="22"/>
      <c r="IC15" s="22"/>
      <c r="ID15" s="22"/>
      <c r="IE15" s="22"/>
      <c r="IF15" s="22"/>
      <c r="IG15" s="22"/>
      <c r="IH15" s="22"/>
      <c r="II15" s="22"/>
      <c r="IJ15" s="22"/>
      <c r="IK15" s="22"/>
      <c r="IL15" s="22"/>
      <c r="IM15" s="22"/>
      <c r="IN15" s="22"/>
      <c r="IO15" s="22"/>
      <c r="IP15" s="22"/>
      <c r="IQ15" s="22"/>
      <c r="IR15" s="22"/>
      <c r="IS15" s="22"/>
    </row>
    <row r="16" spans="1:253" s="3" customFormat="1" ht="30" customHeight="1" thickBot="1">
      <c r="A16" s="25"/>
      <c r="B16" s="39" t="s">
        <v>26</v>
      </c>
      <c r="C16" s="35"/>
      <c r="D16" s="18"/>
      <c r="E16" s="49">
        <f>MAX(F14) + 1</f>
        <v>45667</v>
      </c>
      <c r="F16" s="49">
        <f>E16+25</f>
        <v>45692</v>
      </c>
      <c r="G16" s="12"/>
      <c r="H16" s="12">
        <f t="shared" ca="1" si="175"/>
        <v>26</v>
      </c>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c r="GA16" s="22"/>
      <c r="GB16" s="22"/>
      <c r="GC16" s="22"/>
      <c r="GD16" s="22"/>
      <c r="GE16" s="22"/>
      <c r="GF16" s="22"/>
      <c r="GG16" s="22"/>
      <c r="GH16" s="22"/>
      <c r="GI16" s="22"/>
      <c r="GJ16" s="22"/>
      <c r="GK16" s="22"/>
      <c r="GL16" s="22"/>
      <c r="GM16" s="22"/>
      <c r="GN16" s="22"/>
      <c r="GO16" s="22"/>
      <c r="GP16" s="22"/>
      <c r="GQ16" s="22"/>
      <c r="GR16" s="22"/>
      <c r="GS16" s="22"/>
      <c r="GT16" s="22"/>
      <c r="GU16" s="22"/>
      <c r="GV16" s="22"/>
      <c r="GW16" s="22"/>
      <c r="GX16" s="22"/>
      <c r="GY16" s="22"/>
      <c r="GZ16" s="22"/>
      <c r="HA16" s="22"/>
      <c r="HB16" s="22"/>
      <c r="HC16" s="22"/>
      <c r="HD16" s="22"/>
      <c r="HE16" s="22"/>
      <c r="HF16" s="22"/>
      <c r="HG16" s="22"/>
      <c r="HH16" s="22"/>
      <c r="HI16" s="22"/>
      <c r="HJ16" s="22"/>
      <c r="HK16" s="22"/>
      <c r="HL16" s="22"/>
      <c r="HM16" s="22"/>
      <c r="HN16" s="22"/>
      <c r="HO16" s="22"/>
      <c r="HP16" s="22"/>
      <c r="HQ16" s="22"/>
      <c r="HR16" s="22"/>
      <c r="HS16" s="22"/>
      <c r="HT16" s="22"/>
      <c r="HU16" s="22"/>
      <c r="HV16" s="22"/>
      <c r="HW16" s="22"/>
      <c r="HX16" s="22"/>
      <c r="HY16" s="22"/>
      <c r="HZ16" s="22"/>
      <c r="IA16" s="22"/>
      <c r="IB16" s="22"/>
      <c r="IC16" s="22"/>
      <c r="ID16" s="22"/>
      <c r="IE16" s="22"/>
      <c r="IF16" s="22"/>
      <c r="IG16" s="22"/>
      <c r="IH16" s="22"/>
      <c r="II16" s="22"/>
      <c r="IJ16" s="22"/>
      <c r="IK16" s="22"/>
      <c r="IL16" s="22"/>
      <c r="IM16" s="22"/>
      <c r="IN16" s="22"/>
      <c r="IO16" s="22"/>
      <c r="IP16" s="22"/>
      <c r="IQ16" s="22"/>
      <c r="IR16" s="22"/>
      <c r="IS16" s="22"/>
    </row>
    <row r="17" spans="1:253" s="3" customFormat="1" ht="30" customHeight="1" thickBot="1">
      <c r="A17" s="25"/>
      <c r="B17" s="39" t="s">
        <v>27</v>
      </c>
      <c r="C17" s="35"/>
      <c r="D17" s="18"/>
      <c r="E17" s="49">
        <f>F15 + 1</f>
        <v>45703</v>
      </c>
      <c r="F17" s="49">
        <f>E17 + 20</f>
        <v>45723</v>
      </c>
      <c r="G17" s="12"/>
      <c r="H17" s="12">
        <f ca="1">IF(OR(ISBLANK(inizio_attività),ISBLANK(fine_attività)),"",fine_attività-inizio_attività+1)</f>
        <v>21</v>
      </c>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c r="GA17" s="22"/>
      <c r="GB17" s="22"/>
      <c r="GC17" s="22"/>
      <c r="GD17" s="22"/>
      <c r="GE17" s="22"/>
      <c r="GF17" s="22"/>
      <c r="GG17" s="22"/>
      <c r="GH17" s="22"/>
      <c r="GI17" s="22"/>
      <c r="GJ17" s="22"/>
      <c r="GK17" s="22"/>
      <c r="GL17" s="22"/>
      <c r="GM17" s="22"/>
      <c r="GN17" s="22"/>
      <c r="GO17" s="22"/>
      <c r="GP17" s="22"/>
      <c r="GQ17" s="22"/>
      <c r="GR17" s="22"/>
      <c r="GS17" s="22"/>
      <c r="GT17" s="22"/>
      <c r="GU17" s="22"/>
      <c r="GV17" s="22"/>
      <c r="GW17" s="22"/>
      <c r="GX17" s="22"/>
      <c r="GY17" s="22"/>
      <c r="GZ17" s="22"/>
      <c r="HA17" s="22"/>
      <c r="HB17" s="22"/>
      <c r="HC17" s="22"/>
      <c r="HD17" s="22"/>
      <c r="HE17" s="22"/>
      <c r="HF17" s="22"/>
      <c r="HG17" s="22"/>
      <c r="HH17" s="22"/>
      <c r="HI17" s="22"/>
      <c r="HJ17" s="22"/>
      <c r="HK17" s="22"/>
      <c r="HL17" s="22"/>
      <c r="HM17" s="22"/>
      <c r="HN17" s="22"/>
      <c r="HO17" s="22"/>
      <c r="HP17" s="22"/>
      <c r="HQ17" s="22"/>
      <c r="HR17" s="22"/>
      <c r="HS17" s="22"/>
      <c r="HT17" s="22"/>
      <c r="HU17" s="22"/>
      <c r="HV17" s="22"/>
      <c r="HW17" s="22"/>
      <c r="HX17" s="22"/>
      <c r="HY17" s="22"/>
      <c r="HZ17" s="22"/>
      <c r="IA17" s="22"/>
      <c r="IB17" s="22"/>
      <c r="IC17" s="22"/>
      <c r="ID17" s="22"/>
      <c r="IE17" s="22"/>
      <c r="IF17" s="22"/>
      <c r="IG17" s="22"/>
      <c r="IH17" s="22"/>
      <c r="II17" s="22"/>
      <c r="IJ17" s="22"/>
      <c r="IK17" s="22"/>
      <c r="IL17" s="22"/>
      <c r="IM17" s="22"/>
      <c r="IN17" s="22"/>
      <c r="IO17" s="22"/>
      <c r="IP17" s="22"/>
      <c r="IQ17" s="22"/>
      <c r="IR17" s="22"/>
      <c r="IS17" s="22"/>
    </row>
    <row r="18" spans="1:253" s="3" customFormat="1" ht="30" customHeight="1" thickBot="1">
      <c r="A18" s="25"/>
      <c r="B18" s="39" t="s">
        <v>28</v>
      </c>
      <c r="C18" s="35"/>
      <c r="D18" s="18"/>
      <c r="E18" s="49">
        <f>E17</f>
        <v>45703</v>
      </c>
      <c r="F18" s="49">
        <f>E18+40</f>
        <v>45743</v>
      </c>
      <c r="G18" s="12"/>
      <c r="H18" s="12">
        <f ca="1">IF(OR(ISBLANK(inizio_attività),ISBLANK(fine_attività)),"",fine_attività-inizio_attività+1)</f>
        <v>41</v>
      </c>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c r="GA18" s="22"/>
      <c r="GB18" s="22"/>
      <c r="GC18" s="22"/>
      <c r="GD18" s="22"/>
      <c r="GE18" s="22"/>
      <c r="GF18" s="22"/>
      <c r="GG18" s="22"/>
      <c r="GH18" s="22"/>
      <c r="GI18" s="22"/>
      <c r="GJ18" s="22"/>
      <c r="GK18" s="22"/>
      <c r="GL18" s="22"/>
      <c r="GM18" s="22"/>
      <c r="GN18" s="22"/>
      <c r="GO18" s="22"/>
      <c r="GP18" s="22"/>
      <c r="GQ18" s="22"/>
      <c r="GR18" s="22"/>
      <c r="GS18" s="22"/>
      <c r="GT18" s="22"/>
      <c r="GU18" s="22"/>
      <c r="GV18" s="22"/>
      <c r="GW18" s="22"/>
      <c r="GX18" s="22"/>
      <c r="GY18" s="22"/>
      <c r="GZ18" s="22"/>
      <c r="HA18" s="22"/>
      <c r="HB18" s="22"/>
      <c r="HC18" s="22"/>
      <c r="HD18" s="22"/>
      <c r="HE18" s="22"/>
      <c r="HF18" s="22"/>
      <c r="HG18" s="22"/>
      <c r="HH18" s="22"/>
      <c r="HI18" s="22"/>
      <c r="HJ18" s="22"/>
      <c r="HK18" s="22"/>
      <c r="HL18" s="22"/>
      <c r="HM18" s="22"/>
      <c r="HN18" s="22"/>
      <c r="HO18" s="22"/>
      <c r="HP18" s="22"/>
      <c r="HQ18" s="22"/>
      <c r="HR18" s="22"/>
      <c r="HS18" s="22"/>
      <c r="HT18" s="22"/>
      <c r="HU18" s="22"/>
      <c r="HV18" s="22"/>
      <c r="HW18" s="22"/>
      <c r="HX18" s="22"/>
      <c r="HY18" s="22"/>
      <c r="HZ18" s="22"/>
      <c r="IA18" s="22"/>
      <c r="IB18" s="22"/>
      <c r="IC18" s="22"/>
      <c r="ID18" s="22"/>
      <c r="IE18" s="22"/>
      <c r="IF18" s="22"/>
      <c r="IG18" s="22"/>
      <c r="IH18" s="22"/>
      <c r="II18" s="22"/>
      <c r="IJ18" s="22"/>
      <c r="IK18" s="22"/>
      <c r="IL18" s="22"/>
      <c r="IM18" s="22"/>
      <c r="IN18" s="22"/>
      <c r="IO18" s="22"/>
      <c r="IP18" s="22"/>
      <c r="IQ18" s="22"/>
      <c r="IR18" s="22"/>
      <c r="IS18" s="22"/>
    </row>
    <row r="19" spans="1:253" s="3" customFormat="1" ht="30" customHeight="1" thickBot="1">
      <c r="A19" s="25" t="s">
        <v>29</v>
      </c>
      <c r="B19" s="19" t="s">
        <v>30</v>
      </c>
      <c r="C19" s="36"/>
      <c r="D19" s="20"/>
      <c r="E19" s="50"/>
      <c r="F19" s="51"/>
      <c r="G19" s="12"/>
      <c r="H19" s="12" t="str">
        <f t="shared" ca="1" si="175"/>
        <v/>
      </c>
      <c r="I19" s="22"/>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2"/>
      <c r="AR19" s="22"/>
      <c r="AS19" s="22"/>
      <c r="AT19" s="22"/>
      <c r="AU19" s="22"/>
      <c r="AV19" s="22"/>
      <c r="AW19" s="22"/>
      <c r="AX19" s="22"/>
      <c r="AY19" s="22"/>
      <c r="AZ19" s="22"/>
      <c r="BA19" s="22"/>
      <c r="BB19" s="22"/>
      <c r="BC19" s="22"/>
      <c r="BD19" s="22"/>
      <c r="BE19" s="22"/>
      <c r="BF19" s="22"/>
      <c r="BG19" s="22"/>
      <c r="BH19" s="22"/>
      <c r="BI19" s="22"/>
      <c r="BJ19" s="22"/>
      <c r="BK19" s="22"/>
      <c r="BL19" s="22"/>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2"/>
      <c r="CX19" s="22"/>
      <c r="CY19" s="22"/>
      <c r="CZ19" s="22"/>
      <c r="DA19" s="22"/>
      <c r="DB19" s="22"/>
      <c r="DC19" s="22"/>
      <c r="DD19" s="22"/>
      <c r="DE19" s="22"/>
      <c r="DF19" s="22"/>
      <c r="DG19" s="22"/>
      <c r="DH19" s="22"/>
      <c r="DI19" s="22"/>
      <c r="DJ19" s="22"/>
      <c r="DK19" s="22"/>
      <c r="DL19" s="22"/>
      <c r="DM19" s="22"/>
      <c r="DN19" s="22"/>
      <c r="DO19" s="22"/>
      <c r="DP19" s="22"/>
      <c r="DQ19" s="22"/>
      <c r="DR19" s="22"/>
      <c r="DS19" s="22"/>
      <c r="DT19" s="22"/>
      <c r="DU19" s="22"/>
      <c r="DV19" s="22"/>
      <c r="DW19" s="22"/>
      <c r="DX19" s="22"/>
      <c r="DY19" s="22"/>
      <c r="DZ19" s="22"/>
      <c r="EA19" s="22"/>
      <c r="EB19" s="22"/>
      <c r="EC19" s="22"/>
      <c r="ED19" s="22"/>
      <c r="EE19" s="22"/>
      <c r="EF19" s="22"/>
      <c r="EG19" s="22"/>
      <c r="EH19" s="22"/>
      <c r="EI19" s="22"/>
      <c r="EJ19" s="22"/>
      <c r="EK19" s="22"/>
      <c r="EL19" s="22"/>
      <c r="EM19" s="22"/>
      <c r="EN19" s="22"/>
      <c r="EO19" s="22"/>
      <c r="EP19" s="22"/>
      <c r="EQ19" s="22"/>
      <c r="ER19" s="22"/>
      <c r="ES19" s="22"/>
      <c r="ET19" s="22"/>
      <c r="EU19" s="22"/>
      <c r="EV19" s="22"/>
      <c r="EW19" s="22"/>
      <c r="EX19" s="22"/>
      <c r="EY19" s="22"/>
      <c r="EZ19" s="22"/>
      <c r="FA19" s="22"/>
      <c r="FB19" s="22"/>
      <c r="FC19" s="22"/>
      <c r="FD19" s="22"/>
      <c r="FE19" s="22"/>
      <c r="FF19" s="22"/>
      <c r="FG19" s="22"/>
      <c r="FH19" s="22"/>
      <c r="FI19" s="22"/>
      <c r="FJ19" s="22"/>
      <c r="FK19" s="22"/>
      <c r="FL19" s="22"/>
      <c r="FM19" s="22"/>
      <c r="FN19" s="22"/>
      <c r="FO19" s="22"/>
      <c r="FP19" s="22"/>
      <c r="FQ19" s="22"/>
      <c r="FR19" s="22"/>
      <c r="FS19" s="22"/>
      <c r="FT19" s="22"/>
      <c r="FU19" s="22"/>
      <c r="FV19" s="22"/>
      <c r="FW19" s="22"/>
      <c r="FX19" s="22"/>
      <c r="FY19" s="22"/>
      <c r="FZ19" s="22"/>
      <c r="GA19" s="22"/>
      <c r="GB19" s="22"/>
      <c r="GC19" s="22"/>
      <c r="GD19" s="22"/>
      <c r="GE19" s="22"/>
      <c r="GF19" s="22"/>
      <c r="GG19" s="22"/>
      <c r="GH19" s="22"/>
      <c r="GI19" s="22"/>
      <c r="GJ19" s="22"/>
      <c r="GK19" s="22"/>
      <c r="GL19" s="22"/>
      <c r="GM19" s="22"/>
      <c r="GN19" s="22"/>
      <c r="GO19" s="22"/>
      <c r="GP19" s="22"/>
      <c r="GQ19" s="22"/>
      <c r="GR19" s="22"/>
      <c r="GS19" s="22"/>
      <c r="GT19" s="22"/>
      <c r="GU19" s="22"/>
      <c r="GV19" s="22"/>
      <c r="GW19" s="22"/>
      <c r="GX19" s="22"/>
      <c r="GY19" s="22"/>
      <c r="GZ19" s="22"/>
      <c r="HA19" s="22"/>
      <c r="HB19" s="22"/>
      <c r="HC19" s="22"/>
      <c r="HD19" s="22"/>
      <c r="HE19" s="22"/>
      <c r="HF19" s="22"/>
      <c r="HG19" s="22"/>
      <c r="HH19" s="22"/>
      <c r="HI19" s="22"/>
      <c r="HJ19" s="22"/>
      <c r="HK19" s="22"/>
      <c r="HL19" s="22"/>
      <c r="HM19" s="22"/>
      <c r="HN19" s="22"/>
      <c r="HO19" s="22"/>
      <c r="HP19" s="22"/>
      <c r="HQ19" s="22"/>
      <c r="HR19" s="22"/>
      <c r="HS19" s="22"/>
      <c r="HT19" s="22"/>
      <c r="HU19" s="22"/>
      <c r="HV19" s="22"/>
      <c r="HW19" s="22"/>
      <c r="HX19" s="22"/>
      <c r="HY19" s="22"/>
      <c r="HZ19" s="22"/>
      <c r="IA19" s="22"/>
      <c r="IB19" s="22"/>
      <c r="IC19" s="22"/>
      <c r="ID19" s="22"/>
      <c r="IE19" s="22"/>
      <c r="IF19" s="22"/>
      <c r="IG19" s="22"/>
      <c r="IH19" s="22"/>
      <c r="II19" s="22"/>
      <c r="IJ19" s="22"/>
      <c r="IK19" s="22"/>
      <c r="IL19" s="22"/>
      <c r="IM19" s="22"/>
      <c r="IN19" s="22"/>
      <c r="IO19" s="22"/>
      <c r="IP19" s="22"/>
      <c r="IQ19" s="22"/>
      <c r="IR19" s="22"/>
      <c r="IS19" s="22"/>
    </row>
    <row r="20" spans="1:253" s="3" customFormat="1" ht="30" customHeight="1" thickBot="1">
      <c r="A20" s="25"/>
      <c r="B20" s="65" t="s">
        <v>31</v>
      </c>
      <c r="C20" s="37"/>
      <c r="D20" s="66"/>
      <c r="E20" s="52">
        <f>E17+10</f>
        <v>45713</v>
      </c>
      <c r="F20" s="67">
        <f>E20 +20</f>
        <v>45733</v>
      </c>
      <c r="G20" s="12"/>
      <c r="H20" s="12">
        <f ca="1">IF(OR(ISBLANK(inizio_attività),ISBLANK(fine_attività)),"",fine_attività-inizio_attività+1)</f>
        <v>21</v>
      </c>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2"/>
      <c r="BK20" s="22"/>
      <c r="BL20" s="22"/>
      <c r="BM20" s="22"/>
      <c r="BN20" s="22"/>
      <c r="BO20" s="22"/>
      <c r="BP20" s="22"/>
      <c r="BQ20" s="22"/>
      <c r="BR20" s="22"/>
      <c r="BS20" s="22"/>
      <c r="BT20" s="22"/>
      <c r="BU20" s="22"/>
      <c r="BV20" s="22"/>
      <c r="BW20" s="22"/>
      <c r="BX20" s="22"/>
      <c r="BY20" s="22"/>
      <c r="BZ20" s="22"/>
      <c r="CA20" s="22"/>
      <c r="CB20" s="22"/>
      <c r="CC20" s="22"/>
      <c r="CD20" s="22"/>
      <c r="CE20" s="22"/>
      <c r="CF20" s="22"/>
      <c r="CG20" s="22"/>
      <c r="CH20" s="22"/>
      <c r="CI20" s="22"/>
      <c r="CJ20" s="22"/>
      <c r="CK20" s="22"/>
      <c r="CL20" s="22"/>
      <c r="CM20" s="22"/>
      <c r="CN20" s="22"/>
      <c r="CO20" s="22"/>
      <c r="CP20" s="22"/>
      <c r="CQ20" s="22"/>
      <c r="CR20" s="22"/>
      <c r="CS20" s="22"/>
      <c r="CT20" s="22"/>
      <c r="CU20" s="22"/>
      <c r="CV20" s="22"/>
      <c r="CW20" s="22"/>
      <c r="CX20" s="22"/>
      <c r="CY20" s="22"/>
      <c r="CZ20" s="22"/>
      <c r="DA20" s="22"/>
      <c r="DB20" s="22"/>
      <c r="DC20" s="22"/>
      <c r="DD20" s="22"/>
      <c r="DE20" s="22"/>
      <c r="DF20" s="22"/>
      <c r="DG20" s="22"/>
      <c r="DH20" s="22"/>
      <c r="DI20" s="22"/>
      <c r="DJ20" s="22"/>
      <c r="DK20" s="22"/>
      <c r="DL20" s="22"/>
      <c r="DM20" s="22"/>
      <c r="DN20" s="22"/>
      <c r="DO20" s="22"/>
      <c r="DP20" s="22"/>
      <c r="DQ20" s="22"/>
      <c r="DR20" s="22"/>
      <c r="DS20" s="22"/>
      <c r="DT20" s="22"/>
      <c r="DU20" s="22"/>
      <c r="DV20" s="22"/>
      <c r="DW20" s="22"/>
      <c r="DX20" s="22"/>
      <c r="DY20" s="22"/>
      <c r="DZ20" s="22"/>
      <c r="EA20" s="22"/>
      <c r="EB20" s="22"/>
      <c r="EC20" s="22"/>
      <c r="ED20" s="22"/>
      <c r="EE20" s="22"/>
      <c r="EF20" s="22"/>
      <c r="EG20" s="22"/>
      <c r="EH20" s="22"/>
      <c r="EI20" s="22"/>
      <c r="EJ20" s="22"/>
      <c r="EK20" s="22"/>
      <c r="EL20" s="22"/>
      <c r="EM20" s="22"/>
      <c r="EN20" s="22"/>
      <c r="EO20" s="22"/>
      <c r="EP20" s="22"/>
      <c r="EQ20" s="22"/>
      <c r="ER20" s="22"/>
      <c r="ES20" s="22"/>
      <c r="ET20" s="22"/>
      <c r="EU20" s="22"/>
      <c r="EV20" s="22"/>
      <c r="EW20" s="22"/>
      <c r="EX20" s="22"/>
      <c r="EY20" s="22"/>
      <c r="EZ20" s="22"/>
      <c r="FA20" s="22"/>
      <c r="FB20" s="22"/>
      <c r="FC20" s="22"/>
      <c r="FD20" s="22"/>
      <c r="FE20" s="22"/>
      <c r="FF20" s="22"/>
      <c r="FG20" s="22"/>
      <c r="FH20" s="22"/>
      <c r="FI20" s="22"/>
      <c r="FJ20" s="22"/>
      <c r="FK20" s="22"/>
      <c r="FL20" s="22"/>
      <c r="FM20" s="22"/>
      <c r="FN20" s="22"/>
      <c r="FO20" s="22"/>
      <c r="FP20" s="22"/>
      <c r="FQ20" s="22"/>
      <c r="FR20" s="22"/>
      <c r="FS20" s="22"/>
      <c r="FT20" s="22"/>
      <c r="FU20" s="22"/>
      <c r="FV20" s="22"/>
      <c r="FW20" s="22"/>
      <c r="FX20" s="22"/>
      <c r="FY20" s="22"/>
      <c r="FZ20" s="22"/>
      <c r="GA20" s="22"/>
      <c r="GB20" s="22"/>
      <c r="GC20" s="22"/>
      <c r="GD20" s="22"/>
      <c r="GE20" s="22"/>
      <c r="GF20" s="22"/>
      <c r="GG20" s="22"/>
      <c r="GH20" s="22"/>
      <c r="GI20" s="22"/>
      <c r="GJ20" s="22"/>
      <c r="GK20" s="22"/>
      <c r="GL20" s="22"/>
      <c r="GM20" s="22"/>
      <c r="GN20" s="22"/>
      <c r="GO20" s="22"/>
      <c r="GP20" s="22"/>
      <c r="GQ20" s="22"/>
      <c r="GR20" s="22"/>
      <c r="GS20" s="22"/>
      <c r="GT20" s="22"/>
      <c r="GU20" s="22"/>
      <c r="GV20" s="22"/>
      <c r="GW20" s="22"/>
      <c r="GX20" s="22"/>
      <c r="GY20" s="22"/>
      <c r="GZ20" s="22"/>
      <c r="HA20" s="22"/>
      <c r="HB20" s="22"/>
      <c r="HC20" s="22"/>
      <c r="HD20" s="22"/>
      <c r="HE20" s="22"/>
      <c r="HF20" s="22"/>
      <c r="HG20" s="22"/>
      <c r="HH20" s="22"/>
      <c r="HI20" s="22"/>
      <c r="HJ20" s="22"/>
      <c r="HK20" s="22"/>
      <c r="HL20" s="22"/>
      <c r="HM20" s="22"/>
      <c r="HN20" s="22"/>
      <c r="HO20" s="22"/>
      <c r="HP20" s="22"/>
      <c r="HQ20" s="22"/>
      <c r="HR20" s="22"/>
      <c r="HS20" s="22"/>
      <c r="HT20" s="22"/>
      <c r="HU20" s="22"/>
      <c r="HV20" s="22"/>
      <c r="HW20" s="22"/>
      <c r="HX20" s="22"/>
      <c r="HY20" s="22"/>
      <c r="HZ20" s="22"/>
      <c r="IA20" s="22"/>
      <c r="IB20" s="22"/>
      <c r="IC20" s="22"/>
      <c r="ID20" s="22"/>
      <c r="IE20" s="22"/>
      <c r="IF20" s="22"/>
      <c r="IG20" s="22"/>
      <c r="IH20" s="22"/>
      <c r="II20" s="22"/>
      <c r="IJ20" s="22"/>
      <c r="IK20" s="22"/>
      <c r="IL20" s="22"/>
      <c r="IM20" s="22"/>
      <c r="IN20" s="22"/>
      <c r="IO20" s="22"/>
      <c r="IP20" s="22"/>
      <c r="IQ20" s="22"/>
      <c r="IR20" s="22"/>
      <c r="IS20" s="22"/>
    </row>
    <row r="21" spans="1:253" s="3" customFormat="1" ht="30" customHeight="1" thickBot="1">
      <c r="A21" s="25"/>
      <c r="B21" s="65" t="s">
        <v>32</v>
      </c>
      <c r="C21" s="37"/>
      <c r="D21" s="66"/>
      <c r="E21" s="67">
        <f>F20 +1</f>
        <v>45734</v>
      </c>
      <c r="F21" s="67">
        <f>E21 +15</f>
        <v>45749</v>
      </c>
      <c r="G21" s="12"/>
      <c r="H21" s="12">
        <f ca="1">IF(OR(ISBLANK(inizio_attività),ISBLANK(fine_attività)),"",fine_attività-inizio_attività+1)</f>
        <v>16</v>
      </c>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c r="GA21" s="22"/>
      <c r="GB21" s="22"/>
      <c r="GC21" s="22"/>
      <c r="GD21" s="22"/>
      <c r="GE21" s="22"/>
      <c r="GF21" s="22"/>
      <c r="GG21" s="22"/>
      <c r="GH21" s="22"/>
      <c r="GI21" s="22"/>
      <c r="GJ21" s="22"/>
      <c r="GK21" s="22"/>
      <c r="GL21" s="22"/>
      <c r="GM21" s="22"/>
      <c r="GN21" s="22"/>
      <c r="GO21" s="22"/>
      <c r="GP21" s="22"/>
      <c r="GQ21" s="22"/>
      <c r="GR21" s="22"/>
      <c r="GS21" s="22"/>
      <c r="GT21" s="22"/>
      <c r="GU21" s="22"/>
      <c r="GV21" s="22"/>
      <c r="GW21" s="22"/>
      <c r="GX21" s="22"/>
      <c r="GY21" s="22"/>
      <c r="GZ21" s="22"/>
      <c r="HA21" s="22"/>
      <c r="HB21" s="22"/>
      <c r="HC21" s="22"/>
      <c r="HD21" s="22"/>
      <c r="HE21" s="22"/>
      <c r="HF21" s="22"/>
      <c r="HG21" s="22"/>
      <c r="HH21" s="22"/>
      <c r="HI21" s="22"/>
      <c r="HJ21" s="22"/>
      <c r="HK21" s="22"/>
      <c r="HL21" s="22"/>
      <c r="HM21" s="22"/>
      <c r="HN21" s="22"/>
      <c r="HO21" s="22"/>
      <c r="HP21" s="22"/>
      <c r="HQ21" s="22"/>
      <c r="HR21" s="22"/>
      <c r="HS21" s="22"/>
      <c r="HT21" s="22"/>
      <c r="HU21" s="22"/>
      <c r="HV21" s="22"/>
      <c r="HW21" s="22"/>
      <c r="HX21" s="22"/>
      <c r="HY21" s="22"/>
      <c r="HZ21" s="22"/>
      <c r="IA21" s="22"/>
      <c r="IB21" s="22"/>
      <c r="IC21" s="22"/>
      <c r="ID21" s="22"/>
      <c r="IE21" s="22"/>
      <c r="IF21" s="22"/>
      <c r="IG21" s="22"/>
      <c r="IH21" s="22"/>
      <c r="II21" s="22"/>
      <c r="IJ21" s="22"/>
      <c r="IK21" s="22"/>
      <c r="IL21" s="22"/>
      <c r="IM21" s="22"/>
      <c r="IN21" s="22"/>
      <c r="IO21" s="22"/>
      <c r="IP21" s="22"/>
      <c r="IQ21" s="22"/>
      <c r="IR21" s="22"/>
      <c r="IS21" s="22"/>
    </row>
    <row r="22" spans="1:253" s="3" customFormat="1" ht="30" customHeight="1" thickBot="1">
      <c r="A22" s="25"/>
      <c r="B22" s="65" t="s">
        <v>33</v>
      </c>
      <c r="C22" s="37"/>
      <c r="D22" s="21"/>
      <c r="E22" s="52">
        <f>MAX(F15, F20, F21, F16) -3</f>
        <v>45746</v>
      </c>
      <c r="F22" s="52">
        <f>E22+E225+10</f>
        <v>45756</v>
      </c>
      <c r="G22" s="12"/>
      <c r="H22" s="12">
        <f ca="1">IF(OR(ISBLANK(inizio_attività),ISBLANK(fine_attività)),"",fine_attività-inizio_attività+1)</f>
        <v>11</v>
      </c>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c r="GA22" s="22"/>
      <c r="GB22" s="22"/>
      <c r="GC22" s="22"/>
      <c r="GD22" s="22"/>
      <c r="GE22" s="22"/>
      <c r="GF22" s="22"/>
      <c r="GG22" s="22"/>
      <c r="GH22" s="22"/>
      <c r="GI22" s="22"/>
      <c r="GJ22" s="22"/>
      <c r="GK22" s="22"/>
      <c r="GL22" s="22"/>
      <c r="GM22" s="22"/>
      <c r="GN22" s="22"/>
      <c r="GO22" s="22"/>
      <c r="GP22" s="22"/>
      <c r="GQ22" s="22"/>
      <c r="GR22" s="22"/>
      <c r="GS22" s="22"/>
      <c r="GT22" s="22"/>
      <c r="GU22" s="22"/>
      <c r="GV22" s="22"/>
      <c r="GW22" s="22"/>
      <c r="GX22" s="22"/>
      <c r="GY22" s="22"/>
      <c r="GZ22" s="22"/>
      <c r="HA22" s="22"/>
      <c r="HB22" s="22"/>
      <c r="HC22" s="22"/>
      <c r="HD22" s="22"/>
      <c r="HE22" s="22"/>
      <c r="HF22" s="22"/>
      <c r="HG22" s="22"/>
      <c r="HH22" s="22"/>
      <c r="HI22" s="22"/>
      <c r="HJ22" s="22"/>
      <c r="HK22" s="22"/>
      <c r="HL22" s="22"/>
      <c r="HM22" s="22"/>
      <c r="HN22" s="22"/>
      <c r="HO22" s="22"/>
      <c r="HP22" s="22"/>
      <c r="HQ22" s="22"/>
      <c r="HR22" s="22"/>
      <c r="HS22" s="22"/>
      <c r="HT22" s="22"/>
      <c r="HU22" s="22"/>
      <c r="HV22" s="22"/>
      <c r="HW22" s="22"/>
      <c r="HX22" s="22"/>
      <c r="HY22" s="22"/>
      <c r="HZ22" s="22"/>
      <c r="IA22" s="22"/>
      <c r="IB22" s="22"/>
      <c r="IC22" s="22"/>
      <c r="ID22" s="22"/>
      <c r="IE22" s="22"/>
      <c r="IF22" s="22"/>
      <c r="IG22" s="22"/>
      <c r="IH22" s="22"/>
      <c r="II22" s="22"/>
      <c r="IJ22" s="22"/>
      <c r="IK22" s="22"/>
      <c r="IL22" s="22"/>
      <c r="IM22" s="22"/>
      <c r="IN22" s="22"/>
      <c r="IO22" s="22"/>
      <c r="IP22" s="22"/>
      <c r="IQ22" s="22"/>
      <c r="IR22" s="22"/>
      <c r="IS22" s="22"/>
    </row>
    <row r="23" spans="1:253" s="3" customFormat="1" ht="30" customHeight="1" thickBot="1">
      <c r="A23" s="25"/>
      <c r="B23" s="40" t="s">
        <v>34</v>
      </c>
      <c r="C23" s="37"/>
      <c r="D23" s="21"/>
      <c r="E23" s="52">
        <f>F20 +4</f>
        <v>45737</v>
      </c>
      <c r="F23" s="52">
        <f>E23+30</f>
        <v>45767</v>
      </c>
      <c r="G23" s="12"/>
      <c r="H23" s="12">
        <f ca="1">IF(OR(ISBLANK(inizio_attività),ISBLANK(fine_attività)),"",fine_attività-inizio_attività+1)</f>
        <v>31</v>
      </c>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c r="GA23" s="22"/>
      <c r="GB23" s="22"/>
      <c r="GC23" s="22"/>
      <c r="GD23" s="22"/>
      <c r="GE23" s="22"/>
      <c r="GF23" s="22"/>
      <c r="GG23" s="22"/>
      <c r="GH23" s="22"/>
      <c r="GI23" s="22"/>
      <c r="GJ23" s="22"/>
      <c r="GK23" s="22"/>
      <c r="GL23" s="22"/>
      <c r="GM23" s="22"/>
      <c r="GN23" s="22"/>
      <c r="GO23" s="22"/>
      <c r="GP23" s="22"/>
      <c r="GQ23" s="22"/>
      <c r="GR23" s="22"/>
      <c r="GS23" s="22"/>
      <c r="GT23" s="22"/>
      <c r="GU23" s="22"/>
      <c r="GV23" s="22"/>
      <c r="GW23" s="22"/>
      <c r="GX23" s="22"/>
      <c r="GY23" s="22"/>
      <c r="GZ23" s="22"/>
      <c r="HA23" s="22"/>
      <c r="HB23" s="22"/>
      <c r="HC23" s="22"/>
      <c r="HD23" s="22"/>
      <c r="HE23" s="22"/>
      <c r="HF23" s="22"/>
      <c r="HG23" s="22"/>
      <c r="HH23" s="22"/>
      <c r="HI23" s="22"/>
      <c r="HJ23" s="22"/>
      <c r="HK23" s="22"/>
      <c r="HL23" s="22"/>
      <c r="HM23" s="22"/>
      <c r="HN23" s="22"/>
      <c r="HO23" s="22"/>
      <c r="HP23" s="22"/>
      <c r="HQ23" s="22"/>
      <c r="HR23" s="22"/>
      <c r="HS23" s="22"/>
      <c r="HT23" s="22"/>
      <c r="HU23" s="22"/>
      <c r="HV23" s="22"/>
      <c r="HW23" s="22"/>
      <c r="HX23" s="22"/>
      <c r="HY23" s="22"/>
      <c r="HZ23" s="22"/>
      <c r="IA23" s="22"/>
      <c r="IB23" s="22"/>
      <c r="IC23" s="22"/>
      <c r="ID23" s="22"/>
      <c r="IE23" s="22"/>
      <c r="IF23" s="22"/>
      <c r="IG23" s="22"/>
      <c r="IH23" s="22"/>
      <c r="II23" s="22"/>
      <c r="IJ23" s="22"/>
      <c r="IK23" s="22"/>
      <c r="IL23" s="22"/>
      <c r="IM23" s="22"/>
      <c r="IN23" s="22"/>
      <c r="IO23" s="22"/>
      <c r="IP23" s="22"/>
      <c r="IQ23" s="22"/>
      <c r="IR23" s="22"/>
      <c r="IS23" s="22"/>
    </row>
    <row r="24" spans="1:253" s="3" customFormat="1" ht="30" customHeight="1" thickBot="1">
      <c r="A24" s="25"/>
      <c r="B24" s="60" t="s">
        <v>35</v>
      </c>
      <c r="C24" s="61"/>
      <c r="D24" s="62"/>
      <c r="E24" s="63"/>
      <c r="F24" s="64"/>
      <c r="G24" s="12"/>
      <c r="H24" s="1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22"/>
      <c r="GB24" s="22"/>
      <c r="GC24" s="22"/>
      <c r="GD24" s="22"/>
      <c r="GE24" s="22"/>
      <c r="GF24" s="22"/>
      <c r="GG24" s="22"/>
      <c r="GH24" s="22"/>
      <c r="GI24" s="22"/>
      <c r="GJ24" s="22"/>
      <c r="GK24" s="22"/>
      <c r="GL24" s="22"/>
      <c r="GM24" s="22"/>
      <c r="GN24" s="22"/>
      <c r="GO24" s="22"/>
      <c r="GP24" s="22"/>
      <c r="GQ24" s="22"/>
      <c r="GR24" s="22"/>
      <c r="GS24" s="22"/>
      <c r="GT24" s="22"/>
      <c r="GU24" s="22"/>
      <c r="GV24" s="22"/>
      <c r="GW24" s="22"/>
      <c r="GX24" s="22"/>
      <c r="GY24" s="22"/>
      <c r="GZ24" s="22"/>
      <c r="HA24" s="22"/>
      <c r="HB24" s="22"/>
      <c r="HC24" s="22"/>
      <c r="HD24" s="22"/>
      <c r="HE24" s="22"/>
      <c r="HF24" s="22"/>
      <c r="HG24" s="22"/>
      <c r="HH24" s="22"/>
      <c r="HI24" s="22"/>
      <c r="HJ24" s="22"/>
      <c r="HK24" s="22"/>
      <c r="HL24" s="22"/>
      <c r="HM24" s="22"/>
      <c r="HN24" s="22"/>
      <c r="HO24" s="22"/>
      <c r="HP24" s="22"/>
      <c r="HQ24" s="22"/>
      <c r="HR24" s="22"/>
      <c r="HS24" s="22"/>
      <c r="HT24" s="22"/>
      <c r="HU24" s="22"/>
      <c r="HV24" s="22"/>
      <c r="HW24" s="22"/>
      <c r="HX24" s="22"/>
      <c r="HY24" s="22"/>
      <c r="HZ24" s="22"/>
      <c r="IA24" s="22"/>
      <c r="IB24" s="22"/>
      <c r="IC24" s="22"/>
      <c r="ID24" s="22"/>
      <c r="IE24" s="22"/>
      <c r="IF24" s="22"/>
      <c r="IG24" s="22"/>
      <c r="IH24" s="22"/>
      <c r="II24" s="22"/>
      <c r="IJ24" s="22"/>
      <c r="IK24" s="22"/>
      <c r="IL24" s="22"/>
      <c r="IM24" s="22"/>
      <c r="IN24" s="22"/>
      <c r="IO24" s="22"/>
      <c r="IP24" s="22"/>
      <c r="IQ24" s="22"/>
      <c r="IR24" s="22"/>
      <c r="IS24" s="22"/>
    </row>
    <row r="25" spans="1:253" s="3" customFormat="1" ht="30" customHeight="1" thickBot="1">
      <c r="A25" s="25"/>
      <c r="B25" s="59" t="s">
        <v>36</v>
      </c>
      <c r="C25" s="56"/>
      <c r="D25" s="57"/>
      <c r="E25" s="58">
        <f>F20 +14</f>
        <v>45747</v>
      </c>
      <c r="F25" s="58">
        <f>E25+25</f>
        <v>45772</v>
      </c>
      <c r="G25" s="12"/>
      <c r="H25" s="12">
        <f t="shared" ref="H25:H28" ca="1" si="176">IF(OR(ISBLANK(inizio_attività),ISBLANK(fine_attività)),"",fine_attività-inizio_attività+1)</f>
        <v>26</v>
      </c>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c r="GA25" s="22"/>
      <c r="GB25" s="22"/>
      <c r="GC25" s="22"/>
      <c r="GD25" s="22"/>
      <c r="GE25" s="22"/>
      <c r="GF25" s="22"/>
      <c r="GG25" s="22"/>
      <c r="GH25" s="22"/>
      <c r="GI25" s="22"/>
      <c r="GJ25" s="22"/>
      <c r="GK25" s="22"/>
      <c r="GL25" s="22"/>
      <c r="GM25" s="22"/>
      <c r="GN25" s="22"/>
      <c r="GO25" s="22"/>
      <c r="GP25" s="22"/>
      <c r="GQ25" s="22"/>
      <c r="GR25" s="22"/>
      <c r="GS25" s="22"/>
      <c r="GT25" s="22"/>
      <c r="GU25" s="22"/>
      <c r="GV25" s="22"/>
      <c r="GW25" s="22"/>
      <c r="GX25" s="22"/>
      <c r="GY25" s="22"/>
      <c r="GZ25" s="22"/>
      <c r="HA25" s="22"/>
      <c r="HB25" s="22"/>
      <c r="HC25" s="22"/>
      <c r="HD25" s="22"/>
      <c r="HE25" s="22"/>
      <c r="HF25" s="22"/>
      <c r="HG25" s="22"/>
      <c r="HH25" s="22"/>
      <c r="HI25" s="22"/>
      <c r="HJ25" s="22"/>
      <c r="HK25" s="22"/>
      <c r="HL25" s="22"/>
      <c r="HM25" s="22"/>
      <c r="HN25" s="22"/>
      <c r="HO25" s="22"/>
      <c r="HP25" s="22"/>
      <c r="HQ25" s="22"/>
      <c r="HR25" s="22"/>
      <c r="HS25" s="22"/>
      <c r="HT25" s="22"/>
      <c r="HU25" s="22"/>
      <c r="HV25" s="22"/>
      <c r="HW25" s="22"/>
      <c r="HX25" s="22"/>
      <c r="HY25" s="22"/>
      <c r="HZ25" s="22"/>
      <c r="IA25" s="22"/>
      <c r="IB25" s="22"/>
      <c r="IC25" s="22"/>
      <c r="ID25" s="22"/>
      <c r="IE25" s="22"/>
      <c r="IF25" s="22"/>
      <c r="IG25" s="22"/>
      <c r="IH25" s="22"/>
      <c r="II25" s="22"/>
      <c r="IJ25" s="22"/>
      <c r="IK25" s="22"/>
      <c r="IL25" s="22"/>
      <c r="IM25" s="22"/>
      <c r="IN25" s="22"/>
      <c r="IO25" s="22"/>
      <c r="IP25" s="22"/>
      <c r="IQ25" s="22"/>
      <c r="IR25" s="22"/>
      <c r="IS25" s="22"/>
    </row>
    <row r="26" spans="1:253" s="3" customFormat="1" ht="30" customHeight="1" thickBot="1">
      <c r="A26" s="25"/>
      <c r="B26" s="59" t="s">
        <v>37</v>
      </c>
      <c r="C26" s="56"/>
      <c r="D26" s="57"/>
      <c r="E26" s="58">
        <f>F25 -5</f>
        <v>45767</v>
      </c>
      <c r="F26" s="58">
        <f>E26+8</f>
        <v>45775</v>
      </c>
      <c r="G26" s="12"/>
      <c r="H26" s="12">
        <f t="shared" ca="1" si="176"/>
        <v>9</v>
      </c>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c r="GA26" s="22"/>
      <c r="GB26" s="22"/>
      <c r="GC26" s="22"/>
      <c r="GD26" s="22"/>
      <c r="GE26" s="22"/>
      <c r="GF26" s="22"/>
      <c r="GG26" s="22"/>
      <c r="GH26" s="22"/>
      <c r="GI26" s="22"/>
      <c r="GJ26" s="22"/>
      <c r="GK26" s="22"/>
      <c r="GL26" s="22"/>
      <c r="GM26" s="22"/>
      <c r="GN26" s="22"/>
      <c r="GO26" s="22"/>
      <c r="GP26" s="22"/>
      <c r="GQ26" s="22"/>
      <c r="GR26" s="22"/>
      <c r="GS26" s="22"/>
      <c r="GT26" s="22"/>
      <c r="GU26" s="22"/>
      <c r="GV26" s="22"/>
      <c r="GW26" s="22"/>
      <c r="GX26" s="22"/>
      <c r="GY26" s="22"/>
      <c r="GZ26" s="22"/>
      <c r="HA26" s="22"/>
      <c r="HB26" s="22"/>
      <c r="HC26" s="22"/>
      <c r="HD26" s="22"/>
      <c r="HE26" s="22"/>
      <c r="HF26" s="22"/>
      <c r="HG26" s="22"/>
      <c r="HH26" s="22"/>
      <c r="HI26" s="22"/>
      <c r="HJ26" s="22"/>
      <c r="HK26" s="22"/>
      <c r="HL26" s="22"/>
      <c r="HM26" s="22"/>
      <c r="HN26" s="22"/>
      <c r="HO26" s="22"/>
      <c r="HP26" s="22"/>
      <c r="HQ26" s="22"/>
      <c r="HR26" s="22"/>
      <c r="HS26" s="22"/>
      <c r="HT26" s="22"/>
      <c r="HU26" s="22"/>
      <c r="HV26" s="22"/>
      <c r="HW26" s="22"/>
      <c r="HX26" s="22"/>
      <c r="HY26" s="22"/>
      <c r="HZ26" s="22"/>
      <c r="IA26" s="22"/>
      <c r="IB26" s="22"/>
      <c r="IC26" s="22"/>
      <c r="ID26" s="22"/>
      <c r="IE26" s="22"/>
      <c r="IF26" s="22"/>
      <c r="IG26" s="22"/>
      <c r="IH26" s="22"/>
      <c r="II26" s="22"/>
      <c r="IJ26" s="22"/>
      <c r="IK26" s="22"/>
      <c r="IL26" s="22"/>
      <c r="IM26" s="22"/>
      <c r="IN26" s="22"/>
      <c r="IO26" s="22"/>
      <c r="IP26" s="22"/>
      <c r="IQ26" s="22"/>
      <c r="IR26" s="22"/>
      <c r="IS26" s="22"/>
    </row>
    <row r="27" spans="1:253" s="3" customFormat="1" ht="30" customHeight="1" thickBot="1">
      <c r="A27" s="25" t="s">
        <v>38</v>
      </c>
      <c r="B27" s="59" t="s">
        <v>39</v>
      </c>
      <c r="C27" s="56"/>
      <c r="D27" s="57"/>
      <c r="E27" s="58">
        <f xml:space="preserve"> F26 +1</f>
        <v>45776</v>
      </c>
      <c r="F27" s="58">
        <f>E27 + 30</f>
        <v>45806</v>
      </c>
      <c r="G27" s="12"/>
      <c r="H27" s="12">
        <f t="shared" ca="1" si="176"/>
        <v>31</v>
      </c>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c r="FT27" s="22"/>
      <c r="FU27" s="22"/>
      <c r="FV27" s="22"/>
      <c r="FW27" s="22"/>
      <c r="FX27" s="22"/>
      <c r="FY27" s="22"/>
      <c r="FZ27" s="22"/>
      <c r="GA27" s="22"/>
      <c r="GB27" s="22"/>
      <c r="GC27" s="22"/>
      <c r="GD27" s="22"/>
      <c r="GE27" s="22"/>
      <c r="GF27" s="22"/>
      <c r="GG27" s="22"/>
      <c r="GH27" s="22"/>
      <c r="GI27" s="22"/>
      <c r="GJ27" s="22"/>
      <c r="GK27" s="22"/>
      <c r="GL27" s="22"/>
      <c r="GM27" s="22"/>
      <c r="GN27" s="22"/>
      <c r="GO27" s="22"/>
      <c r="GP27" s="22"/>
      <c r="GQ27" s="22"/>
      <c r="GR27" s="22"/>
      <c r="GS27" s="22"/>
      <c r="GT27" s="22"/>
      <c r="GU27" s="22"/>
      <c r="GV27" s="22"/>
      <c r="GW27" s="22"/>
      <c r="GX27" s="22"/>
      <c r="GY27" s="22"/>
      <c r="GZ27" s="22"/>
      <c r="HA27" s="22"/>
      <c r="HB27" s="22"/>
      <c r="HC27" s="22"/>
      <c r="HD27" s="22"/>
      <c r="HE27" s="22"/>
      <c r="HF27" s="22"/>
      <c r="HG27" s="22"/>
      <c r="HH27" s="22"/>
      <c r="HI27" s="22"/>
      <c r="HJ27" s="22"/>
      <c r="HK27" s="22"/>
      <c r="HL27" s="22"/>
      <c r="HM27" s="22"/>
      <c r="HN27" s="22"/>
      <c r="HO27" s="22"/>
      <c r="HP27" s="22"/>
      <c r="HQ27" s="22"/>
      <c r="HR27" s="22"/>
      <c r="HS27" s="22"/>
      <c r="HT27" s="22"/>
      <c r="HU27" s="22"/>
      <c r="HV27" s="22"/>
      <c r="HW27" s="22"/>
      <c r="HX27" s="22"/>
      <c r="HY27" s="22"/>
      <c r="HZ27" s="22"/>
      <c r="IA27" s="22"/>
      <c r="IB27" s="22"/>
      <c r="IC27" s="22"/>
      <c r="ID27" s="22"/>
      <c r="IE27" s="22"/>
      <c r="IF27" s="22"/>
      <c r="IG27" s="22"/>
      <c r="IH27" s="22"/>
      <c r="II27" s="22"/>
      <c r="IJ27" s="22"/>
      <c r="IK27" s="22"/>
      <c r="IL27" s="22"/>
      <c r="IM27" s="22"/>
      <c r="IN27" s="22"/>
      <c r="IO27" s="22"/>
      <c r="IP27" s="22"/>
      <c r="IQ27" s="22"/>
      <c r="IR27" s="22"/>
      <c r="IS27" s="22"/>
    </row>
    <row r="28" spans="1:253" s="3" customFormat="1" ht="30" customHeight="1" thickBot="1">
      <c r="A28" s="25"/>
      <c r="B28" s="59" t="s">
        <v>40</v>
      </c>
      <c r="C28" s="56"/>
      <c r="D28" s="57"/>
      <c r="E28" s="58">
        <f>MAX(F9:F27)  + 1</f>
        <v>45807</v>
      </c>
      <c r="F28" s="58">
        <f xml:space="preserve"> E28 + 60</f>
        <v>45867</v>
      </c>
      <c r="G28" s="12"/>
      <c r="H28" s="12">
        <f ca="1">IF(OR(ISBLANK(inizio_attività),ISBLANK(fine_attività)),"",fine_attività-inizio_attività+1)</f>
        <v>61</v>
      </c>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c r="FG28" s="22"/>
      <c r="FH28" s="22"/>
      <c r="FI28" s="22"/>
      <c r="FJ28" s="22"/>
      <c r="FK28" s="22"/>
      <c r="FL28" s="22"/>
      <c r="FM28" s="22"/>
      <c r="FN28" s="22"/>
      <c r="FO28" s="22"/>
      <c r="FP28" s="22"/>
      <c r="FQ28" s="22"/>
      <c r="FR28" s="22"/>
      <c r="FS28" s="22"/>
      <c r="FT28" s="22"/>
      <c r="FU28" s="22"/>
      <c r="FV28" s="22"/>
      <c r="FW28" s="22"/>
      <c r="FX28" s="22"/>
      <c r="FY28" s="22"/>
      <c r="FZ28" s="22"/>
      <c r="GA28" s="22"/>
      <c r="GB28" s="22"/>
      <c r="GC28" s="22"/>
      <c r="GD28" s="22"/>
      <c r="GE28" s="22"/>
      <c r="GF28" s="22"/>
      <c r="GG28" s="22"/>
      <c r="GH28" s="22"/>
      <c r="GI28" s="22"/>
      <c r="GJ28" s="22"/>
      <c r="GK28" s="22"/>
      <c r="GL28" s="22"/>
      <c r="GM28" s="22"/>
      <c r="GN28" s="22"/>
      <c r="GO28" s="22"/>
      <c r="GP28" s="22"/>
      <c r="GQ28" s="22"/>
      <c r="GR28" s="22"/>
      <c r="GS28" s="22"/>
      <c r="GT28" s="22"/>
      <c r="GU28" s="22"/>
      <c r="GV28" s="22"/>
      <c r="GW28" s="22"/>
      <c r="GX28" s="22"/>
      <c r="GY28" s="22"/>
      <c r="GZ28" s="22"/>
      <c r="HA28" s="22"/>
      <c r="HB28" s="22"/>
      <c r="HC28" s="22"/>
      <c r="HD28" s="22"/>
      <c r="HE28" s="22"/>
      <c r="HF28" s="22"/>
      <c r="HG28" s="22"/>
      <c r="HH28" s="22"/>
      <c r="HI28" s="22"/>
      <c r="HJ28" s="22"/>
      <c r="HK28" s="22"/>
      <c r="HL28" s="22"/>
      <c r="HM28" s="22"/>
      <c r="HN28" s="22"/>
      <c r="HO28" s="22"/>
      <c r="HP28" s="22"/>
      <c r="HQ28" s="22"/>
      <c r="HR28" s="22"/>
      <c r="HS28" s="22"/>
      <c r="HT28" s="22"/>
      <c r="HU28" s="22"/>
      <c r="HV28" s="22"/>
      <c r="HW28" s="22"/>
      <c r="HX28" s="22"/>
      <c r="HY28" s="22"/>
      <c r="HZ28" s="22"/>
      <c r="IA28" s="22"/>
      <c r="IB28" s="22"/>
      <c r="IC28" s="22"/>
      <c r="ID28" s="22"/>
      <c r="IE28" s="22"/>
      <c r="IF28" s="22"/>
      <c r="IG28" s="22"/>
      <c r="IH28" s="22"/>
      <c r="II28" s="22"/>
      <c r="IJ28" s="22"/>
      <c r="IK28" s="22"/>
      <c r="IL28" s="22"/>
      <c r="IM28" s="22"/>
      <c r="IN28" s="22"/>
      <c r="IO28" s="22"/>
      <c r="IP28" s="22"/>
      <c r="IQ28" s="22"/>
      <c r="IR28" s="22"/>
      <c r="IS28" s="22"/>
    </row>
    <row r="29" spans="1:253" s="3" customFormat="1" ht="30" customHeight="1">
      <c r="A29" s="26" t="s">
        <v>41</v>
      </c>
      <c r="B29"/>
      <c r="C29"/>
      <c r="D29"/>
      <c r="E29" s="5"/>
      <c r="F29"/>
      <c r="G29" s="6"/>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row>
    <row r="30" spans="1:253" ht="30" customHeight="1">
      <c r="G30" s="6"/>
    </row>
    <row r="31" spans="1:253" ht="30" customHeight="1">
      <c r="C31" s="10"/>
      <c r="F31" s="27"/>
    </row>
    <row r="32" spans="1:253" ht="30" customHeight="1">
      <c r="C32" s="11"/>
    </row>
  </sheetData>
  <mergeCells count="39">
    <mergeCell ref="IF4:IL4"/>
    <mergeCell ref="IM4:IS4"/>
    <mergeCell ref="GP4:GV4"/>
    <mergeCell ref="GW4:HC4"/>
    <mergeCell ref="HD4:HJ4"/>
    <mergeCell ref="HK4:HQ4"/>
    <mergeCell ref="HR4:HX4"/>
    <mergeCell ref="HY4:IE4"/>
    <mergeCell ref="FN4:FT4"/>
    <mergeCell ref="FU4:GA4"/>
    <mergeCell ref="GB4:GH4"/>
    <mergeCell ref="GI4:GO4"/>
    <mergeCell ref="EE4:EK4"/>
    <mergeCell ref="EL4:ER4"/>
    <mergeCell ref="ES4:EY4"/>
    <mergeCell ref="EZ4:FF4"/>
    <mergeCell ref="FG4:FM4"/>
    <mergeCell ref="CV4:DB4"/>
    <mergeCell ref="DC4:DI4"/>
    <mergeCell ref="DJ4:DP4"/>
    <mergeCell ref="DQ4:DW4"/>
    <mergeCell ref="DX4:ED4"/>
    <mergeCell ref="BM4:BS4"/>
    <mergeCell ref="BT4:BZ4"/>
    <mergeCell ref="CA4:CG4"/>
    <mergeCell ref="CH4:CN4"/>
    <mergeCell ref="CO4:CU4"/>
    <mergeCell ref="AR4:AX4"/>
    <mergeCell ref="AY4:BE4"/>
    <mergeCell ref="BF4:BL4"/>
    <mergeCell ref="C3:D3"/>
    <mergeCell ref="C4:D4"/>
    <mergeCell ref="AK4:AQ4"/>
    <mergeCell ref="E4:F4"/>
    <mergeCell ref="E3:F3"/>
    <mergeCell ref="I4:O4"/>
    <mergeCell ref="P4:V4"/>
    <mergeCell ref="W4:AC4"/>
    <mergeCell ref="AD4:AJ4"/>
  </mergeCells>
  <conditionalFormatting sqref="D22:D23 D7:D19">
    <cfRule type="dataBar" priority="33">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D24:D28">
    <cfRule type="dataBar" priority="19">
      <dataBar>
        <cfvo type="num" val="0"/>
        <cfvo type="num" val="1"/>
        <color theme="0" tint="-0.249977111117893"/>
      </dataBar>
      <extLst>
        <ext xmlns:x14="http://schemas.microsoft.com/office/spreadsheetml/2009/9/main" uri="{B025F937-C7B1-47D3-B67F-A62EFF666E3E}">
          <x14:id>{39384190-2606-4909-85F3-BB48EE40B67C}</x14:id>
        </ext>
      </extLst>
    </cfRule>
  </conditionalFormatting>
  <conditionalFormatting sqref="I5:GO28">
    <cfRule type="expression" dxfId="5" priority="52">
      <formula>AND(TODAY()&gt;=I$5,TODAY()&lt;J$5)</formula>
    </cfRule>
  </conditionalFormatting>
  <conditionalFormatting sqref="I7:GO28">
    <cfRule type="expression" dxfId="4" priority="46">
      <formula>AND(inizio_attività&lt;=I$5,ROUNDDOWN((fine_attività-inizio_attività+1)*avanzamento_attività,0)+inizio_attività-1&gt;=I$5)</formula>
    </cfRule>
    <cfRule type="expression" dxfId="3" priority="47" stopIfTrue="1">
      <formula>AND(fine_attività&gt;=I$5,inizio_attività&lt;J$5)</formula>
    </cfRule>
  </conditionalFormatting>
  <conditionalFormatting sqref="GP5:IS28">
    <cfRule type="expression" dxfId="2" priority="3">
      <formula>AND(TODAY()&gt;=GP$5,TODAY()&lt;GQ$5)</formula>
    </cfRule>
  </conditionalFormatting>
  <conditionalFormatting sqref="GP7:IS28">
    <cfRule type="expression" dxfId="1" priority="1">
      <formula>AND(inizio_attività&lt;=GP$5,ROUNDDOWN((fine_attività-inizio_attività+1)*avanzamento_attività,0)+inizio_attività-1&gt;=GP$5)</formula>
    </cfRule>
    <cfRule type="expression" dxfId="0" priority="2" stopIfTrue="1">
      <formula>AND(fine_attività&gt;=GP$5,inizio_attività&lt;GQ$5)</formula>
    </cfRule>
  </conditionalFormatting>
  <dataValidations disablePrompts="1" count="1">
    <dataValidation type="whole" operator="greaterThanOrEqual" allowBlank="1" showInputMessage="1" promptTitle="Visualizza settimana:" prompt="Cambiando questo numero si scorre la visualizzazione del diagramma di Gantt." sqref="E4" xr:uid="{00000000-0002-0000-0000-000000000000}">
      <formula1>1</formula1>
    </dataValidation>
  </dataValidations>
  <printOptions horizontalCentered="1"/>
  <pageMargins left="0.35" right="0.35" top="0.35" bottom="0.5" header="0.3" footer="0.3"/>
  <pageSetup paperSize="9"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D22:D23 D7:D19</xm:sqref>
        </x14:conditionalFormatting>
        <x14:conditionalFormatting xmlns:xm="http://schemas.microsoft.com/office/excel/2006/main">
          <x14:cfRule type="dataBar" id="{39384190-2606-4909-85F3-BB48EE40B67C}">
            <x14:dataBar minLength="0" maxLength="100" gradient="0">
              <x14:cfvo type="num">
                <xm:f>0</xm:f>
              </x14:cfvo>
              <x14:cfvo type="num">
                <xm:f>1</xm:f>
              </x14:cfvo>
              <x14:negativeFillColor rgb="FFFF0000"/>
              <x14:axisColor rgb="FF000000"/>
            </x14:dataBar>
          </x14:cfRule>
          <xm:sqref>D24:D28</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848150f8-85e9-4aeb-ae75-a80aa57084e0" xsi:nil="true"/>
    <lcf76f155ced4ddcb4097134ff3c332f xmlns="5735192e-ec71-40a1-825c-8971dcddf27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FA57CFF5DE98A40ACFEE50952031BB2" ma:contentTypeVersion="13" ma:contentTypeDescription="Create a new document." ma:contentTypeScope="" ma:versionID="1b290a6e6252649908d92c5976d5d7e2">
  <xsd:schema xmlns:xsd="http://www.w3.org/2001/XMLSchema" xmlns:xs="http://www.w3.org/2001/XMLSchema" xmlns:p="http://schemas.microsoft.com/office/2006/metadata/properties" xmlns:ns2="5735192e-ec71-40a1-825c-8971dcddf271" xmlns:ns3="848150f8-85e9-4aeb-ae75-a80aa57084e0" targetNamespace="http://schemas.microsoft.com/office/2006/metadata/properties" ma:root="true" ma:fieldsID="58a6a892a146a2221de2f89f384aacde" ns2:_="" ns3:_="">
    <xsd:import namespace="5735192e-ec71-40a1-825c-8971dcddf271"/>
    <xsd:import namespace="848150f8-85e9-4aeb-ae75-a80aa57084e0"/>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5192e-ec71-40a1-825c-8971dcddf27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1236525-b976-4609-a1d2-2c06a491e055"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48150f8-85e9-4aeb-ae75-a80aa57084e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45362636-606f-46bc-9d50-61b4a37de972}" ma:internalName="TaxCatchAll" ma:showField="CatchAllData" ma:web="848150f8-85e9-4aeb-ae75-a80aa57084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file>

<file path=customXml/itemProps2.xml><?xml version="1.0" encoding="utf-8"?>
<ds:datastoreItem xmlns:ds="http://schemas.openxmlformats.org/officeDocument/2006/customXml" ds:itemID="{D8329A2B-8C70-4222-A904-D30A8B0FF07D}"/>
</file>

<file path=customXml/itemProps3.xml><?xml version="1.0" encoding="utf-8"?>
<ds:datastoreItem xmlns:ds="http://schemas.openxmlformats.org/officeDocument/2006/customXml" ds:itemID="{E4A34E49-7289-4AEA-9593-4F55E04ADB10}"/>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Giordano Pescetelli</cp:lastModifiedBy>
  <cp:revision/>
  <dcterms:created xsi:type="dcterms:W3CDTF">2021-12-14T20:18:50Z</dcterms:created>
  <dcterms:modified xsi:type="dcterms:W3CDTF">2025-02-14T16:30:49Z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0x0101000FA57CFF5DE98A40ACFEE50952031BB2</vt:lpwstr>
  </property>
  <property fmtid="{D5CDD505-2E9C-101B-9397-08002B2CF9AE}" pid="3" name="MediaServiceImageTags">
    <vt:lpwstr/>
  </property>
  <property fmtid="{D5CDD505-2E9C-101B-9397-08002B2CF9AE}" pid="4" name="Order">
    <vt:r8>2400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ies>
</file>