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filterPrivacy="1" codeName="ThisWorkbook"/>
  <xr:revisionPtr revIDLastSave="213" documentId="8_{BFCDB27A-0562-4342-A95E-570968DCA6B3}" xr6:coauthVersionLast="47" xr6:coauthVersionMax="47" xr10:uidLastSave="{C47F819D-79D8-415C-91AC-76EE2E7955B1}"/>
  <bookViews>
    <workbookView xWindow="-28920" yWindow="-120" windowWidth="29040" windowHeight="15720" tabRatio="249" xr2:uid="{00000000-000D-0000-FFFF-FFFF00000000}"/>
  </bookViews>
  <sheets>
    <sheet name="CBS" sheetId="11" r:id="rId1"/>
  </sheets>
  <definedNames>
    <definedName name="avanzamento_attività" localSheetId="0">CBS!$D1</definedName>
    <definedName name="fine_attività" localSheetId="0">CBS!$F1</definedName>
    <definedName name="inizio_attività" localSheetId="0">CBS!$E1</definedName>
    <definedName name="Inizio_progetto">CBS!$E$3</definedName>
    <definedName name="oggi" localSheetId="0">TODAY()</definedName>
    <definedName name="_xlnm.Print_Titles" localSheetId="0">CBS!$4:$6</definedName>
    <definedName name="Visualizza_settimana">CBS!$E$4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6" i="11" l="1"/>
  <c r="E44" i="11"/>
  <c r="E41" i="11"/>
  <c r="E40" i="11"/>
  <c r="E36" i="11"/>
  <c r="E37" i="11"/>
  <c r="E31" i="11"/>
  <c r="H37" i="11"/>
  <c r="H32" i="11"/>
  <c r="E32" i="11" s="1"/>
  <c r="H31" i="11"/>
  <c r="H36" i="11"/>
  <c r="H35" i="11"/>
  <c r="E35" i="11" s="1"/>
  <c r="H34" i="11"/>
  <c r="E34" i="11" s="1"/>
  <c r="H33" i="11"/>
  <c r="E33" i="11" s="1"/>
  <c r="E38" i="11" l="1"/>
  <c r="E3" i="11" l="1"/>
  <c r="E10" i="11" l="1"/>
  <c r="F10" i="11" s="1"/>
  <c r="E9" i="11"/>
  <c r="H7" i="11"/>
  <c r="F9" i="11" l="1"/>
  <c r="H9" i="11" s="1"/>
  <c r="H10" i="11"/>
  <c r="I5" i="11"/>
  <c r="I4" i="11" s="1"/>
  <c r="H19" i="11"/>
  <c r="H13" i="11"/>
  <c r="H8" i="11"/>
  <c r="E11" i="11" l="1"/>
  <c r="I6" i="11"/>
  <c r="F11" i="11" l="1"/>
  <c r="E12" i="11" s="1"/>
  <c r="F12" i="11" s="1"/>
  <c r="E14" i="11" s="1"/>
  <c r="J5" i="11"/>
  <c r="H11" i="11" l="1"/>
  <c r="F14" i="11"/>
  <c r="E16" i="11" s="1"/>
  <c r="F16" i="11" s="1"/>
  <c r="H12" i="11"/>
  <c r="K5" i="11"/>
  <c r="E15" i="11" l="1"/>
  <c r="H14" i="11"/>
  <c r="L5" i="11"/>
  <c r="F15" i="11" l="1"/>
  <c r="M5" i="11"/>
  <c r="E17" i="11" l="1"/>
  <c r="F17" i="11" s="1"/>
  <c r="E18" i="11"/>
  <c r="H15" i="11"/>
  <c r="N5" i="11"/>
  <c r="F18" i="11" l="1"/>
  <c r="H18" i="11"/>
  <c r="H17" i="11"/>
  <c r="E20" i="11"/>
  <c r="F20" i="11" s="1"/>
  <c r="O5" i="11"/>
  <c r="H20" i="11" l="1"/>
  <c r="E25" i="11"/>
  <c r="F25" i="11" s="1"/>
  <c r="E26" i="11" s="1"/>
  <c r="F26" i="11" s="1"/>
  <c r="E23" i="11"/>
  <c r="F23" i="11" s="1"/>
  <c r="E21" i="11"/>
  <c r="F21" i="11" s="1"/>
  <c r="E22" i="11"/>
  <c r="F22" i="11" s="1"/>
  <c r="P5" i="11"/>
  <c r="P6" i="11" s="1"/>
  <c r="O6" i="11"/>
  <c r="N6" i="11"/>
  <c r="M6" i="11"/>
  <c r="L6" i="11"/>
  <c r="K6" i="11"/>
  <c r="J6" i="11"/>
  <c r="H25" i="11" l="1"/>
  <c r="H22" i="11"/>
  <c r="H23" i="11"/>
  <c r="P4" i="11"/>
  <c r="Q5" i="11"/>
  <c r="E27" i="11" l="1"/>
  <c r="F27" i="11" s="1"/>
  <c r="H26" i="11"/>
  <c r="H21" i="11"/>
  <c r="R5" i="11"/>
  <c r="H27" i="11" l="1"/>
  <c r="S5" i="11"/>
  <c r="T5" i="11" l="1"/>
  <c r="U5" i="11" l="1"/>
  <c r="E28" i="11" l="1"/>
  <c r="V5" i="11"/>
  <c r="F28" i="11" l="1"/>
  <c r="H28" i="11"/>
  <c r="W5" i="11"/>
  <c r="W6" i="11" s="1"/>
  <c r="V6" i="11"/>
  <c r="U6" i="11"/>
  <c r="T6" i="11"/>
  <c r="S6" i="11"/>
  <c r="R6" i="11"/>
  <c r="Q6" i="11"/>
  <c r="H16" i="11"/>
  <c r="X5" i="11" l="1"/>
  <c r="Y5" i="11" s="1"/>
  <c r="W4" i="11"/>
  <c r="Z5" i="11" l="1"/>
  <c r="AA5" i="11" l="1"/>
  <c r="AB5" i="11" l="1"/>
  <c r="AC5" i="11" l="1"/>
  <c r="AD5" i="11" l="1"/>
  <c r="AD6" i="11" s="1"/>
  <c r="AC6" i="11"/>
  <c r="AB6" i="11"/>
  <c r="AA6" i="11"/>
  <c r="Z6" i="11"/>
  <c r="Y6" i="11"/>
  <c r="X6" i="11"/>
  <c r="AE5" i="11" l="1"/>
  <c r="AF5" i="11" s="1"/>
  <c r="AG5" i="11" l="1"/>
  <c r="AH5" i="11" l="1"/>
  <c r="AI5" i="11" l="1"/>
  <c r="AJ5" i="11" l="1"/>
  <c r="AJ6" i="11" s="1"/>
  <c r="AI6" i="11"/>
  <c r="AH6" i="11"/>
  <c r="AG6" i="11"/>
  <c r="AF6" i="11"/>
  <c r="AE6" i="11"/>
  <c r="AD4" i="11"/>
  <c r="AK5" i="11" l="1"/>
  <c r="AK4" i="11" l="1"/>
  <c r="AK6" i="11"/>
  <c r="AL5" i="11"/>
  <c r="AM5" i="11" l="1"/>
  <c r="AN5" i="11" l="1"/>
  <c r="AO5" i="11" l="1"/>
  <c r="AP5" i="11" l="1"/>
  <c r="AQ5" i="11" l="1"/>
  <c r="AP6" i="11"/>
  <c r="AO6" i="11"/>
  <c r="AN6" i="11"/>
  <c r="AM6" i="11"/>
  <c r="AL6" i="11"/>
  <c r="AQ6" i="11" l="1"/>
  <c r="AR5" i="11"/>
  <c r="AS5" i="11" l="1"/>
  <c r="AR6" i="11"/>
  <c r="AR4" i="11"/>
  <c r="AS6" i="11" l="1"/>
  <c r="AT5" i="11"/>
  <c r="AT6" i="11" l="1"/>
  <c r="AU5" i="11"/>
  <c r="AU6" i="11" l="1"/>
  <c r="AV5" i="11"/>
  <c r="AV6" i="11" l="1"/>
  <c r="AW5" i="11"/>
  <c r="AX5" i="11" s="1"/>
  <c r="AW6" i="11" l="1"/>
  <c r="AX6" i="11" l="1"/>
  <c r="AY5" i="11"/>
  <c r="AY4" i="11" s="1"/>
  <c r="AZ5" i="11" l="1"/>
  <c r="AY6" i="11"/>
  <c r="AZ6" i="11" l="1"/>
  <c r="BA5" i="11"/>
  <c r="BA6" i="11" l="1"/>
  <c r="BB5" i="11"/>
  <c r="BB6" i="11" l="1"/>
  <c r="BC5" i="11"/>
  <c r="BD5" i="11" l="1"/>
  <c r="BC6" i="11"/>
  <c r="BD6" i="11" l="1"/>
  <c r="BE5" i="11"/>
  <c r="BE6" i="11" l="1"/>
  <c r="BF5" i="11"/>
  <c r="BF4" i="11" s="1"/>
  <c r="BG5" i="11" l="1"/>
  <c r="BF6" i="11"/>
  <c r="BG6" i="11" l="1"/>
  <c r="BH5" i="11"/>
  <c r="BH6" i="11" l="1"/>
  <c r="BI5" i="11"/>
  <c r="BI6" i="11" l="1"/>
  <c r="BJ5" i="11"/>
  <c r="BK5" i="11" l="1"/>
  <c r="BJ6" i="11"/>
  <c r="BK6" i="11" l="1"/>
  <c r="BL5" i="11"/>
  <c r="BL6" i="11" l="1"/>
  <c r="BM5" i="11"/>
  <c r="BN5" i="11" l="1"/>
  <c r="BM4" i="11"/>
  <c r="BM6" i="11"/>
  <c r="BN6" i="11" l="1"/>
  <c r="BO5" i="11"/>
  <c r="BP5" i="11" l="1"/>
  <c r="BO6" i="11"/>
  <c r="BP6" i="11" l="1"/>
  <c r="BQ5" i="11"/>
  <c r="BR5" i="11" l="1"/>
  <c r="BQ6" i="11"/>
  <c r="BR6" i="11" l="1"/>
  <c r="BS5" i="11"/>
  <c r="BT5" i="11" l="1"/>
  <c r="BS6" i="11"/>
  <c r="BU5" i="11" l="1"/>
  <c r="BT6" i="11"/>
  <c r="BT4" i="11"/>
  <c r="BU6" i="11" l="1"/>
  <c r="BV5" i="11"/>
  <c r="BV6" i="11" l="1"/>
  <c r="BW5" i="11"/>
  <c r="BW6" i="11" l="1"/>
  <c r="BX5" i="11"/>
  <c r="BX6" i="11" l="1"/>
  <c r="BY5" i="11"/>
  <c r="BY6" i="11" l="1"/>
  <c r="BZ5" i="11"/>
  <c r="CA5" i="11" l="1"/>
  <c r="BZ6" i="11"/>
  <c r="CA6" i="11" l="1"/>
  <c r="CB5" i="11"/>
  <c r="CA4" i="11"/>
  <c r="CB6" i="11" l="1"/>
  <c r="CC5" i="11"/>
  <c r="CD5" i="11" l="1"/>
  <c r="CC6" i="11"/>
  <c r="CD6" i="11" l="1"/>
  <c r="CE5" i="11"/>
  <c r="CF5" i="11" l="1"/>
  <c r="CE6" i="11"/>
  <c r="CG5" i="11" l="1"/>
  <c r="CF6" i="11"/>
  <c r="CG6" i="11" l="1"/>
  <c r="CH5" i="11"/>
  <c r="CH6" i="11" l="1"/>
  <c r="CI5" i="11"/>
  <c r="CH4" i="11"/>
  <c r="CI6" i="11" l="1"/>
  <c r="CJ5" i="11"/>
  <c r="CJ6" i="11" l="1"/>
  <c r="CK5" i="11"/>
  <c r="CL5" i="11" l="1"/>
  <c r="CK6" i="11"/>
  <c r="CM5" i="11" l="1"/>
  <c r="CL6" i="11"/>
  <c r="CM6" i="11" l="1"/>
  <c r="CN5" i="11"/>
  <c r="CN6" i="11" l="1"/>
  <c r="CO5" i="11"/>
  <c r="CP5" i="11" l="1"/>
  <c r="CO4" i="11"/>
  <c r="CO6" i="11"/>
  <c r="CQ5" i="11" l="1"/>
  <c r="CP6" i="11"/>
  <c r="CQ6" i="11" l="1"/>
  <c r="CR5" i="11"/>
  <c r="CS5" i="11" l="1"/>
  <c r="CR6" i="11"/>
  <c r="CS6" i="11" l="1"/>
  <c r="CT5" i="11"/>
  <c r="CU5" i="11" l="1"/>
  <c r="CT6" i="11"/>
  <c r="CU6" i="11" l="1"/>
  <c r="CV5" i="11"/>
  <c r="CV6" i="11" l="1"/>
  <c r="CW5" i="11"/>
  <c r="CV4" i="11"/>
  <c r="CX5" i="11" l="1"/>
  <c r="CW6" i="11"/>
  <c r="CY5" i="11" l="1"/>
  <c r="CX6" i="11"/>
  <c r="CY6" i="11" l="1"/>
  <c r="CZ5" i="11"/>
  <c r="DA5" i="11" l="1"/>
  <c r="CZ6" i="11"/>
  <c r="DA6" i="11" l="1"/>
  <c r="DB5" i="11"/>
  <c r="DB6" i="11" l="1"/>
  <c r="DC5" i="11"/>
  <c r="DD5" i="11" l="1"/>
  <c r="DC6" i="11"/>
  <c r="DC4" i="11"/>
  <c r="DD6" i="11" l="1"/>
  <c r="DE5" i="11"/>
  <c r="DF5" i="11" l="1"/>
  <c r="DE6" i="11"/>
  <c r="DG5" i="11" l="1"/>
  <c r="DF6" i="11"/>
  <c r="DG6" i="11" l="1"/>
  <c r="DH5" i="11"/>
  <c r="DH6" i="11" l="1"/>
  <c r="DI5" i="11"/>
  <c r="DJ5" i="11" l="1"/>
  <c r="DI6" i="11"/>
  <c r="DK5" i="11" l="1"/>
  <c r="DJ4" i="11"/>
  <c r="DJ6" i="11"/>
  <c r="DL5" i="11" l="1"/>
  <c r="DK6" i="11"/>
  <c r="DM5" i="11" l="1"/>
  <c r="DL6" i="11"/>
  <c r="DN5" i="11" l="1"/>
  <c r="DM6" i="11"/>
  <c r="DO5" i="11" l="1"/>
  <c r="DN6" i="11"/>
  <c r="DP5" i="11" l="1"/>
  <c r="DO6" i="11"/>
  <c r="DP6" i="11" l="1"/>
  <c r="DQ5" i="11"/>
  <c r="DQ4" i="11" l="1"/>
  <c r="DQ6" i="11"/>
  <c r="DR5" i="11"/>
  <c r="DR6" i="11" l="1"/>
  <c r="DS5" i="11"/>
  <c r="DS6" i="11" l="1"/>
  <c r="DT5" i="11"/>
  <c r="DT6" i="11" l="1"/>
  <c r="DU5" i="11"/>
  <c r="DV5" i="11" l="1"/>
  <c r="DU6" i="11"/>
  <c r="DW5" i="11" l="1"/>
  <c r="DV6" i="11"/>
  <c r="DX5" i="11" l="1"/>
  <c r="DW6" i="11"/>
  <c r="DY5" i="11" l="1"/>
  <c r="DX4" i="11"/>
  <c r="DX6" i="11"/>
  <c r="DZ5" i="11" l="1"/>
  <c r="DY6" i="11"/>
  <c r="EA5" i="11" l="1"/>
  <c r="DZ6" i="11"/>
  <c r="EB5" i="11" l="1"/>
  <c r="EA6" i="11"/>
  <c r="EB6" i="11" l="1"/>
  <c r="EC5" i="11"/>
  <c r="ED5" i="11" l="1"/>
  <c r="EC6" i="11"/>
  <c r="ED6" i="11" l="1"/>
  <c r="EE5" i="11"/>
  <c r="EF5" i="11" l="1"/>
  <c r="EE6" i="11"/>
  <c r="EE4" i="11"/>
  <c r="EF6" i="11" l="1"/>
  <c r="EG5" i="11"/>
  <c r="EH5" i="11" l="1"/>
  <c r="EG6" i="11"/>
  <c r="EI5" i="11" l="1"/>
  <c r="EH6" i="11"/>
  <c r="EJ5" i="11" l="1"/>
  <c r="EI6" i="11"/>
  <c r="EJ6" i="11" l="1"/>
  <c r="EK5" i="11"/>
  <c r="EK6" i="11" l="1"/>
  <c r="EL5" i="11"/>
  <c r="EL4" i="11" l="1"/>
  <c r="EM5" i="11"/>
  <c r="EL6" i="11"/>
  <c r="EN5" i="11" l="1"/>
  <c r="EM6" i="11"/>
  <c r="EO5" i="11" l="1"/>
  <c r="EN6" i="11"/>
  <c r="EO6" i="11" l="1"/>
  <c r="EP5" i="11"/>
  <c r="EP6" i="11" l="1"/>
  <c r="EQ5" i="11"/>
  <c r="EQ6" i="11" l="1"/>
  <c r="ER5" i="11"/>
  <c r="ES5" i="11" s="1"/>
  <c r="ET5" i="11" l="1"/>
  <c r="ES6" i="11"/>
  <c r="ES4" i="11"/>
  <c r="ER6" i="11"/>
  <c r="ET6" i="11" l="1"/>
  <c r="EU5" i="11"/>
  <c r="EU6" i="11" l="1"/>
  <c r="EV5" i="11"/>
  <c r="EV6" i="11" l="1"/>
  <c r="EW5" i="11"/>
  <c r="EW6" i="11" l="1"/>
  <c r="EX5" i="11"/>
  <c r="EX6" i="11" l="1"/>
  <c r="EY5" i="11"/>
  <c r="EZ5" i="11" l="1"/>
  <c r="EY6" i="11"/>
  <c r="EZ6" i="11" l="1"/>
  <c r="EZ4" i="11"/>
  <c r="FA5" i="11"/>
  <c r="FA6" i="11" l="1"/>
  <c r="FB5" i="11"/>
  <c r="FC5" i="11" l="1"/>
  <c r="FB6" i="11"/>
  <c r="FD5" i="11" l="1"/>
  <c r="FC6" i="11"/>
  <c r="FD6" i="11" l="1"/>
  <c r="FE5" i="11"/>
  <c r="FE6" i="11" l="1"/>
  <c r="FF5" i="11"/>
  <c r="FG5" i="11" l="1"/>
  <c r="FF6" i="11"/>
  <c r="FG6" i="11" l="1"/>
  <c r="FH5" i="11"/>
  <c r="FG4" i="11"/>
  <c r="FH6" i="11" l="1"/>
  <c r="FI5" i="11"/>
  <c r="FI6" i="11" l="1"/>
  <c r="FJ5" i="11"/>
  <c r="FJ6" i="11" l="1"/>
  <c r="FK5" i="11"/>
  <c r="FL5" i="11" l="1"/>
  <c r="FK6" i="11"/>
  <c r="FL6" i="11" l="1"/>
  <c r="FM5" i="11"/>
  <c r="FN5" i="11" l="1"/>
  <c r="FM6" i="11"/>
  <c r="FN4" i="11" l="1"/>
  <c r="FN6" i="11"/>
  <c r="FO5" i="11"/>
  <c r="FO6" i="11" l="1"/>
  <c r="FP5" i="11"/>
  <c r="FP6" i="11" l="1"/>
  <c r="FQ5" i="11"/>
  <c r="FQ6" i="11" l="1"/>
  <c r="FR5" i="11"/>
  <c r="FR6" i="11" l="1"/>
  <c r="FS5" i="11"/>
  <c r="FS6" i="11" l="1"/>
  <c r="FT5" i="11"/>
  <c r="FU5" i="11" l="1"/>
  <c r="FT6" i="11"/>
  <c r="FU6" i="11" l="1"/>
  <c r="FU4" i="11"/>
  <c r="FV5" i="11"/>
  <c r="FW5" i="11" l="1"/>
  <c r="FV6" i="11"/>
  <c r="FW6" i="11" l="1"/>
  <c r="FX5" i="11"/>
  <c r="FY5" i="11" l="1"/>
  <c r="FX6" i="11"/>
  <c r="FY6" i="11" l="1"/>
  <c r="FZ5" i="11"/>
  <c r="FZ6" i="11" l="1"/>
  <c r="GA5" i="11"/>
  <c r="GB5" i="11" l="1"/>
  <c r="GA6" i="11"/>
  <c r="GB6" i="11" l="1"/>
  <c r="GC5" i="11"/>
  <c r="GB4" i="11"/>
  <c r="GC6" i="11" l="1"/>
  <c r="GD5" i="11"/>
  <c r="GE5" i="11" l="1"/>
  <c r="GD6" i="11"/>
  <c r="GE6" i="11" l="1"/>
  <c r="GF5" i="11"/>
  <c r="GG5" i="11" l="1"/>
  <c r="GF6" i="11"/>
  <c r="GG6" i="11" l="1"/>
  <c r="GH5" i="11"/>
  <c r="GI5" i="11" l="1"/>
  <c r="GH6" i="11"/>
  <c r="GI4" i="11" l="1"/>
  <c r="GJ5" i="11"/>
  <c r="GI6" i="11"/>
  <c r="GK5" i="11" l="1"/>
  <c r="GJ6" i="11"/>
  <c r="GL5" i="11" l="1"/>
  <c r="GK6" i="11"/>
  <c r="GM5" i="11" l="1"/>
  <c r="GL6" i="11"/>
  <c r="GN5" i="11" l="1"/>
  <c r="GM6" i="11"/>
  <c r="GN6" i="11" l="1"/>
  <c r="GO5" i="11"/>
  <c r="GO6" i="11" l="1"/>
  <c r="GP5" i="11"/>
  <c r="GP6" i="11" l="1"/>
  <c r="GQ5" i="11"/>
  <c r="GP4" i="11"/>
  <c r="GR5" i="11" l="1"/>
  <c r="GQ6" i="11"/>
  <c r="GR6" i="11" l="1"/>
  <c r="GS5" i="11"/>
  <c r="GT5" i="11" l="1"/>
  <c r="GS6" i="11"/>
  <c r="GT6" i="11" l="1"/>
  <c r="GU5" i="11"/>
  <c r="GU6" i="11" l="1"/>
  <c r="GV5" i="11"/>
  <c r="GW5" i="11" l="1"/>
  <c r="GV6" i="11"/>
  <c r="GW4" i="11" l="1"/>
  <c r="GW6" i="11"/>
  <c r="GX5" i="11"/>
  <c r="GX6" i="11" l="1"/>
  <c r="GY5" i="11"/>
  <c r="GZ5" i="11" l="1"/>
  <c r="GY6" i="11"/>
  <c r="HA5" i="11" l="1"/>
  <c r="GZ6" i="11"/>
  <c r="HA6" i="11" l="1"/>
  <c r="HB5" i="11"/>
  <c r="HC5" i="11" l="1"/>
  <c r="HB6" i="11"/>
  <c r="HC6" i="11" l="1"/>
  <c r="HD5" i="11"/>
  <c r="HE5" i="11" l="1"/>
  <c r="HD6" i="11"/>
  <c r="HD4" i="11"/>
  <c r="HE6" i="11" l="1"/>
  <c r="HF5" i="11"/>
  <c r="HG5" i="11" l="1"/>
  <c r="HF6" i="11"/>
  <c r="HG6" i="11" l="1"/>
  <c r="HH5" i="11"/>
  <c r="HH6" i="11" l="1"/>
  <c r="HI5" i="11"/>
  <c r="HI6" i="11" l="1"/>
  <c r="HJ5" i="11"/>
  <c r="HK5" i="11" l="1"/>
  <c r="HJ6" i="11"/>
  <c r="HK6" i="11" l="1"/>
  <c r="HK4" i="11"/>
  <c r="HL5" i="11"/>
  <c r="HM5" i="11" l="1"/>
  <c r="HL6" i="11"/>
  <c r="HN5" i="11" l="1"/>
  <c r="HM6" i="11"/>
  <c r="HO5" i="11" l="1"/>
  <c r="HN6" i="11"/>
  <c r="HP5" i="11" l="1"/>
  <c r="HO6" i="11"/>
  <c r="HQ5" i="11" l="1"/>
  <c r="HP6" i="11"/>
  <c r="HR5" i="11" l="1"/>
  <c r="HQ6" i="11"/>
  <c r="HR6" i="11" l="1"/>
  <c r="HS5" i="11"/>
  <c r="HR4" i="11"/>
  <c r="HS6" i="11" l="1"/>
  <c r="HT5" i="11"/>
  <c r="HU5" i="11" l="1"/>
  <c r="HT6" i="11"/>
  <c r="HU6" i="11" l="1"/>
  <c r="HV5" i="11"/>
  <c r="HW5" i="11" l="1"/>
  <c r="HV6" i="11"/>
  <c r="HX5" i="11" l="1"/>
  <c r="HW6" i="11"/>
  <c r="HY5" i="11" l="1"/>
  <c r="HX6" i="11"/>
  <c r="HZ5" i="11" l="1"/>
  <c r="HY4" i="11"/>
  <c r="HY6" i="11"/>
  <c r="HZ6" i="11" l="1"/>
  <c r="IA5" i="11"/>
  <c r="IB5" i="11" l="1"/>
  <c r="IA6" i="11"/>
  <c r="IC5" i="11" l="1"/>
  <c r="IB6" i="11"/>
  <c r="ID5" i="11" l="1"/>
  <c r="IC6" i="11"/>
  <c r="ID6" i="11" l="1"/>
  <c r="IE5" i="11"/>
  <c r="IF5" i="11" l="1"/>
  <c r="IE6" i="11"/>
  <c r="IF6" i="11" l="1"/>
  <c r="IG5" i="11"/>
  <c r="IF4" i="11"/>
  <c r="IG6" i="11" l="1"/>
  <c r="IH5" i="11"/>
  <c r="IH6" i="11" l="1"/>
  <c r="II5" i="11"/>
  <c r="II6" i="11" l="1"/>
  <c r="IJ5" i="11"/>
  <c r="IK5" i="11" l="1"/>
  <c r="IJ6" i="11"/>
  <c r="IK6" i="11" l="1"/>
  <c r="IL5" i="11"/>
  <c r="IL6" i="11" l="1"/>
  <c r="IM5" i="11"/>
  <c r="IM4" i="11" l="1"/>
  <c r="IN5" i="11"/>
  <c r="IM6" i="11"/>
  <c r="IO5" i="11" l="1"/>
  <c r="IN6" i="11"/>
  <c r="IO6" i="11" l="1"/>
  <c r="IP5" i="11"/>
  <c r="IP6" i="11" l="1"/>
  <c r="IQ5" i="11"/>
  <c r="IR5" i="11" l="1"/>
  <c r="IQ6" i="11"/>
  <c r="IR6" i="11" l="1"/>
  <c r="IS5" i="11"/>
  <c r="IS6" i="11" s="1"/>
</calcChain>
</file>

<file path=xl/sharedStrings.xml><?xml version="1.0" encoding="utf-8"?>
<sst xmlns="http://schemas.openxmlformats.org/spreadsheetml/2006/main" count="58" uniqueCount="58">
  <si>
    <t>Come creare la pianificazione di un progetto in questo foglio di lavoro.
Immettere il titolo del progetto nella cella B1. 
Le informazioni su come usare questo foglio di lavoro, con istruzioni per le utilità per la lettura dello schermo e l'autore della cartella di lavoro, si trovano nel foglio di lavoro Informazioni.
Continuare a spostarsi verso il basso nella colonna A per ascoltare altre istruzioni.</t>
  </si>
  <si>
    <t>ISAAC</t>
  </si>
  <si>
    <t>Immettere il nome della società nella cella B2.</t>
  </si>
  <si>
    <t>Teleconsys S.p.A.</t>
  </si>
  <si>
    <t>Immettere il nome del Responsabile di progetto nella cella B3. Immettere la data di inizio del progetto nella cella E3. Inizio progetto: l’etichetta si trova nella cella C3.</t>
  </si>
  <si>
    <t>Inizio progetto:</t>
  </si>
  <si>
    <t>Visualizzazione settimana nella cella E4 rappresenta la settimana iniziale da visualizzare nella pianificazione del progetto nella cella I4. La data di inizio del progetto è la Settimana 1. Per cambiare la visualizzazione della settimana, è sufficiente immettere un diverso numero di settimana nella cella E4.
La data di inizio di ogni settimana, a partire dalla settimana indicata nella cella E4, inizia nella cella I4 e viene calcolata automaticamente. Sono disponibili 8 settimane in questa visualizzazione: dalla cella I4 alla cella BF4.
Queste celle non si dovrebbero modificare.
L'etichetta Visualizza settimana: si trova nella cella C4.</t>
  </si>
  <si>
    <t>Le celle da I5 a BL5 contengono il numero dei giorni delle settimane rappresentate nei blocchi superiori e vengono calcolati automaticamente.
Queste celle non si dovrebbero modificare.
La data corrente viene indicata in rosso (esadecimale AD3815) a partire dalla data odierna nella riga 5 per l’intera colonna di date fino alla fine della pianificazione del progetto.</t>
  </si>
  <si>
    <t>Questa riga contiene le intestazioni per la pianificazione di progetto che segue. 
Spostarsi da B6 a BL 6 per ascoltare il contenuto. La prima lettera di ogni giorno della settimana indicata nell’intestazione, inizia nella cella I6 e continua fino alla cella BL6.
I grafici con la sequenza temporale di progetto vengono generati automaticamente in base alle date di inizio e di fine immesse, usando i formati condizionali.
Non modificare il contenuto delle celle delle colonne dopo la colonna I a partire dalla cella I7.</t>
  </si>
  <si>
    <t>ATTIVITÀ</t>
  </si>
  <si>
    <t>INIZIO</t>
  </si>
  <si>
    <t>FINE</t>
  </si>
  <si>
    <t>GIORNI</t>
  </si>
  <si>
    <t xml:space="preserve">Non eliminare questa riga. Questa riga è nascosta per proteggere una formula usata per evidenziare il giorno corrente all’interno della pianificazione di progetto. </t>
  </si>
  <si>
    <t>La cella B8 contiene il titolo di esempio della Fase 1. 
Immettere un nuovo titolo nella cella B8.
Immettere il nome della persona a cui assegnare la fase nella cella C8, se pertinente al progetto.
Immettere lo stato di avanzamento per l’intera fase nella cella D8, se pertinente al progetto.
Immettere la data di inizio e di fine dell’intera fase nelle celle E8 e F8, se pertinente al progetto. 
Il diagramma di Gantt immetterà automaticamente le date appropriate e applicherà l'ombreggiatura a seconda dello stato.
Per eliminare la fase e utilizzare solo le attività, è sufficiente eliminare la riga corrente.</t>
  </si>
  <si>
    <t xml:space="preserve">Identificazione esigenze e requisti funzionali </t>
  </si>
  <si>
    <t xml:space="preserve">La cella B9 contiene l'attività di esempio "Attività 1". 
Immettere un nuovo nome per l’attività nella cella B9.
Immettere il nome della persona a cui assegnare l'attività nella cella C9.
Immettere lo stato di avanzamento dell'attività nella cella D9. Una barra di stato viene visualizzata nella cella ed è ombreggiata in base allo stato di avanzamento. Ad esempio, lo stato di avanzamento pari al 50% applicherà l'ombreggiatura a metà della cella.
Immettere la data di inizio dell’attività nella cella E9.
Immettere la data di fine dell’attività nella cella F9.
Viene visualizzata una barra di stato ombreggiata in blocchi per le date immesse, a partire dalla cella I9 fino alla BL9. </t>
  </si>
  <si>
    <t>Analisi delle normative</t>
  </si>
  <si>
    <t>Dalla riga 10 alla 13 è ripetuto lo schema della riga 9. 
Ripetere le istruzioni della cella A9 per tutte le righe di attività nel foglio di lavoro. Sovrascrivere i dati di esempio.
L’esempio di un'altra fase inizia nella cella A14. 
Continuare a immettere le attività nelle celle da A10 a A13 o passare alla cella A14 per altre informazioni.</t>
  </si>
  <si>
    <t>Definizione degli scenari di utilizzo</t>
  </si>
  <si>
    <t>Validazione dei requisiti con gli stakeholder</t>
  </si>
  <si>
    <t>Identificazione risorse HW</t>
  </si>
  <si>
    <t>La cella a destra contiene il titolo di esempio della Fase 2. 
È possibile creare una nuova fase in qualsiasi momento nella colonna B. Questa pianificazione di progetto non richiede fasi. Per rimuovere la fase, è sufficiente eliminare la riga.
Per creare un blocco di fase in questa riga, immettere un nuovo titolo nella cella a destra.
Per continuare ad aggiungere attività alla fase precedente, immettere una nuova riga sopra a questa e inserire i dati delle attività seguendo le istruzioni della cella A9.
Aggiornare i dettagli della fase nella cella a destra sulla base delle istruzioni della cella A8.
Spostarsi verso il basso nelle celle della colonna A per altre informazioni.
Se non sono state aggiunte nuove righe al foglio di lavoro, sono disponibili 2 ulteriori blocchi di esempio nelle celle B20 e B26. In caso contrario, spostarsi lungo le celle della colonna A per ulteriori blocchi. 
Ripetere le istruzioni delle celle A8 e A9 se necessario.</t>
  </si>
  <si>
    <t>Ricerca, Sviluppo e Implementazione</t>
  </si>
  <si>
    <t>Studio stato dell'arte modelli AI</t>
  </si>
  <si>
    <t>Addestramento modelli AI</t>
  </si>
  <si>
    <t>Scelta e configurazione HW</t>
  </si>
  <si>
    <t>Integrazione servizio AI/HW</t>
  </si>
  <si>
    <t>Esempio di blocco con titolo di fase</t>
  </si>
  <si>
    <t>Configurazione modello AI</t>
  </si>
  <si>
    <t xml:space="preserve">      Realizzazione testbed in ambiente operativo</t>
  </si>
  <si>
    <t xml:space="preserve">      Verifica prestazioni modello</t>
  </si>
  <si>
    <t xml:space="preserve">      Verifica conformità requisiti di sicurezza</t>
  </si>
  <si>
    <t>Azioni correttive</t>
  </si>
  <si>
    <t>Deployment</t>
  </si>
  <si>
    <t>Formazione personale</t>
  </si>
  <si>
    <t>Questa è una riga vuota</t>
  </si>
  <si>
    <t>Attivazione e monitoraggio sistema in "test"</t>
  </si>
  <si>
    <t>Messa in produzione controllata</t>
  </si>
  <si>
    <t>Questa riga indica la fine della Pianificazione del progetto. NON immettere dati in questa riga. 
È possibile inserire nuove righe SOPRA per continuare a costruire la pianificazione del progetto.</t>
  </si>
  <si>
    <t>Adattamento sistema a flussi esistenti</t>
  </si>
  <si>
    <t>Realizzazione web application</t>
  </si>
  <si>
    <t xml:space="preserve">Solution Architect </t>
  </si>
  <si>
    <t>AI Engineer</t>
  </si>
  <si>
    <t>CyberSecurity Specialist</t>
  </si>
  <si>
    <t>Innovation Manager</t>
  </si>
  <si>
    <t>Full Stack Developer</t>
  </si>
  <si>
    <t>Tester</t>
  </si>
  <si>
    <t>Sistemista</t>
  </si>
  <si>
    <t>Costo totale</t>
  </si>
  <si>
    <t>Costo Giornaliero</t>
  </si>
  <si>
    <t>Costi personale</t>
  </si>
  <si>
    <t>Costi Attrezzature</t>
  </si>
  <si>
    <t>cablaggi</t>
  </si>
  <si>
    <t>2 serrature elettromeccaniche</t>
  </si>
  <si>
    <t>manodopera</t>
  </si>
  <si>
    <t>4 telecamere IP (UniFi AI Professional)</t>
  </si>
  <si>
    <t>Costi Totali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</si>
</sst>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 mmm\ yyyy"/>
    <numFmt numFmtId="169" formatCode="d"/>
    <numFmt numFmtId="170" formatCode="#,##0.00\ &quot;€&quot;"/>
    <numFmt numFmtId="171" formatCode="0.000"/>
    <numFmt numFmtId="172" formatCode="#,##0.000\ &quot;€&quot;"/>
  </numFmts>
  <fonts count="3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Abadi"/>
      <family val="2"/>
    </font>
    <font>
      <sz val="8"/>
      <color theme="1"/>
      <name val="Calibri"/>
      <family val="2"/>
      <scheme val="minor"/>
    </font>
    <font>
      <b/>
      <sz val="11"/>
      <color rgb="FFFF0000"/>
      <name val="Calibri"/>
      <family val="2"/>
      <scheme val="minor"/>
    </font>
    <font>
      <b/>
      <sz val="14"/>
      <color rgb="FF427FC2"/>
      <name val="Calibri"/>
      <family val="2"/>
      <scheme val="minor"/>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39997558519241921"/>
        <bgColor indexed="64"/>
      </patternFill>
    </fill>
  </fills>
  <borders count="45">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theme="0" tint="-0.14993743705557422"/>
      </left>
      <right style="thin">
        <color theme="0" tint="-0.14993743705557422"/>
      </right>
      <top/>
      <bottom style="medium">
        <color theme="0" tint="-0.14996795556505021"/>
      </bottom>
      <diagonal/>
    </border>
    <border>
      <left style="medium">
        <color rgb="FF427FC2"/>
      </left>
      <right/>
      <top style="medium">
        <color theme="0" tint="-0.14996795556505021"/>
      </top>
      <bottom style="medium">
        <color theme="0" tint="-0.14996795556505021"/>
      </bottom>
      <diagonal/>
    </border>
    <border>
      <left/>
      <right style="medium">
        <color rgb="FF427FC2"/>
      </right>
      <top style="medium">
        <color theme="0" tint="-0.14996795556505021"/>
      </top>
      <bottom style="medium">
        <color theme="0" tint="-0.14996795556505021"/>
      </bottom>
      <diagonal/>
    </border>
    <border>
      <left style="medium">
        <color rgb="FF427FC2"/>
      </left>
      <right style="thin">
        <color theme="0" tint="-0.14993743705557422"/>
      </right>
      <top style="medium">
        <color theme="0" tint="-0.14996795556505021"/>
      </top>
      <bottom style="medium">
        <color theme="0" tint="-0.14996795556505021"/>
      </bottom>
      <diagonal/>
    </border>
    <border>
      <left style="thin">
        <color theme="0" tint="-0.14993743705557422"/>
      </left>
      <right style="medium">
        <color rgb="FF427FC2"/>
      </right>
      <top style="medium">
        <color theme="0" tint="-0.14996795556505021"/>
      </top>
      <bottom style="medium">
        <color theme="0" tint="-0.14996795556505021"/>
      </bottom>
      <diagonal/>
    </border>
    <border>
      <left style="medium">
        <color rgb="FF427FC2"/>
      </left>
      <right style="thin">
        <color theme="0" tint="-0.14993743705557422"/>
      </right>
      <top style="medium">
        <color theme="0" tint="-0.14996795556505021"/>
      </top>
      <bottom/>
      <diagonal/>
    </border>
    <border>
      <left style="medium">
        <color rgb="FF427FC2"/>
      </left>
      <right/>
      <top/>
      <bottom/>
      <diagonal/>
    </border>
    <border>
      <left style="thin">
        <color theme="0" tint="-0.14993743705557422"/>
      </left>
      <right/>
      <top style="medium">
        <color theme="0" tint="-0.14996795556505021"/>
      </top>
      <bottom style="medium">
        <color theme="0" tint="-0.14996795556505021"/>
      </bottom>
      <diagonal/>
    </border>
    <border>
      <left style="medium">
        <color theme="5" tint="0.39994506668294322"/>
      </left>
      <right style="medium">
        <color rgb="FF427FC2"/>
      </right>
      <top style="medium">
        <color theme="0" tint="-0.14996795556505021"/>
      </top>
      <bottom style="medium">
        <color theme="0" tint="-0.14996795556505021"/>
      </bottom>
      <diagonal/>
    </border>
    <border>
      <left/>
      <right style="medium">
        <color theme="5" tint="0.39994506668294322"/>
      </right>
      <top style="medium">
        <color theme="0" tint="-0.14996795556505021"/>
      </top>
      <bottom style="medium">
        <color theme="0" tint="-0.14996795556505021"/>
      </bottom>
      <diagonal/>
    </border>
    <border>
      <left style="thin">
        <color theme="0" tint="-0.14993743705557422"/>
      </left>
      <right style="medium">
        <color theme="5" tint="0.39994506668294322"/>
      </right>
      <top style="medium">
        <color theme="0" tint="-0.14996795556505021"/>
      </top>
      <bottom style="medium">
        <color theme="0" tint="-0.14996795556505021"/>
      </bottom>
      <diagonal/>
    </border>
    <border>
      <left style="medium">
        <color theme="5" tint="0.39994506668294322"/>
      </left>
      <right style="medium">
        <color rgb="FF427FC2"/>
      </right>
      <top/>
      <bottom/>
      <diagonal/>
    </border>
    <border>
      <left/>
      <right style="medium">
        <color theme="5" tint="0.39994506668294322"/>
      </right>
      <top/>
      <bottom/>
      <diagonal/>
    </border>
    <border>
      <left style="medium">
        <color theme="6" tint="-0.24994659260841701"/>
      </left>
      <right/>
      <top style="medium">
        <color theme="0" tint="-0.14996795556505021"/>
      </top>
      <bottom style="medium">
        <color theme="0" tint="-0.14996795556505021"/>
      </bottom>
      <diagonal/>
    </border>
    <border>
      <left/>
      <right style="medium">
        <color theme="6" tint="-0.24994659260841701"/>
      </right>
      <top style="medium">
        <color theme="0" tint="-0.14996795556505021"/>
      </top>
      <bottom style="medium">
        <color theme="0" tint="-0.14996795556505021"/>
      </bottom>
      <diagonal/>
    </border>
    <border>
      <left style="medium">
        <color theme="6" tint="-0.24994659260841701"/>
      </left>
      <right style="thin">
        <color theme="0" tint="-0.14993743705557422"/>
      </right>
      <top style="medium">
        <color theme="0" tint="-0.14996795556505021"/>
      </top>
      <bottom style="medium">
        <color theme="0" tint="-0.14996795556505021"/>
      </bottom>
      <diagonal/>
    </border>
    <border>
      <left style="thin">
        <color theme="0" tint="-0.14993743705557422"/>
      </left>
      <right style="medium">
        <color theme="6" tint="-0.24994659260841701"/>
      </right>
      <top style="medium">
        <color theme="0" tint="-0.14996795556505021"/>
      </top>
      <bottom style="medium">
        <color theme="0" tint="-0.14996795556505021"/>
      </bottom>
      <diagonal/>
    </border>
    <border>
      <left style="medium">
        <color theme="6" tint="-0.24994659260841701"/>
      </left>
      <right/>
      <top/>
      <bottom/>
      <diagonal/>
    </border>
    <border>
      <left/>
      <right style="medium">
        <color theme="6" tint="-0.24994659260841701"/>
      </right>
      <top/>
      <bottom/>
      <diagonal/>
    </border>
    <border>
      <left style="medium">
        <color theme="9" tint="-0.24994659260841701"/>
      </left>
      <right/>
      <top style="medium">
        <color theme="0" tint="-0.14996795556505021"/>
      </top>
      <bottom style="medium">
        <color theme="0" tint="-0.14996795556505021"/>
      </bottom>
      <diagonal/>
    </border>
    <border>
      <left/>
      <right style="medium">
        <color theme="9" tint="-0.24994659260841701"/>
      </right>
      <top style="medium">
        <color theme="0" tint="-0.14996795556505021"/>
      </top>
      <bottom style="medium">
        <color theme="0" tint="-0.14996795556505021"/>
      </bottom>
      <diagonal/>
    </border>
    <border>
      <left style="medium">
        <color theme="9" tint="-0.24994659260841701"/>
      </left>
      <right style="thin">
        <color theme="0" tint="-0.14993743705557422"/>
      </right>
      <top style="medium">
        <color theme="0" tint="-0.14996795556505021"/>
      </top>
      <bottom style="medium">
        <color theme="0" tint="-0.14996795556505021"/>
      </bottom>
      <diagonal/>
    </border>
    <border>
      <left style="thin">
        <color theme="0" tint="-0.14993743705557422"/>
      </left>
      <right style="medium">
        <color theme="9" tint="-0.24994659260841701"/>
      </right>
      <top style="medium">
        <color theme="0" tint="-0.14996795556505021"/>
      </top>
      <bottom style="medium">
        <color theme="0" tint="-0.14996795556505021"/>
      </bottom>
      <diagonal/>
    </border>
    <border>
      <left style="medium">
        <color theme="9" tint="-0.24994659260841701"/>
      </left>
      <right/>
      <top/>
      <bottom/>
      <diagonal/>
    </border>
    <border>
      <left/>
      <right style="medium">
        <color theme="9" tint="-0.24994659260841701"/>
      </right>
      <top/>
      <bottom/>
      <diagonal/>
    </border>
    <border>
      <left style="hair">
        <color auto="1"/>
      </left>
      <right style="hair">
        <color auto="1"/>
      </right>
      <top style="hair">
        <color auto="1"/>
      </top>
      <bottom style="hair">
        <color auto="1"/>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7" fontId="7" fillId="0" borderId="3">
      <alignment horizontal="center" vertical="center"/>
    </xf>
    <xf numFmtId="166"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5"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16" fillId="0" borderId="0" applyNumberFormat="0" applyFill="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20" fillId="14" borderId="11" applyNumberFormat="0" applyAlignment="0" applyProtection="0"/>
    <xf numFmtId="0" fontId="21" fillId="15" borderId="12" applyNumberFormat="0" applyAlignment="0" applyProtection="0"/>
    <xf numFmtId="0" fontId="22" fillId="15" borderId="11" applyNumberFormat="0" applyAlignment="0" applyProtection="0"/>
    <xf numFmtId="0" fontId="23" fillId="0" borderId="13" applyNumberFormat="0" applyFill="0" applyAlignment="0" applyProtection="0"/>
    <xf numFmtId="0" fontId="24" fillId="16" borderId="14" applyNumberFormat="0" applyAlignment="0" applyProtection="0"/>
    <xf numFmtId="0" fontId="25" fillId="0" borderId="0" applyNumberFormat="0" applyFill="0" applyBorder="0" applyAlignment="0" applyProtection="0"/>
    <xf numFmtId="0" fontId="7" fillId="17"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2"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12"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12"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12"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12"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12"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7" fillId="41" borderId="0" applyNumberFormat="0" applyBorder="0" applyAlignment="0" applyProtection="0"/>
  </cellStyleXfs>
  <cellXfs count="12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6" fillId="10" borderId="1" xfId="0" applyFont="1" applyFill="1" applyBorder="1" applyAlignment="1">
      <alignment horizontal="left" vertical="center" indent="1"/>
    </xf>
    <xf numFmtId="0" fontId="6" fillId="10" borderId="1" xfId="0" applyFont="1" applyFill="1" applyBorder="1" applyAlignment="1">
      <alignment horizontal="center" vertical="center" wrapText="1"/>
    </xf>
    <xf numFmtId="0" fontId="10" fillId="9"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8"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2" fillId="0" borderId="0" xfId="3"/>
    <xf numFmtId="0" fontId="12" fillId="0" borderId="0" xfId="3" applyAlignment="1">
      <alignment wrapText="1"/>
    </xf>
    <xf numFmtId="0" fontId="12"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6" borderId="2" xfId="11" applyFill="1">
      <alignment horizontal="center" vertical="center"/>
    </xf>
    <xf numFmtId="0" fontId="7" fillId="2" borderId="2" xfId="11" applyFill="1">
      <alignment horizontal="center" vertical="center"/>
    </xf>
    <xf numFmtId="0" fontId="7" fillId="7" borderId="2" xfId="11" applyFill="1">
      <alignment horizontal="center" vertical="center"/>
    </xf>
    <xf numFmtId="0" fontId="7" fillId="3" borderId="2" xfId="11" applyFill="1">
      <alignment horizontal="center" vertical="center"/>
    </xf>
    <xf numFmtId="0" fontId="7" fillId="4" borderId="2" xfId="11" applyFill="1">
      <alignment horizontal="center" vertical="center"/>
    </xf>
    <xf numFmtId="0" fontId="7" fillId="8"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8" borderId="2" xfId="12" applyFill="1">
      <alignment horizontal="left" vertical="center" indent="2"/>
    </xf>
    <xf numFmtId="0" fontId="0" fillId="0" borderId="10" xfId="0" applyBorder="1"/>
    <xf numFmtId="0" fontId="13" fillId="0" borderId="0" xfId="0" applyFont="1"/>
    <xf numFmtId="0" fontId="14" fillId="0" borderId="0" xfId="1" applyFont="1" applyProtection="1">
      <alignment vertical="top"/>
    </xf>
    <xf numFmtId="166" fontId="0" fillId="6" borderId="2" xfId="0" applyNumberFormat="1" applyFill="1" applyBorder="1" applyAlignment="1">
      <alignment horizontal="center" vertical="center"/>
    </xf>
    <xf numFmtId="166" fontId="4" fillId="6" borderId="2" xfId="0" applyNumberFormat="1" applyFont="1" applyFill="1" applyBorder="1" applyAlignment="1">
      <alignment horizontal="center" vertical="center"/>
    </xf>
    <xf numFmtId="166" fontId="7" fillId="2" borderId="2" xfId="10" applyFill="1">
      <alignment horizontal="center" vertical="center"/>
    </xf>
    <xf numFmtId="166" fontId="0" fillId="7" borderId="2" xfId="0" applyNumberFormat="1" applyFill="1" applyBorder="1" applyAlignment="1">
      <alignment horizontal="center" vertical="center"/>
    </xf>
    <xf numFmtId="166" fontId="4" fillId="7" borderId="2" xfId="0" applyNumberFormat="1" applyFont="1" applyFill="1" applyBorder="1" applyAlignment="1">
      <alignment horizontal="center" vertical="center"/>
    </xf>
    <xf numFmtId="166" fontId="7" fillId="3" borderId="2" xfId="10" applyFill="1">
      <alignment horizontal="center" vertical="center"/>
    </xf>
    <xf numFmtId="166" fontId="0" fillId="4" borderId="2" xfId="0" applyNumberFormat="1" applyFill="1" applyBorder="1" applyAlignment="1">
      <alignment horizontal="center" vertical="center"/>
    </xf>
    <xf numFmtId="166" fontId="4" fillId="4" borderId="2" xfId="0" applyNumberFormat="1" applyFont="1" applyFill="1" applyBorder="1" applyAlignment="1">
      <alignment horizontal="center" vertical="center"/>
    </xf>
    <xf numFmtId="166" fontId="7" fillId="8" borderId="2" xfId="10" applyFill="1">
      <alignment horizontal="center" vertical="center"/>
    </xf>
    <xf numFmtId="169" fontId="9" fillId="5" borderId="6" xfId="0" applyNumberFormat="1" applyFont="1" applyFill="1" applyBorder="1" applyAlignment="1">
      <alignment horizontal="center" vertical="center"/>
    </xf>
    <xf numFmtId="169" fontId="9" fillId="5" borderId="0" xfId="0" applyNumberFormat="1" applyFont="1" applyFill="1" applyAlignment="1">
      <alignment horizontal="center" vertical="center"/>
    </xf>
    <xf numFmtId="169" fontId="9" fillId="5" borderId="7" xfId="0" applyNumberFormat="1" applyFont="1" applyFill="1" applyBorder="1" applyAlignment="1">
      <alignment horizontal="center" vertical="center"/>
    </xf>
    <xf numFmtId="0" fontId="7" fillId="42" borderId="2" xfId="11" applyFill="1">
      <alignment horizontal="center" vertical="center"/>
    </xf>
    <xf numFmtId="9" fontId="4" fillId="42" borderId="2" xfId="2" applyFont="1" applyFill="1" applyBorder="1" applyAlignment="1">
      <alignment horizontal="center" vertical="center"/>
    </xf>
    <xf numFmtId="166" fontId="7" fillId="42" borderId="2" xfId="10" applyFill="1">
      <alignment horizontal="center" vertical="center"/>
    </xf>
    <xf numFmtId="0" fontId="7" fillId="42" borderId="2" xfId="12" applyFill="1">
      <alignment horizontal="left" vertical="center" indent="2"/>
    </xf>
    <xf numFmtId="0" fontId="5" fillId="43" borderId="2" xfId="0" applyFont="1" applyFill="1" applyBorder="1" applyAlignment="1">
      <alignment horizontal="left" vertical="center" indent="1"/>
    </xf>
    <xf numFmtId="0" fontId="7" fillId="43" borderId="2" xfId="11" applyFill="1">
      <alignment horizontal="center" vertical="center"/>
    </xf>
    <xf numFmtId="9" fontId="4" fillId="43" borderId="2" xfId="2" applyFont="1" applyFill="1" applyBorder="1" applyAlignment="1">
      <alignment horizontal="center" vertical="center"/>
    </xf>
    <xf numFmtId="166" fontId="0" fillId="43" borderId="2" xfId="0" applyNumberFormat="1" applyFill="1" applyBorder="1" applyAlignment="1">
      <alignment horizontal="center" vertical="center"/>
    </xf>
    <xf numFmtId="166" fontId="4" fillId="43" borderId="2" xfId="0" applyNumberFormat="1" applyFont="1" applyFill="1" applyBorder="1" applyAlignment="1">
      <alignment horizontal="center" vertical="center"/>
    </xf>
    <xf numFmtId="0" fontId="7" fillId="8" borderId="2" xfId="11" applyFill="1" applyAlignment="1">
      <alignment horizontal="left" vertical="center"/>
    </xf>
    <xf numFmtId="9" fontId="7" fillId="8" borderId="2" xfId="11" applyNumberFormat="1" applyFill="1">
      <alignment horizontal="center" vertical="center"/>
    </xf>
    <xf numFmtId="166" fontId="7" fillId="8" borderId="2" xfId="11" applyNumberFormat="1" applyFill="1">
      <alignment horizontal="center"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166" fontId="0" fillId="6" borderId="20" xfId="0" applyNumberFormat="1" applyFill="1" applyBorder="1" applyAlignment="1">
      <alignment horizontal="center" vertical="center"/>
    </xf>
    <xf numFmtId="166" fontId="0" fillId="6" borderId="21" xfId="0" applyNumberFormat="1" applyFill="1" applyBorder="1" applyAlignment="1">
      <alignment horizontal="center"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xf numFmtId="0" fontId="0" fillId="0" borderId="26" xfId="0" applyBorder="1" applyAlignment="1">
      <alignment vertical="center"/>
    </xf>
    <xf numFmtId="166" fontId="0" fillId="7" borderId="27" xfId="0" applyNumberFormat="1" applyFill="1" applyBorder="1" applyAlignment="1">
      <alignment horizontal="center" vertical="center"/>
    </xf>
    <xf numFmtId="166" fontId="0" fillId="7" borderId="28" xfId="0" applyNumberFormat="1" applyFill="1" applyBorder="1" applyAlignment="1">
      <alignment horizontal="center" vertical="center"/>
    </xf>
    <xf numFmtId="0" fontId="0" fillId="0" borderId="27" xfId="0" applyBorder="1" applyAlignment="1">
      <alignment vertical="center"/>
    </xf>
    <xf numFmtId="0" fontId="0" fillId="0" borderId="29" xfId="0" applyBorder="1" applyAlignment="1">
      <alignment vertical="center"/>
    </xf>
    <xf numFmtId="166" fontId="0" fillId="4" borderId="28" xfId="0" applyNumberFormat="1" applyFill="1" applyBorder="1" applyAlignment="1">
      <alignment horizontal="center" vertical="center"/>
    </xf>
    <xf numFmtId="0" fontId="0" fillId="0" borderId="30" xfId="0" applyBorder="1"/>
    <xf numFmtId="0" fontId="0" fillId="0" borderId="31" xfId="0" applyBorder="1" applyAlignment="1">
      <alignment vertical="center"/>
    </xf>
    <xf numFmtId="0" fontId="0" fillId="0" borderId="31" xfId="0" applyBorder="1"/>
    <xf numFmtId="166" fontId="0" fillId="4" borderId="32" xfId="0" applyNumberFormat="1" applyFill="1" applyBorder="1" applyAlignment="1">
      <alignment horizontal="center" vertical="center"/>
    </xf>
    <xf numFmtId="166" fontId="0" fillId="4" borderId="33" xfId="0" applyNumberFormat="1" applyFill="1" applyBorder="1" applyAlignment="1">
      <alignment horizontal="center" vertical="center"/>
    </xf>
    <xf numFmtId="0" fontId="0" fillId="0" borderId="34" xfId="0" applyBorder="1" applyAlignment="1">
      <alignment vertical="center"/>
    </xf>
    <xf numFmtId="0" fontId="0" fillId="0" borderId="35" xfId="0" applyBorder="1" applyAlignment="1">
      <alignment vertical="center"/>
    </xf>
    <xf numFmtId="166" fontId="0" fillId="43" borderId="33" xfId="0" applyNumberFormat="1" applyFill="1" applyBorder="1" applyAlignment="1">
      <alignment horizontal="center" vertical="center"/>
    </xf>
    <xf numFmtId="0" fontId="0" fillId="0" borderId="36" xfId="0" applyBorder="1" applyAlignment="1">
      <alignment vertical="center"/>
    </xf>
    <xf numFmtId="0" fontId="0" fillId="0" borderId="37" xfId="0" applyBorder="1" applyAlignment="1">
      <alignment vertical="center"/>
    </xf>
    <xf numFmtId="0" fontId="0" fillId="0" borderId="36" xfId="0" applyBorder="1"/>
    <xf numFmtId="0" fontId="0" fillId="0" borderId="37" xfId="0" applyBorder="1"/>
    <xf numFmtId="166" fontId="0" fillId="43" borderId="38" xfId="0" applyNumberFormat="1" applyFill="1" applyBorder="1" applyAlignment="1">
      <alignment horizontal="center" vertical="center"/>
    </xf>
    <xf numFmtId="166" fontId="0" fillId="43" borderId="39" xfId="0" applyNumberFormat="1" applyFill="1" applyBorder="1" applyAlignment="1">
      <alignment horizontal="center" vertical="center"/>
    </xf>
    <xf numFmtId="0" fontId="0" fillId="0" borderId="40" xfId="0" applyBorder="1" applyAlignment="1">
      <alignment vertical="center"/>
    </xf>
    <xf numFmtId="0" fontId="0" fillId="0" borderId="41" xfId="0" applyBorder="1" applyAlignment="1">
      <alignment vertical="center"/>
    </xf>
    <xf numFmtId="0" fontId="0" fillId="0" borderId="42" xfId="0" applyBorder="1" applyAlignment="1">
      <alignment vertical="center"/>
    </xf>
    <xf numFmtId="0" fontId="0" fillId="0" borderId="43" xfId="0" applyBorder="1" applyAlignment="1">
      <alignment vertical="center"/>
    </xf>
    <xf numFmtId="0" fontId="0" fillId="0" borderId="42" xfId="0" applyBorder="1"/>
    <xf numFmtId="0" fontId="0" fillId="0" borderId="43" xfId="0" applyBorder="1"/>
    <xf numFmtId="0" fontId="27" fillId="0" borderId="44" xfId="0" applyFont="1" applyBorder="1"/>
    <xf numFmtId="170" fontId="27" fillId="0" borderId="44" xfId="0" applyNumberFormat="1" applyFont="1" applyBorder="1" applyAlignment="1">
      <alignment horizontal="center"/>
    </xf>
    <xf numFmtId="2" fontId="0" fillId="0" borderId="37" xfId="0" applyNumberFormat="1" applyBorder="1"/>
    <xf numFmtId="171" fontId="0" fillId="0" borderId="0" xfId="0" applyNumberFormat="1"/>
    <xf numFmtId="171" fontId="28" fillId="0" borderId="25" xfId="0" applyNumberFormat="1" applyFont="1" applyBorder="1"/>
    <xf numFmtId="171" fontId="28" fillId="0" borderId="0" xfId="0" applyNumberFormat="1" applyFont="1"/>
    <xf numFmtId="171" fontId="28" fillId="0" borderId="30" xfId="0" applyNumberFormat="1" applyFont="1" applyBorder="1"/>
    <xf numFmtId="171" fontId="0" fillId="0" borderId="36" xfId="0" applyNumberFormat="1" applyBorder="1"/>
    <xf numFmtId="171" fontId="0" fillId="0" borderId="31" xfId="0" applyNumberFormat="1" applyBorder="1"/>
    <xf numFmtId="171" fontId="0" fillId="0" borderId="42" xfId="0" applyNumberFormat="1" applyBorder="1"/>
    <xf numFmtId="171" fontId="0" fillId="0" borderId="37" xfId="0" applyNumberFormat="1" applyBorder="1"/>
    <xf numFmtId="171" fontId="0" fillId="0" borderId="43" xfId="0" applyNumberFormat="1" applyBorder="1"/>
    <xf numFmtId="172" fontId="0" fillId="0" borderId="0" xfId="0" applyNumberFormat="1" applyAlignment="1">
      <alignment horizontal="center"/>
    </xf>
    <xf numFmtId="172" fontId="29" fillId="0" borderId="0" xfId="0" applyNumberFormat="1" applyFont="1" applyAlignment="1">
      <alignment horizontal="center"/>
    </xf>
    <xf numFmtId="0" fontId="27" fillId="0" borderId="0" xfId="0" applyFont="1"/>
    <xf numFmtId="172" fontId="30" fillId="0" borderId="0" xfId="0" applyNumberFormat="1" applyFont="1" applyAlignment="1">
      <alignment horizontal="center"/>
    </xf>
    <xf numFmtId="168" fontId="0" fillId="5" borderId="4" xfId="0" applyNumberFormat="1" applyFill="1" applyBorder="1" applyAlignment="1">
      <alignment horizontal="left" vertical="center" wrapText="1" indent="1"/>
    </xf>
    <xf numFmtId="168" fontId="0" fillId="5" borderId="1" xfId="0" applyNumberFormat="1" applyFill="1" applyBorder="1" applyAlignment="1">
      <alignment horizontal="left" vertical="center" wrapText="1" indent="1"/>
    </xf>
    <xf numFmtId="168" fontId="0" fillId="5" borderId="5" xfId="0" applyNumberFormat="1" applyFill="1" applyBorder="1" applyAlignment="1">
      <alignment horizontal="left" vertical="center" wrapText="1" indent="1"/>
    </xf>
    <xf numFmtId="0" fontId="7" fillId="0" borderId="0" xfId="8">
      <alignment horizontal="right" indent="1"/>
    </xf>
    <xf numFmtId="0" fontId="7" fillId="0" borderId="7" xfId="8" applyBorder="1">
      <alignment horizontal="right" indent="1"/>
    </xf>
    <xf numFmtId="0" fontId="12" fillId="0" borderId="1" xfId="8" applyFont="1" applyBorder="1">
      <alignment horizontal="right" indent="1"/>
    </xf>
    <xf numFmtId="167" fontId="7" fillId="0" borderId="3" xfId="9">
      <alignment horizontal="center" vertical="center"/>
    </xf>
    <xf numFmtId="0" fontId="29" fillId="0" borderId="0" xfId="0" applyFont="1" applyAlignment="1">
      <alignment horizontal="right"/>
    </xf>
    <xf numFmtId="0" fontId="30" fillId="0" borderId="0" xfId="0" applyFont="1" applyAlignment="1">
      <alignment horizontal="right"/>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ttività" xfId="12" xr:uid="{6391D789-272B-4DD2-9BF3-2CDCF610FA4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a"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izio progetto" xfId="9" xr:uid="{8EB8A09A-C31C-40A3-B2C1-9449520178B8}"/>
    <cellStyle name="Input" xfId="21" builtinId="20" customBuiltin="1"/>
    <cellStyle name="Linked Cell" xfId="24" builtinId="24" customBuiltin="1"/>
    <cellStyle name="Neutral" xfId="20" builtinId="28" customBuiltin="1"/>
    <cellStyle name="Nome" xfId="11" xr:uid="{B2D3C1EE-6B41-4801-AAFC-C2274E49E503}"/>
    <cellStyle name="Normal" xfId="0" builtinId="0" customBuiltin="1"/>
    <cellStyle name="Note" xfId="27" builtinId="10" customBuiltin="1"/>
    <cellStyle name="Output" xfId="22" builtinId="21" customBuiltin="1"/>
    <cellStyle name="Percent" xfId="2" builtinId="5" customBuiltin="1"/>
    <cellStyle name="Title" xfId="5" builtinId="15" customBuiltin="1"/>
    <cellStyle name="Total" xfId="29" builtinId="25" customBuiltin="1"/>
    <cellStyle name="Warning Text" xfId="26" builtinId="11" customBuiltin="1"/>
    <cellStyle name="zTestoNascos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ElencoAttività"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427FC2"/>
      <color rgb="FF215881"/>
      <color rgb="FF42648A"/>
      <color rgb="FF969696"/>
      <color rgb="FFC0C0C0"/>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S46"/>
  <sheetViews>
    <sheetView showGridLines="0" tabSelected="1" showRuler="0" topLeftCell="BU1" zoomScale="130" zoomScaleNormal="130" zoomScalePageLayoutView="70" workbookViewId="0">
      <selection activeCell="AI11" sqref="AI11"/>
    </sheetView>
  </sheetViews>
  <sheetFormatPr defaultRowHeight="30" customHeight="1"/>
  <cols>
    <col min="1" max="1" width="2.6640625" style="23" customWidth="1"/>
    <col min="2" max="2" width="30.6640625" customWidth="1"/>
    <col min="3" max="3" width="15.6640625" customWidth="1"/>
    <col min="4" max="4" width="2" customWidth="1"/>
    <col min="5" max="5" width="28.5546875" style="5" customWidth="1"/>
    <col min="6" max="6" width="10.44140625" customWidth="1"/>
    <col min="7" max="7" width="4.6640625" customWidth="1"/>
    <col min="8" max="8" width="11.109375" customWidth="1"/>
    <col min="9" max="253" width="2" customWidth="1"/>
  </cols>
  <sheetData>
    <row r="1" spans="1:253" ht="30" customHeight="1">
      <c r="A1" s="24" t="s">
        <v>0</v>
      </c>
      <c r="B1" s="27" t="s">
        <v>1</v>
      </c>
      <c r="C1" s="1"/>
      <c r="D1" s="2"/>
      <c r="E1" s="4"/>
      <c r="F1" s="22"/>
      <c r="H1" s="2"/>
      <c r="I1" s="40"/>
    </row>
    <row r="2" spans="1:253" ht="30" customHeight="1">
      <c r="A2" s="23" t="s">
        <v>2</v>
      </c>
      <c r="B2" s="28" t="s">
        <v>3</v>
      </c>
      <c r="I2" s="41"/>
    </row>
    <row r="3" spans="1:253" ht="30" customHeight="1">
      <c r="A3" s="23" t="s">
        <v>4</v>
      </c>
      <c r="B3" s="29"/>
      <c r="C3" s="120" t="s">
        <v>5</v>
      </c>
      <c r="D3" s="121"/>
      <c r="E3" s="123">
        <f>DATE(2024, 12, 1)</f>
        <v>45627</v>
      </c>
      <c r="F3" s="123"/>
    </row>
    <row r="4" spans="1:253" ht="30" customHeight="1">
      <c r="A4" s="24" t="s">
        <v>6</v>
      </c>
      <c r="C4" s="120"/>
      <c r="D4" s="120"/>
      <c r="E4" s="122">
        <v>1</v>
      </c>
      <c r="F4" s="122"/>
      <c r="I4" s="117">
        <f>I5</f>
        <v>45628</v>
      </c>
      <c r="J4" s="118"/>
      <c r="K4" s="118"/>
      <c r="L4" s="118"/>
      <c r="M4" s="118"/>
      <c r="N4" s="118"/>
      <c r="O4" s="119"/>
      <c r="P4" s="117">
        <f>P5</f>
        <v>45635</v>
      </c>
      <c r="Q4" s="118"/>
      <c r="R4" s="118"/>
      <c r="S4" s="118"/>
      <c r="T4" s="118"/>
      <c r="U4" s="118"/>
      <c r="V4" s="119"/>
      <c r="W4" s="117">
        <f>W5</f>
        <v>45642</v>
      </c>
      <c r="X4" s="118"/>
      <c r="Y4" s="118"/>
      <c r="Z4" s="118"/>
      <c r="AA4" s="118"/>
      <c r="AB4" s="118"/>
      <c r="AC4" s="119"/>
      <c r="AD4" s="117">
        <f>AD5</f>
        <v>45649</v>
      </c>
      <c r="AE4" s="118"/>
      <c r="AF4" s="118"/>
      <c r="AG4" s="118"/>
      <c r="AH4" s="118"/>
      <c r="AI4" s="118"/>
      <c r="AJ4" s="119"/>
      <c r="AK4" s="117">
        <f>AK5</f>
        <v>45656</v>
      </c>
      <c r="AL4" s="118"/>
      <c r="AM4" s="118"/>
      <c r="AN4" s="118"/>
      <c r="AO4" s="118"/>
      <c r="AP4" s="118"/>
      <c r="AQ4" s="119"/>
      <c r="AR4" s="117">
        <f>AR5</f>
        <v>45663</v>
      </c>
      <c r="AS4" s="118"/>
      <c r="AT4" s="118"/>
      <c r="AU4" s="118"/>
      <c r="AV4" s="118"/>
      <c r="AW4" s="118"/>
      <c r="AX4" s="119"/>
      <c r="AY4" s="117">
        <f>AY5</f>
        <v>45670</v>
      </c>
      <c r="AZ4" s="118"/>
      <c r="BA4" s="118"/>
      <c r="BB4" s="118"/>
      <c r="BC4" s="118"/>
      <c r="BD4" s="118"/>
      <c r="BE4" s="119"/>
      <c r="BF4" s="117">
        <f>BF5</f>
        <v>45677</v>
      </c>
      <c r="BG4" s="118"/>
      <c r="BH4" s="118"/>
      <c r="BI4" s="118"/>
      <c r="BJ4" s="118"/>
      <c r="BK4" s="118"/>
      <c r="BL4" s="119"/>
      <c r="BM4" s="117">
        <f>BM5</f>
        <v>45684</v>
      </c>
      <c r="BN4" s="118"/>
      <c r="BO4" s="118"/>
      <c r="BP4" s="118"/>
      <c r="BQ4" s="118"/>
      <c r="BR4" s="118"/>
      <c r="BS4" s="119"/>
      <c r="BT4" s="117">
        <f>BT5</f>
        <v>45691</v>
      </c>
      <c r="BU4" s="118"/>
      <c r="BV4" s="118"/>
      <c r="BW4" s="118"/>
      <c r="BX4" s="118"/>
      <c r="BY4" s="118"/>
      <c r="BZ4" s="119"/>
      <c r="CA4" s="117">
        <f>CA5</f>
        <v>45698</v>
      </c>
      <c r="CB4" s="118"/>
      <c r="CC4" s="118"/>
      <c r="CD4" s="118"/>
      <c r="CE4" s="118"/>
      <c r="CF4" s="118"/>
      <c r="CG4" s="119"/>
      <c r="CH4" s="117">
        <f>CH5</f>
        <v>45705</v>
      </c>
      <c r="CI4" s="118"/>
      <c r="CJ4" s="118"/>
      <c r="CK4" s="118"/>
      <c r="CL4" s="118"/>
      <c r="CM4" s="118"/>
      <c r="CN4" s="119"/>
      <c r="CO4" s="117">
        <f>CO5</f>
        <v>45712</v>
      </c>
      <c r="CP4" s="118"/>
      <c r="CQ4" s="118"/>
      <c r="CR4" s="118"/>
      <c r="CS4" s="118"/>
      <c r="CT4" s="118"/>
      <c r="CU4" s="119"/>
      <c r="CV4" s="117">
        <f>CV5</f>
        <v>45719</v>
      </c>
      <c r="CW4" s="118"/>
      <c r="CX4" s="118"/>
      <c r="CY4" s="118"/>
      <c r="CZ4" s="118"/>
      <c r="DA4" s="118"/>
      <c r="DB4" s="119"/>
      <c r="DC4" s="117">
        <f>DC5</f>
        <v>45726</v>
      </c>
      <c r="DD4" s="118"/>
      <c r="DE4" s="118"/>
      <c r="DF4" s="118"/>
      <c r="DG4" s="118"/>
      <c r="DH4" s="118"/>
      <c r="DI4" s="119"/>
      <c r="DJ4" s="117">
        <f>DJ5</f>
        <v>45733</v>
      </c>
      <c r="DK4" s="118"/>
      <c r="DL4" s="118"/>
      <c r="DM4" s="118"/>
      <c r="DN4" s="118"/>
      <c r="DO4" s="118"/>
      <c r="DP4" s="119"/>
      <c r="DQ4" s="117">
        <f>DQ5</f>
        <v>45740</v>
      </c>
      <c r="DR4" s="118"/>
      <c r="DS4" s="118"/>
      <c r="DT4" s="118"/>
      <c r="DU4" s="118"/>
      <c r="DV4" s="118"/>
      <c r="DW4" s="119"/>
      <c r="DX4" s="117">
        <f>DX5</f>
        <v>45747</v>
      </c>
      <c r="DY4" s="118"/>
      <c r="DZ4" s="118"/>
      <c r="EA4" s="118"/>
      <c r="EB4" s="118"/>
      <c r="EC4" s="118"/>
      <c r="ED4" s="119"/>
      <c r="EE4" s="117">
        <f>EE5</f>
        <v>45754</v>
      </c>
      <c r="EF4" s="118"/>
      <c r="EG4" s="118"/>
      <c r="EH4" s="118"/>
      <c r="EI4" s="118"/>
      <c r="EJ4" s="118"/>
      <c r="EK4" s="119"/>
      <c r="EL4" s="117">
        <f>EL5</f>
        <v>45761</v>
      </c>
      <c r="EM4" s="118"/>
      <c r="EN4" s="118"/>
      <c r="EO4" s="118"/>
      <c r="EP4" s="118"/>
      <c r="EQ4" s="118"/>
      <c r="ER4" s="119"/>
      <c r="ES4" s="117">
        <f>ES5</f>
        <v>45768</v>
      </c>
      <c r="ET4" s="118"/>
      <c r="EU4" s="118"/>
      <c r="EV4" s="118"/>
      <c r="EW4" s="118"/>
      <c r="EX4" s="118"/>
      <c r="EY4" s="119"/>
      <c r="EZ4" s="117">
        <f>EZ5</f>
        <v>45775</v>
      </c>
      <c r="FA4" s="118"/>
      <c r="FB4" s="118"/>
      <c r="FC4" s="118"/>
      <c r="FD4" s="118"/>
      <c r="FE4" s="118"/>
      <c r="FF4" s="119"/>
      <c r="FG4" s="117">
        <f>FG5</f>
        <v>45782</v>
      </c>
      <c r="FH4" s="118"/>
      <c r="FI4" s="118"/>
      <c r="FJ4" s="118"/>
      <c r="FK4" s="118"/>
      <c r="FL4" s="118"/>
      <c r="FM4" s="119"/>
      <c r="FN4" s="117">
        <f>FN5</f>
        <v>45789</v>
      </c>
      <c r="FO4" s="118"/>
      <c r="FP4" s="118"/>
      <c r="FQ4" s="118"/>
      <c r="FR4" s="118"/>
      <c r="FS4" s="118"/>
      <c r="FT4" s="119"/>
      <c r="FU4" s="117">
        <f>FU5</f>
        <v>45796</v>
      </c>
      <c r="FV4" s="118"/>
      <c r="FW4" s="118"/>
      <c r="FX4" s="118"/>
      <c r="FY4" s="118"/>
      <c r="FZ4" s="118"/>
      <c r="GA4" s="119"/>
      <c r="GB4" s="117">
        <f>GB5</f>
        <v>45803</v>
      </c>
      <c r="GC4" s="118"/>
      <c r="GD4" s="118"/>
      <c r="GE4" s="118"/>
      <c r="GF4" s="118"/>
      <c r="GG4" s="118"/>
      <c r="GH4" s="119"/>
      <c r="GI4" s="117">
        <f>GI5</f>
        <v>45810</v>
      </c>
      <c r="GJ4" s="118"/>
      <c r="GK4" s="118"/>
      <c r="GL4" s="118"/>
      <c r="GM4" s="118"/>
      <c r="GN4" s="118"/>
      <c r="GO4" s="119"/>
      <c r="GP4" s="117">
        <f>GP5</f>
        <v>45817</v>
      </c>
      <c r="GQ4" s="118"/>
      <c r="GR4" s="118"/>
      <c r="GS4" s="118"/>
      <c r="GT4" s="118"/>
      <c r="GU4" s="118"/>
      <c r="GV4" s="119"/>
      <c r="GW4" s="117">
        <f>GW5</f>
        <v>45824</v>
      </c>
      <c r="GX4" s="118"/>
      <c r="GY4" s="118"/>
      <c r="GZ4" s="118"/>
      <c r="HA4" s="118"/>
      <c r="HB4" s="118"/>
      <c r="HC4" s="119"/>
      <c r="HD4" s="117">
        <f>HD5</f>
        <v>45831</v>
      </c>
      <c r="HE4" s="118"/>
      <c r="HF4" s="118"/>
      <c r="HG4" s="118"/>
      <c r="HH4" s="118"/>
      <c r="HI4" s="118"/>
      <c r="HJ4" s="119"/>
      <c r="HK4" s="117">
        <f>HK5</f>
        <v>45838</v>
      </c>
      <c r="HL4" s="118"/>
      <c r="HM4" s="118"/>
      <c r="HN4" s="118"/>
      <c r="HO4" s="118"/>
      <c r="HP4" s="118"/>
      <c r="HQ4" s="119"/>
      <c r="HR4" s="117">
        <f>HR5</f>
        <v>45845</v>
      </c>
      <c r="HS4" s="118"/>
      <c r="HT4" s="118"/>
      <c r="HU4" s="118"/>
      <c r="HV4" s="118"/>
      <c r="HW4" s="118"/>
      <c r="HX4" s="119"/>
      <c r="HY4" s="117">
        <f>HY5</f>
        <v>45852</v>
      </c>
      <c r="HZ4" s="118"/>
      <c r="IA4" s="118"/>
      <c r="IB4" s="118"/>
      <c r="IC4" s="118"/>
      <c r="ID4" s="118"/>
      <c r="IE4" s="119"/>
      <c r="IF4" s="117">
        <f>IF5</f>
        <v>45859</v>
      </c>
      <c r="IG4" s="118"/>
      <c r="IH4" s="118"/>
      <c r="II4" s="118"/>
      <c r="IJ4" s="118"/>
      <c r="IK4" s="118"/>
      <c r="IL4" s="119"/>
      <c r="IM4" s="117">
        <f>IM5</f>
        <v>45866</v>
      </c>
      <c r="IN4" s="118"/>
      <c r="IO4" s="118"/>
      <c r="IP4" s="118"/>
      <c r="IQ4" s="118"/>
      <c r="IR4" s="118"/>
      <c r="IS4" s="119"/>
    </row>
    <row r="5" spans="1:253" ht="15" customHeight="1">
      <c r="A5" s="24" t="s">
        <v>7</v>
      </c>
      <c r="B5" s="39"/>
      <c r="C5" s="39"/>
      <c r="D5" s="39"/>
      <c r="E5" s="39"/>
      <c r="F5" s="39"/>
      <c r="G5" s="39"/>
      <c r="I5" s="51">
        <f>Inizio_progetto-WEEKDAY(Inizio_progetto,1)+2+7*(Visualizza_settimana-1)</f>
        <v>45628</v>
      </c>
      <c r="J5" s="52">
        <f>I5+1</f>
        <v>45629</v>
      </c>
      <c r="K5" s="52">
        <f t="shared" ref="K5:AQ5" si="0">J5+1</f>
        <v>45630</v>
      </c>
      <c r="L5" s="52">
        <f t="shared" si="0"/>
        <v>45631</v>
      </c>
      <c r="M5" s="52">
        <f t="shared" si="0"/>
        <v>45632</v>
      </c>
      <c r="N5" s="52">
        <f t="shared" si="0"/>
        <v>45633</v>
      </c>
      <c r="O5" s="53">
        <f t="shared" si="0"/>
        <v>45634</v>
      </c>
      <c r="P5" s="51">
        <f>O5+1</f>
        <v>45635</v>
      </c>
      <c r="Q5" s="52">
        <f>P5+1</f>
        <v>45636</v>
      </c>
      <c r="R5" s="52">
        <f t="shared" si="0"/>
        <v>45637</v>
      </c>
      <c r="S5" s="52">
        <f t="shared" si="0"/>
        <v>45638</v>
      </c>
      <c r="T5" s="52">
        <f t="shared" si="0"/>
        <v>45639</v>
      </c>
      <c r="U5" s="52">
        <f t="shared" si="0"/>
        <v>45640</v>
      </c>
      <c r="V5" s="53">
        <f t="shared" si="0"/>
        <v>45641</v>
      </c>
      <c r="W5" s="51">
        <f>V5+1</f>
        <v>45642</v>
      </c>
      <c r="X5" s="52">
        <f>W5+1</f>
        <v>45643</v>
      </c>
      <c r="Y5" s="52">
        <f t="shared" si="0"/>
        <v>45644</v>
      </c>
      <c r="Z5" s="52">
        <f t="shared" si="0"/>
        <v>45645</v>
      </c>
      <c r="AA5" s="52">
        <f t="shared" si="0"/>
        <v>45646</v>
      </c>
      <c r="AB5" s="52">
        <f t="shared" si="0"/>
        <v>45647</v>
      </c>
      <c r="AC5" s="53">
        <f t="shared" si="0"/>
        <v>45648</v>
      </c>
      <c r="AD5" s="51">
        <f>AC5+1</f>
        <v>45649</v>
      </c>
      <c r="AE5" s="52">
        <f>AD5+1</f>
        <v>45650</v>
      </c>
      <c r="AF5" s="52">
        <f t="shared" si="0"/>
        <v>45651</v>
      </c>
      <c r="AG5" s="52">
        <f t="shared" si="0"/>
        <v>45652</v>
      </c>
      <c r="AH5" s="52">
        <f t="shared" si="0"/>
        <v>45653</v>
      </c>
      <c r="AI5" s="52">
        <f t="shared" si="0"/>
        <v>45654</v>
      </c>
      <c r="AJ5" s="53">
        <f t="shared" si="0"/>
        <v>45655</v>
      </c>
      <c r="AK5" s="51">
        <f>AJ5+1</f>
        <v>45656</v>
      </c>
      <c r="AL5" s="52">
        <f>AK5+1</f>
        <v>45657</v>
      </c>
      <c r="AM5" s="52">
        <f t="shared" si="0"/>
        <v>45658</v>
      </c>
      <c r="AN5" s="52">
        <f t="shared" si="0"/>
        <v>45659</v>
      </c>
      <c r="AO5" s="52">
        <f t="shared" si="0"/>
        <v>45660</v>
      </c>
      <c r="AP5" s="52">
        <f t="shared" si="0"/>
        <v>45661</v>
      </c>
      <c r="AQ5" s="53">
        <f t="shared" si="0"/>
        <v>45662</v>
      </c>
      <c r="AR5" s="51">
        <f>AQ5+1</f>
        <v>45663</v>
      </c>
      <c r="AS5" s="52">
        <f>AR5+1</f>
        <v>45664</v>
      </c>
      <c r="AT5" s="52">
        <f t="shared" ref="AT5" si="1">AS5+1</f>
        <v>45665</v>
      </c>
      <c r="AU5" s="52">
        <f t="shared" ref="AU5" si="2">AT5+1</f>
        <v>45666</v>
      </c>
      <c r="AV5" s="52">
        <f t="shared" ref="AV5" si="3">AU5+1</f>
        <v>45667</v>
      </c>
      <c r="AW5" s="52">
        <f t="shared" ref="AW5" si="4">AV5+1</f>
        <v>45668</v>
      </c>
      <c r="AX5" s="53">
        <f>AW5+1</f>
        <v>45669</v>
      </c>
      <c r="AY5" s="51">
        <f>AX5+1</f>
        <v>45670</v>
      </c>
      <c r="AZ5" s="52">
        <f>AY5+1</f>
        <v>45671</v>
      </c>
      <c r="BA5" s="52">
        <f t="shared" ref="BA5" si="5">AZ5+1</f>
        <v>45672</v>
      </c>
      <c r="BB5" s="52">
        <f t="shared" ref="BB5" si="6">BA5+1</f>
        <v>45673</v>
      </c>
      <c r="BC5" s="52">
        <f t="shared" ref="BC5" si="7">BB5+1</f>
        <v>45674</v>
      </c>
      <c r="BD5" s="52">
        <f t="shared" ref="BD5" si="8">BC5+1</f>
        <v>45675</v>
      </c>
      <c r="BE5" s="53">
        <f t="shared" ref="BE5" si="9">BD5+1</f>
        <v>45676</v>
      </c>
      <c r="BF5" s="51">
        <f>BE5+1</f>
        <v>45677</v>
      </c>
      <c r="BG5" s="52">
        <f>BF5+1</f>
        <v>45678</v>
      </c>
      <c r="BH5" s="52">
        <f t="shared" ref="BH5" si="10">BG5+1</f>
        <v>45679</v>
      </c>
      <c r="BI5" s="52">
        <f t="shared" ref="BI5" si="11">BH5+1</f>
        <v>45680</v>
      </c>
      <c r="BJ5" s="52">
        <f t="shared" ref="BJ5" si="12">BI5+1</f>
        <v>45681</v>
      </c>
      <c r="BK5" s="52">
        <f t="shared" ref="BK5" si="13">BJ5+1</f>
        <v>45682</v>
      </c>
      <c r="BL5" s="53">
        <f t="shared" ref="BL5" si="14">BK5+1</f>
        <v>45683</v>
      </c>
      <c r="BM5" s="51">
        <f>BL5+1</f>
        <v>45684</v>
      </c>
      <c r="BN5" s="52">
        <f>BM5+1</f>
        <v>45685</v>
      </c>
      <c r="BO5" s="52">
        <f t="shared" ref="BO5" si="15">BN5+1</f>
        <v>45686</v>
      </c>
      <c r="BP5" s="52">
        <f t="shared" ref="BP5" si="16">BO5+1</f>
        <v>45687</v>
      </c>
      <c r="BQ5" s="52">
        <f t="shared" ref="BQ5" si="17">BP5+1</f>
        <v>45688</v>
      </c>
      <c r="BR5" s="52">
        <f t="shared" ref="BR5" si="18">BQ5+1</f>
        <v>45689</v>
      </c>
      <c r="BS5" s="53">
        <f t="shared" ref="BS5" si="19">BR5+1</f>
        <v>45690</v>
      </c>
      <c r="BT5" s="51">
        <f>BS5+1</f>
        <v>45691</v>
      </c>
      <c r="BU5" s="52">
        <f>BT5+1</f>
        <v>45692</v>
      </c>
      <c r="BV5" s="52">
        <f t="shared" ref="BV5" si="20">BU5+1</f>
        <v>45693</v>
      </c>
      <c r="BW5" s="52">
        <f t="shared" ref="BW5" si="21">BV5+1</f>
        <v>45694</v>
      </c>
      <c r="BX5" s="52">
        <f t="shared" ref="BX5" si="22">BW5+1</f>
        <v>45695</v>
      </c>
      <c r="BY5" s="52">
        <f t="shared" ref="BY5" si="23">BX5+1</f>
        <v>45696</v>
      </c>
      <c r="BZ5" s="53">
        <f>BY5+1</f>
        <v>45697</v>
      </c>
      <c r="CA5" s="51">
        <f>BZ5+1</f>
        <v>45698</v>
      </c>
      <c r="CB5" s="52">
        <f>CA5+1</f>
        <v>45699</v>
      </c>
      <c r="CC5" s="52">
        <f t="shared" ref="CC5" si="24">CB5+1</f>
        <v>45700</v>
      </c>
      <c r="CD5" s="52">
        <f t="shared" ref="CD5" si="25">CC5+1</f>
        <v>45701</v>
      </c>
      <c r="CE5" s="52">
        <f t="shared" ref="CE5" si="26">CD5+1</f>
        <v>45702</v>
      </c>
      <c r="CF5" s="52">
        <f t="shared" ref="CF5" si="27">CE5+1</f>
        <v>45703</v>
      </c>
      <c r="CG5" s="53">
        <f t="shared" ref="CG5" si="28">CF5+1</f>
        <v>45704</v>
      </c>
      <c r="CH5" s="51">
        <f>CG5+1</f>
        <v>45705</v>
      </c>
      <c r="CI5" s="52">
        <f>CH5+1</f>
        <v>45706</v>
      </c>
      <c r="CJ5" s="52">
        <f t="shared" ref="CJ5" si="29">CI5+1</f>
        <v>45707</v>
      </c>
      <c r="CK5" s="52">
        <f t="shared" ref="CK5" si="30">CJ5+1</f>
        <v>45708</v>
      </c>
      <c r="CL5" s="52">
        <f t="shared" ref="CL5" si="31">CK5+1</f>
        <v>45709</v>
      </c>
      <c r="CM5" s="52">
        <f t="shared" ref="CM5" si="32">CL5+1</f>
        <v>45710</v>
      </c>
      <c r="CN5" s="53">
        <f t="shared" ref="CN5" si="33">CM5+1</f>
        <v>45711</v>
      </c>
      <c r="CO5" s="51">
        <f>CN5+1</f>
        <v>45712</v>
      </c>
      <c r="CP5" s="52">
        <f>CO5+1</f>
        <v>45713</v>
      </c>
      <c r="CQ5" s="52">
        <f t="shared" ref="CQ5" si="34">CP5+1</f>
        <v>45714</v>
      </c>
      <c r="CR5" s="52">
        <f t="shared" ref="CR5" si="35">CQ5+1</f>
        <v>45715</v>
      </c>
      <c r="CS5" s="52">
        <f t="shared" ref="CS5" si="36">CR5+1</f>
        <v>45716</v>
      </c>
      <c r="CT5" s="52">
        <f t="shared" ref="CT5" si="37">CS5+1</f>
        <v>45717</v>
      </c>
      <c r="CU5" s="53">
        <f t="shared" ref="CU5" si="38">CT5+1</f>
        <v>45718</v>
      </c>
      <c r="CV5" s="51">
        <f>CU5+1</f>
        <v>45719</v>
      </c>
      <c r="CW5" s="52">
        <f>CV5+1</f>
        <v>45720</v>
      </c>
      <c r="CX5" s="52">
        <f t="shared" ref="CX5" si="39">CW5+1</f>
        <v>45721</v>
      </c>
      <c r="CY5" s="52">
        <f t="shared" ref="CY5" si="40">CX5+1</f>
        <v>45722</v>
      </c>
      <c r="CZ5" s="52">
        <f t="shared" ref="CZ5" si="41">CY5+1</f>
        <v>45723</v>
      </c>
      <c r="DA5" s="52">
        <f t="shared" ref="DA5" si="42">CZ5+1</f>
        <v>45724</v>
      </c>
      <c r="DB5" s="53">
        <f>DA5+1</f>
        <v>45725</v>
      </c>
      <c r="DC5" s="51">
        <f>DB5+1</f>
        <v>45726</v>
      </c>
      <c r="DD5" s="52">
        <f>DC5+1</f>
        <v>45727</v>
      </c>
      <c r="DE5" s="52">
        <f t="shared" ref="DE5" si="43">DD5+1</f>
        <v>45728</v>
      </c>
      <c r="DF5" s="52">
        <f t="shared" ref="DF5" si="44">DE5+1</f>
        <v>45729</v>
      </c>
      <c r="DG5" s="52">
        <f t="shared" ref="DG5" si="45">DF5+1</f>
        <v>45730</v>
      </c>
      <c r="DH5" s="52">
        <f t="shared" ref="DH5" si="46">DG5+1</f>
        <v>45731</v>
      </c>
      <c r="DI5" s="53">
        <f t="shared" ref="DI5" si="47">DH5+1</f>
        <v>45732</v>
      </c>
      <c r="DJ5" s="51">
        <f>DI5+1</f>
        <v>45733</v>
      </c>
      <c r="DK5" s="52">
        <f>DJ5+1</f>
        <v>45734</v>
      </c>
      <c r="DL5" s="52">
        <f t="shared" ref="DL5" si="48">DK5+1</f>
        <v>45735</v>
      </c>
      <c r="DM5" s="52">
        <f t="shared" ref="DM5" si="49">DL5+1</f>
        <v>45736</v>
      </c>
      <c r="DN5" s="52">
        <f t="shared" ref="DN5" si="50">DM5+1</f>
        <v>45737</v>
      </c>
      <c r="DO5" s="52">
        <f t="shared" ref="DO5" si="51">DN5+1</f>
        <v>45738</v>
      </c>
      <c r="DP5" s="53">
        <f t="shared" ref="DP5" si="52">DO5+1</f>
        <v>45739</v>
      </c>
      <c r="DQ5" s="51">
        <f>DP5+1</f>
        <v>45740</v>
      </c>
      <c r="DR5" s="52">
        <f>DQ5+1</f>
        <v>45741</v>
      </c>
      <c r="DS5" s="52">
        <f t="shared" ref="DS5" si="53">DR5+1</f>
        <v>45742</v>
      </c>
      <c r="DT5" s="52">
        <f t="shared" ref="DT5" si="54">DS5+1</f>
        <v>45743</v>
      </c>
      <c r="DU5" s="52">
        <f t="shared" ref="DU5" si="55">DT5+1</f>
        <v>45744</v>
      </c>
      <c r="DV5" s="52">
        <f t="shared" ref="DV5" si="56">DU5+1</f>
        <v>45745</v>
      </c>
      <c r="DW5" s="53">
        <f t="shared" ref="DW5" si="57">DV5+1</f>
        <v>45746</v>
      </c>
      <c r="DX5" s="51">
        <f>DW5+1</f>
        <v>45747</v>
      </c>
      <c r="DY5" s="52">
        <f>DX5+1</f>
        <v>45748</v>
      </c>
      <c r="DZ5" s="52">
        <f t="shared" ref="DZ5" si="58">DY5+1</f>
        <v>45749</v>
      </c>
      <c r="EA5" s="52">
        <f t="shared" ref="EA5" si="59">DZ5+1</f>
        <v>45750</v>
      </c>
      <c r="EB5" s="52">
        <f t="shared" ref="EB5" si="60">EA5+1</f>
        <v>45751</v>
      </c>
      <c r="EC5" s="52">
        <f t="shared" ref="EC5" si="61">EB5+1</f>
        <v>45752</v>
      </c>
      <c r="ED5" s="53">
        <f>EC5+1</f>
        <v>45753</v>
      </c>
      <c r="EE5" s="51">
        <f>ED5+1</f>
        <v>45754</v>
      </c>
      <c r="EF5" s="52">
        <f>EE5+1</f>
        <v>45755</v>
      </c>
      <c r="EG5" s="52">
        <f t="shared" ref="EG5" si="62">EF5+1</f>
        <v>45756</v>
      </c>
      <c r="EH5" s="52">
        <f t="shared" ref="EH5" si="63">EG5+1</f>
        <v>45757</v>
      </c>
      <c r="EI5" s="52">
        <f t="shared" ref="EI5" si="64">EH5+1</f>
        <v>45758</v>
      </c>
      <c r="EJ5" s="52">
        <f t="shared" ref="EJ5" si="65">EI5+1</f>
        <v>45759</v>
      </c>
      <c r="EK5" s="53">
        <f t="shared" ref="EK5" si="66">EJ5+1</f>
        <v>45760</v>
      </c>
      <c r="EL5" s="51">
        <f>EK5+1</f>
        <v>45761</v>
      </c>
      <c r="EM5" s="52">
        <f>EL5+1</f>
        <v>45762</v>
      </c>
      <c r="EN5" s="52">
        <f t="shared" ref="EN5" si="67">EM5+1</f>
        <v>45763</v>
      </c>
      <c r="EO5" s="52">
        <f t="shared" ref="EO5" si="68">EN5+1</f>
        <v>45764</v>
      </c>
      <c r="EP5" s="52">
        <f t="shared" ref="EP5" si="69">EO5+1</f>
        <v>45765</v>
      </c>
      <c r="EQ5" s="52">
        <f t="shared" ref="EQ5" si="70">EP5+1</f>
        <v>45766</v>
      </c>
      <c r="ER5" s="53">
        <f t="shared" ref="ER5" si="71">EQ5+1</f>
        <v>45767</v>
      </c>
      <c r="ES5" s="51">
        <f>ER5+1</f>
        <v>45768</v>
      </c>
      <c r="ET5" s="52">
        <f>ES5+1</f>
        <v>45769</v>
      </c>
      <c r="EU5" s="52">
        <f t="shared" ref="EU5" si="72">ET5+1</f>
        <v>45770</v>
      </c>
      <c r="EV5" s="52">
        <f t="shared" ref="EV5" si="73">EU5+1</f>
        <v>45771</v>
      </c>
      <c r="EW5" s="52">
        <f t="shared" ref="EW5" si="74">EV5+1</f>
        <v>45772</v>
      </c>
      <c r="EX5" s="52">
        <f t="shared" ref="EX5" si="75">EW5+1</f>
        <v>45773</v>
      </c>
      <c r="EY5" s="53">
        <f>EX5+1</f>
        <v>45774</v>
      </c>
      <c r="EZ5" s="51">
        <f>EY5+1</f>
        <v>45775</v>
      </c>
      <c r="FA5" s="52">
        <f>EZ5+1</f>
        <v>45776</v>
      </c>
      <c r="FB5" s="52">
        <f t="shared" ref="FB5" si="76">FA5+1</f>
        <v>45777</v>
      </c>
      <c r="FC5" s="52">
        <f t="shared" ref="FC5" si="77">FB5+1</f>
        <v>45778</v>
      </c>
      <c r="FD5" s="52">
        <f t="shared" ref="FD5" si="78">FC5+1</f>
        <v>45779</v>
      </c>
      <c r="FE5" s="52">
        <f t="shared" ref="FE5" si="79">FD5+1</f>
        <v>45780</v>
      </c>
      <c r="FF5" s="53">
        <f t="shared" ref="FF5" si="80">FE5+1</f>
        <v>45781</v>
      </c>
      <c r="FG5" s="51">
        <f>FF5+1</f>
        <v>45782</v>
      </c>
      <c r="FH5" s="52">
        <f>FG5+1</f>
        <v>45783</v>
      </c>
      <c r="FI5" s="52">
        <f t="shared" ref="FI5" si="81">FH5+1</f>
        <v>45784</v>
      </c>
      <c r="FJ5" s="52">
        <f t="shared" ref="FJ5" si="82">FI5+1</f>
        <v>45785</v>
      </c>
      <c r="FK5" s="52">
        <f t="shared" ref="FK5" si="83">FJ5+1</f>
        <v>45786</v>
      </c>
      <c r="FL5" s="52">
        <f t="shared" ref="FL5" si="84">FK5+1</f>
        <v>45787</v>
      </c>
      <c r="FM5" s="53">
        <f t="shared" ref="FM5" si="85">FL5+1</f>
        <v>45788</v>
      </c>
      <c r="FN5" s="51">
        <f>FM5+1</f>
        <v>45789</v>
      </c>
      <c r="FO5" s="52">
        <f>FN5+1</f>
        <v>45790</v>
      </c>
      <c r="FP5" s="52">
        <f t="shared" ref="FP5" si="86">FO5+1</f>
        <v>45791</v>
      </c>
      <c r="FQ5" s="52">
        <f t="shared" ref="FQ5" si="87">FP5+1</f>
        <v>45792</v>
      </c>
      <c r="FR5" s="52">
        <f t="shared" ref="FR5" si="88">FQ5+1</f>
        <v>45793</v>
      </c>
      <c r="FS5" s="52">
        <f t="shared" ref="FS5" si="89">FR5+1</f>
        <v>45794</v>
      </c>
      <c r="FT5" s="53">
        <f t="shared" ref="FT5" si="90">FS5+1</f>
        <v>45795</v>
      </c>
      <c r="FU5" s="51">
        <f>FT5+1</f>
        <v>45796</v>
      </c>
      <c r="FV5" s="52">
        <f>FU5+1</f>
        <v>45797</v>
      </c>
      <c r="FW5" s="52">
        <f t="shared" ref="FW5" si="91">FV5+1</f>
        <v>45798</v>
      </c>
      <c r="FX5" s="52">
        <f t="shared" ref="FX5" si="92">FW5+1</f>
        <v>45799</v>
      </c>
      <c r="FY5" s="52">
        <f t="shared" ref="FY5" si="93">FX5+1</f>
        <v>45800</v>
      </c>
      <c r="FZ5" s="52">
        <f t="shared" ref="FZ5" si="94">FY5+1</f>
        <v>45801</v>
      </c>
      <c r="GA5" s="53">
        <f>FZ5+1</f>
        <v>45802</v>
      </c>
      <c r="GB5" s="51">
        <f>GA5+1</f>
        <v>45803</v>
      </c>
      <c r="GC5" s="52">
        <f>GB5+1</f>
        <v>45804</v>
      </c>
      <c r="GD5" s="52">
        <f t="shared" ref="GD5" si="95">GC5+1</f>
        <v>45805</v>
      </c>
      <c r="GE5" s="52">
        <f t="shared" ref="GE5" si="96">GD5+1</f>
        <v>45806</v>
      </c>
      <c r="GF5" s="52">
        <f t="shared" ref="GF5" si="97">GE5+1</f>
        <v>45807</v>
      </c>
      <c r="GG5" s="52">
        <f t="shared" ref="GG5" si="98">GF5+1</f>
        <v>45808</v>
      </c>
      <c r="GH5" s="53">
        <f t="shared" ref="GH5" si="99">GG5+1</f>
        <v>45809</v>
      </c>
      <c r="GI5" s="51">
        <f>GH5+1</f>
        <v>45810</v>
      </c>
      <c r="GJ5" s="52">
        <f>GI5+1</f>
        <v>45811</v>
      </c>
      <c r="GK5" s="52">
        <f t="shared" ref="GK5" si="100">GJ5+1</f>
        <v>45812</v>
      </c>
      <c r="GL5" s="52">
        <f t="shared" ref="GL5" si="101">GK5+1</f>
        <v>45813</v>
      </c>
      <c r="GM5" s="52">
        <f t="shared" ref="GM5" si="102">GL5+1</f>
        <v>45814</v>
      </c>
      <c r="GN5" s="52">
        <f t="shared" ref="GN5" si="103">GM5+1</f>
        <v>45815</v>
      </c>
      <c r="GO5" s="53">
        <f t="shared" ref="GO5" si="104">GN5+1</f>
        <v>45816</v>
      </c>
      <c r="GP5" s="51">
        <f>GO5+1</f>
        <v>45817</v>
      </c>
      <c r="GQ5" s="52">
        <f>GP5+1</f>
        <v>45818</v>
      </c>
      <c r="GR5" s="52">
        <f t="shared" ref="GR5" si="105">GQ5+1</f>
        <v>45819</v>
      </c>
      <c r="GS5" s="52">
        <f t="shared" ref="GS5" si="106">GR5+1</f>
        <v>45820</v>
      </c>
      <c r="GT5" s="52">
        <f t="shared" ref="GT5" si="107">GS5+1</f>
        <v>45821</v>
      </c>
      <c r="GU5" s="52">
        <f t="shared" ref="GU5" si="108">GT5+1</f>
        <v>45822</v>
      </c>
      <c r="GV5" s="53">
        <f t="shared" ref="GV5" si="109">GU5+1</f>
        <v>45823</v>
      </c>
      <c r="GW5" s="51">
        <f>GV5+1</f>
        <v>45824</v>
      </c>
      <c r="GX5" s="52">
        <f>GW5+1</f>
        <v>45825</v>
      </c>
      <c r="GY5" s="52">
        <f t="shared" ref="GY5" si="110">GX5+1</f>
        <v>45826</v>
      </c>
      <c r="GZ5" s="52">
        <f t="shared" ref="GZ5" si="111">GY5+1</f>
        <v>45827</v>
      </c>
      <c r="HA5" s="52">
        <f t="shared" ref="HA5" si="112">GZ5+1</f>
        <v>45828</v>
      </c>
      <c r="HB5" s="52">
        <f t="shared" ref="HB5" si="113">HA5+1</f>
        <v>45829</v>
      </c>
      <c r="HC5" s="53">
        <f>HB5+1</f>
        <v>45830</v>
      </c>
      <c r="HD5" s="51">
        <f>HC5+1</f>
        <v>45831</v>
      </c>
      <c r="HE5" s="52">
        <f>HD5+1</f>
        <v>45832</v>
      </c>
      <c r="HF5" s="52">
        <f t="shared" ref="HF5" si="114">HE5+1</f>
        <v>45833</v>
      </c>
      <c r="HG5" s="52">
        <f t="shared" ref="HG5" si="115">HF5+1</f>
        <v>45834</v>
      </c>
      <c r="HH5" s="52">
        <f t="shared" ref="HH5" si="116">HG5+1</f>
        <v>45835</v>
      </c>
      <c r="HI5" s="52">
        <f t="shared" ref="HI5" si="117">HH5+1</f>
        <v>45836</v>
      </c>
      <c r="HJ5" s="53">
        <f t="shared" ref="HJ5" si="118">HI5+1</f>
        <v>45837</v>
      </c>
      <c r="HK5" s="51">
        <f>HJ5+1</f>
        <v>45838</v>
      </c>
      <c r="HL5" s="52">
        <f>HK5+1</f>
        <v>45839</v>
      </c>
      <c r="HM5" s="52">
        <f t="shared" ref="HM5" si="119">HL5+1</f>
        <v>45840</v>
      </c>
      <c r="HN5" s="52">
        <f t="shared" ref="HN5" si="120">HM5+1</f>
        <v>45841</v>
      </c>
      <c r="HO5" s="52">
        <f t="shared" ref="HO5" si="121">HN5+1</f>
        <v>45842</v>
      </c>
      <c r="HP5" s="52">
        <f t="shared" ref="HP5" si="122">HO5+1</f>
        <v>45843</v>
      </c>
      <c r="HQ5" s="53">
        <f t="shared" ref="HQ5" si="123">HP5+1</f>
        <v>45844</v>
      </c>
      <c r="HR5" s="51">
        <f>HQ5+1</f>
        <v>45845</v>
      </c>
      <c r="HS5" s="52">
        <f>HR5+1</f>
        <v>45846</v>
      </c>
      <c r="HT5" s="52">
        <f t="shared" ref="HT5" si="124">HS5+1</f>
        <v>45847</v>
      </c>
      <c r="HU5" s="52">
        <f t="shared" ref="HU5" si="125">HT5+1</f>
        <v>45848</v>
      </c>
      <c r="HV5" s="52">
        <f t="shared" ref="HV5" si="126">HU5+1</f>
        <v>45849</v>
      </c>
      <c r="HW5" s="52">
        <f t="shared" ref="HW5" si="127">HV5+1</f>
        <v>45850</v>
      </c>
      <c r="HX5" s="53">
        <f t="shared" ref="HX5" si="128">HW5+1</f>
        <v>45851</v>
      </c>
      <c r="HY5" s="51">
        <f>HX5+1</f>
        <v>45852</v>
      </c>
      <c r="HZ5" s="52">
        <f>HY5+1</f>
        <v>45853</v>
      </c>
      <c r="IA5" s="52">
        <f t="shared" ref="IA5" si="129">HZ5+1</f>
        <v>45854</v>
      </c>
      <c r="IB5" s="52">
        <f t="shared" ref="IB5" si="130">IA5+1</f>
        <v>45855</v>
      </c>
      <c r="IC5" s="52">
        <f t="shared" ref="IC5" si="131">IB5+1</f>
        <v>45856</v>
      </c>
      <c r="ID5" s="52">
        <f t="shared" ref="ID5" si="132">IC5+1</f>
        <v>45857</v>
      </c>
      <c r="IE5" s="53">
        <f>ID5+1</f>
        <v>45858</v>
      </c>
      <c r="IF5" s="51">
        <f>IE5+1</f>
        <v>45859</v>
      </c>
      <c r="IG5" s="52">
        <f>IF5+1</f>
        <v>45860</v>
      </c>
      <c r="IH5" s="52">
        <f t="shared" ref="IH5" si="133">IG5+1</f>
        <v>45861</v>
      </c>
      <c r="II5" s="52">
        <f t="shared" ref="II5" si="134">IH5+1</f>
        <v>45862</v>
      </c>
      <c r="IJ5" s="52">
        <f t="shared" ref="IJ5" si="135">II5+1</f>
        <v>45863</v>
      </c>
      <c r="IK5" s="52">
        <f t="shared" ref="IK5" si="136">IJ5+1</f>
        <v>45864</v>
      </c>
      <c r="IL5" s="53">
        <f t="shared" ref="IL5" si="137">IK5+1</f>
        <v>45865</v>
      </c>
      <c r="IM5" s="51">
        <f>IL5+1</f>
        <v>45866</v>
      </c>
      <c r="IN5" s="52">
        <f>IM5+1</f>
        <v>45867</v>
      </c>
      <c r="IO5" s="52">
        <f t="shared" ref="IO5" si="138">IN5+1</f>
        <v>45868</v>
      </c>
      <c r="IP5" s="52">
        <f t="shared" ref="IP5" si="139">IO5+1</f>
        <v>45869</v>
      </c>
      <c r="IQ5" s="52">
        <f t="shared" ref="IQ5" si="140">IP5+1</f>
        <v>45870</v>
      </c>
      <c r="IR5" s="52">
        <f t="shared" ref="IR5" si="141">IQ5+1</f>
        <v>45871</v>
      </c>
      <c r="IS5" s="53">
        <f t="shared" ref="IS5" si="142">IR5+1</f>
        <v>45872</v>
      </c>
    </row>
    <row r="6" spans="1:253" ht="30" customHeight="1" thickBot="1">
      <c r="A6" s="24" t="s">
        <v>8</v>
      </c>
      <c r="B6" s="7" t="s">
        <v>9</v>
      </c>
      <c r="C6" s="8"/>
      <c r="D6" s="8"/>
      <c r="E6" s="8" t="s">
        <v>10</v>
      </c>
      <c r="F6" s="8" t="s">
        <v>11</v>
      </c>
      <c r="G6" s="8"/>
      <c r="H6" s="8" t="s">
        <v>12</v>
      </c>
      <c r="I6" s="9" t="str">
        <f t="shared" ref="I6:AN6" si="143">LEFT(TEXT(I5,"ggg"),1)</f>
        <v>l</v>
      </c>
      <c r="J6" s="9" t="str">
        <f t="shared" si="143"/>
        <v>m</v>
      </c>
      <c r="K6" s="9" t="str">
        <f t="shared" si="143"/>
        <v>m</v>
      </c>
      <c r="L6" s="9" t="str">
        <f t="shared" si="143"/>
        <v>g</v>
      </c>
      <c r="M6" s="9" t="str">
        <f t="shared" si="143"/>
        <v>v</v>
      </c>
      <c r="N6" s="9" t="str">
        <f t="shared" si="143"/>
        <v>s</v>
      </c>
      <c r="O6" s="9" t="str">
        <f t="shared" si="143"/>
        <v>d</v>
      </c>
      <c r="P6" s="9" t="str">
        <f t="shared" si="143"/>
        <v>l</v>
      </c>
      <c r="Q6" s="9" t="str">
        <f t="shared" si="143"/>
        <v>m</v>
      </c>
      <c r="R6" s="9" t="str">
        <f t="shared" si="143"/>
        <v>m</v>
      </c>
      <c r="S6" s="9" t="str">
        <f t="shared" si="143"/>
        <v>g</v>
      </c>
      <c r="T6" s="9" t="str">
        <f t="shared" si="143"/>
        <v>v</v>
      </c>
      <c r="U6" s="9" t="str">
        <f t="shared" si="143"/>
        <v>s</v>
      </c>
      <c r="V6" s="9" t="str">
        <f t="shared" si="143"/>
        <v>d</v>
      </c>
      <c r="W6" s="9" t="str">
        <f t="shared" si="143"/>
        <v>l</v>
      </c>
      <c r="X6" s="9" t="str">
        <f t="shared" si="143"/>
        <v>m</v>
      </c>
      <c r="Y6" s="9" t="str">
        <f t="shared" si="143"/>
        <v>m</v>
      </c>
      <c r="Z6" s="9" t="str">
        <f t="shared" si="143"/>
        <v>g</v>
      </c>
      <c r="AA6" s="9" t="str">
        <f t="shared" si="143"/>
        <v>v</v>
      </c>
      <c r="AB6" s="9" t="str">
        <f t="shared" si="143"/>
        <v>s</v>
      </c>
      <c r="AC6" s="9" t="str">
        <f t="shared" si="143"/>
        <v>d</v>
      </c>
      <c r="AD6" s="9" t="str">
        <f t="shared" si="143"/>
        <v>l</v>
      </c>
      <c r="AE6" s="9" t="str">
        <f t="shared" si="143"/>
        <v>m</v>
      </c>
      <c r="AF6" s="9" t="str">
        <f t="shared" si="143"/>
        <v>m</v>
      </c>
      <c r="AG6" s="9" t="str">
        <f t="shared" si="143"/>
        <v>g</v>
      </c>
      <c r="AH6" s="9" t="str">
        <f t="shared" si="143"/>
        <v>v</v>
      </c>
      <c r="AI6" s="9" t="str">
        <f t="shared" si="143"/>
        <v>s</v>
      </c>
      <c r="AJ6" s="9" t="str">
        <f t="shared" si="143"/>
        <v>d</v>
      </c>
      <c r="AK6" s="9" t="str">
        <f>LEFT(TEXT(AK5,"ggg"),1)</f>
        <v>l</v>
      </c>
      <c r="AL6" s="9" t="str">
        <f t="shared" si="143"/>
        <v>m</v>
      </c>
      <c r="AM6" s="9" t="str">
        <f t="shared" si="143"/>
        <v>m</v>
      </c>
      <c r="AN6" s="9" t="str">
        <f t="shared" si="143"/>
        <v>g</v>
      </c>
      <c r="AO6" s="9" t="str">
        <f t="shared" ref="AO6:AQ6" si="144">LEFT(TEXT(AO5,"ggg"),1)</f>
        <v>v</v>
      </c>
      <c r="AP6" s="9" t="str">
        <f t="shared" si="144"/>
        <v>s</v>
      </c>
      <c r="AQ6" s="9" t="str">
        <f t="shared" si="144"/>
        <v>d</v>
      </c>
      <c r="AR6" s="9" t="str">
        <f>LEFT(TEXT(AR5,"ggg"),1)</f>
        <v>l</v>
      </c>
      <c r="AS6" s="9" t="str">
        <f t="shared" ref="AS6:AX6" si="145">LEFT(TEXT(AS5,"ggg"),1)</f>
        <v>m</v>
      </c>
      <c r="AT6" s="9" t="str">
        <f t="shared" si="145"/>
        <v>m</v>
      </c>
      <c r="AU6" s="9" t="str">
        <f t="shared" si="145"/>
        <v>g</v>
      </c>
      <c r="AV6" s="9" t="str">
        <f t="shared" si="145"/>
        <v>v</v>
      </c>
      <c r="AW6" s="9" t="str">
        <f t="shared" si="145"/>
        <v>s</v>
      </c>
      <c r="AX6" s="9" t="str">
        <f t="shared" si="145"/>
        <v>d</v>
      </c>
      <c r="AY6" s="9" t="str">
        <f>LEFT(TEXT(AY5,"ggg"),1)</f>
        <v>l</v>
      </c>
      <c r="AZ6" s="9" t="str">
        <f t="shared" ref="AZ6:BE6" si="146">LEFT(TEXT(AZ5,"ggg"),1)</f>
        <v>m</v>
      </c>
      <c r="BA6" s="9" t="str">
        <f t="shared" si="146"/>
        <v>m</v>
      </c>
      <c r="BB6" s="9" t="str">
        <f t="shared" si="146"/>
        <v>g</v>
      </c>
      <c r="BC6" s="9" t="str">
        <f t="shared" si="146"/>
        <v>v</v>
      </c>
      <c r="BD6" s="9" t="str">
        <f t="shared" si="146"/>
        <v>s</v>
      </c>
      <c r="BE6" s="9" t="str">
        <f t="shared" si="146"/>
        <v>d</v>
      </c>
      <c r="BF6" s="9" t="str">
        <f>LEFT(TEXT(BF5,"ggg"),1)</f>
        <v>l</v>
      </c>
      <c r="BG6" s="9" t="str">
        <f t="shared" ref="BG6:BL6" si="147">LEFT(TEXT(BG5,"ggg"),1)</f>
        <v>m</v>
      </c>
      <c r="BH6" s="9" t="str">
        <f t="shared" si="147"/>
        <v>m</v>
      </c>
      <c r="BI6" s="9" t="str">
        <f t="shared" si="147"/>
        <v>g</v>
      </c>
      <c r="BJ6" s="9" t="str">
        <f t="shared" si="147"/>
        <v>v</v>
      </c>
      <c r="BK6" s="9" t="str">
        <f t="shared" si="147"/>
        <v>s</v>
      </c>
      <c r="BL6" s="9" t="str">
        <f t="shared" si="147"/>
        <v>d</v>
      </c>
      <c r="BM6" s="9" t="str">
        <f>LEFT(TEXT(BM5,"ggg"),1)</f>
        <v>l</v>
      </c>
      <c r="BN6" s="9" t="str">
        <f t="shared" ref="BN6:BS6" si="148">LEFT(TEXT(BN5,"ggg"),1)</f>
        <v>m</v>
      </c>
      <c r="BO6" s="9" t="str">
        <f t="shared" si="148"/>
        <v>m</v>
      </c>
      <c r="BP6" s="9" t="str">
        <f t="shared" si="148"/>
        <v>g</v>
      </c>
      <c r="BQ6" s="9" t="str">
        <f t="shared" si="148"/>
        <v>v</v>
      </c>
      <c r="BR6" s="9" t="str">
        <f t="shared" si="148"/>
        <v>s</v>
      </c>
      <c r="BS6" s="9" t="str">
        <f t="shared" si="148"/>
        <v>d</v>
      </c>
      <c r="BT6" s="9" t="str">
        <f>LEFT(TEXT(BT5,"ggg"),1)</f>
        <v>l</v>
      </c>
      <c r="BU6" s="9" t="str">
        <f t="shared" ref="BU6:BZ6" si="149">LEFT(TEXT(BU5,"ggg"),1)</f>
        <v>m</v>
      </c>
      <c r="BV6" s="9" t="str">
        <f t="shared" si="149"/>
        <v>m</v>
      </c>
      <c r="BW6" s="9" t="str">
        <f t="shared" si="149"/>
        <v>g</v>
      </c>
      <c r="BX6" s="9" t="str">
        <f t="shared" si="149"/>
        <v>v</v>
      </c>
      <c r="BY6" s="9" t="str">
        <f t="shared" si="149"/>
        <v>s</v>
      </c>
      <c r="BZ6" s="9" t="str">
        <f t="shared" si="149"/>
        <v>d</v>
      </c>
      <c r="CA6" s="9" t="str">
        <f>LEFT(TEXT(CA5,"ggg"),1)</f>
        <v>l</v>
      </c>
      <c r="CB6" s="9" t="str">
        <f t="shared" ref="CB6:CG6" si="150">LEFT(TEXT(CB5,"ggg"),1)</f>
        <v>m</v>
      </c>
      <c r="CC6" s="9" t="str">
        <f t="shared" si="150"/>
        <v>m</v>
      </c>
      <c r="CD6" s="9" t="str">
        <f t="shared" si="150"/>
        <v>g</v>
      </c>
      <c r="CE6" s="9" t="str">
        <f t="shared" si="150"/>
        <v>v</v>
      </c>
      <c r="CF6" s="9" t="str">
        <f t="shared" si="150"/>
        <v>s</v>
      </c>
      <c r="CG6" s="9" t="str">
        <f t="shared" si="150"/>
        <v>d</v>
      </c>
      <c r="CH6" s="9" t="str">
        <f>LEFT(TEXT(CH5,"ggg"),1)</f>
        <v>l</v>
      </c>
      <c r="CI6" s="9" t="str">
        <f t="shared" ref="CI6:CN6" si="151">LEFT(TEXT(CI5,"ggg"),1)</f>
        <v>m</v>
      </c>
      <c r="CJ6" s="9" t="str">
        <f t="shared" si="151"/>
        <v>m</v>
      </c>
      <c r="CK6" s="9" t="str">
        <f t="shared" si="151"/>
        <v>g</v>
      </c>
      <c r="CL6" s="9" t="str">
        <f t="shared" si="151"/>
        <v>v</v>
      </c>
      <c r="CM6" s="9" t="str">
        <f t="shared" si="151"/>
        <v>s</v>
      </c>
      <c r="CN6" s="9" t="str">
        <f t="shared" si="151"/>
        <v>d</v>
      </c>
      <c r="CO6" s="9" t="str">
        <f>LEFT(TEXT(CO5,"ggg"),1)</f>
        <v>l</v>
      </c>
      <c r="CP6" s="9" t="str">
        <f t="shared" ref="CP6:CU6" si="152">LEFT(TEXT(CP5,"ggg"),1)</f>
        <v>m</v>
      </c>
      <c r="CQ6" s="9" t="str">
        <f t="shared" si="152"/>
        <v>m</v>
      </c>
      <c r="CR6" s="9" t="str">
        <f t="shared" si="152"/>
        <v>g</v>
      </c>
      <c r="CS6" s="9" t="str">
        <f t="shared" si="152"/>
        <v>v</v>
      </c>
      <c r="CT6" s="9" t="str">
        <f t="shared" si="152"/>
        <v>s</v>
      </c>
      <c r="CU6" s="9" t="str">
        <f t="shared" si="152"/>
        <v>d</v>
      </c>
      <c r="CV6" s="9" t="str">
        <f>LEFT(TEXT(CV5,"ggg"),1)</f>
        <v>l</v>
      </c>
      <c r="CW6" s="9" t="str">
        <f t="shared" ref="CW6:DB6" si="153">LEFT(TEXT(CW5,"ggg"),1)</f>
        <v>m</v>
      </c>
      <c r="CX6" s="9" t="str">
        <f t="shared" si="153"/>
        <v>m</v>
      </c>
      <c r="CY6" s="9" t="str">
        <f t="shared" si="153"/>
        <v>g</v>
      </c>
      <c r="CZ6" s="9" t="str">
        <f t="shared" si="153"/>
        <v>v</v>
      </c>
      <c r="DA6" s="9" t="str">
        <f t="shared" si="153"/>
        <v>s</v>
      </c>
      <c r="DB6" s="9" t="str">
        <f t="shared" si="153"/>
        <v>d</v>
      </c>
      <c r="DC6" s="9" t="str">
        <f>LEFT(TEXT(DC5,"ggg"),1)</f>
        <v>l</v>
      </c>
      <c r="DD6" s="9" t="str">
        <f t="shared" ref="DD6:DI6" si="154">LEFT(TEXT(DD5,"ggg"),1)</f>
        <v>m</v>
      </c>
      <c r="DE6" s="9" t="str">
        <f t="shared" si="154"/>
        <v>m</v>
      </c>
      <c r="DF6" s="9" t="str">
        <f t="shared" si="154"/>
        <v>g</v>
      </c>
      <c r="DG6" s="9" t="str">
        <f t="shared" si="154"/>
        <v>v</v>
      </c>
      <c r="DH6" s="9" t="str">
        <f t="shared" si="154"/>
        <v>s</v>
      </c>
      <c r="DI6" s="9" t="str">
        <f t="shared" si="154"/>
        <v>d</v>
      </c>
      <c r="DJ6" s="9" t="str">
        <f>LEFT(TEXT(DJ5,"ggg"),1)</f>
        <v>l</v>
      </c>
      <c r="DK6" s="9" t="str">
        <f t="shared" ref="DK6:DP6" si="155">LEFT(TEXT(DK5,"ggg"),1)</f>
        <v>m</v>
      </c>
      <c r="DL6" s="9" t="str">
        <f t="shared" si="155"/>
        <v>m</v>
      </c>
      <c r="DM6" s="9" t="str">
        <f t="shared" si="155"/>
        <v>g</v>
      </c>
      <c r="DN6" s="9" t="str">
        <f t="shared" si="155"/>
        <v>v</v>
      </c>
      <c r="DO6" s="9" t="str">
        <f t="shared" si="155"/>
        <v>s</v>
      </c>
      <c r="DP6" s="9" t="str">
        <f t="shared" si="155"/>
        <v>d</v>
      </c>
      <c r="DQ6" s="9" t="str">
        <f>LEFT(TEXT(DQ5,"ggg"),1)</f>
        <v>l</v>
      </c>
      <c r="DR6" s="9" t="str">
        <f t="shared" ref="DR6:DW6" si="156">LEFT(TEXT(DR5,"ggg"),1)</f>
        <v>m</v>
      </c>
      <c r="DS6" s="9" t="str">
        <f t="shared" si="156"/>
        <v>m</v>
      </c>
      <c r="DT6" s="9" t="str">
        <f t="shared" si="156"/>
        <v>g</v>
      </c>
      <c r="DU6" s="9" t="str">
        <f t="shared" si="156"/>
        <v>v</v>
      </c>
      <c r="DV6" s="9" t="str">
        <f t="shared" si="156"/>
        <v>s</v>
      </c>
      <c r="DW6" s="9" t="str">
        <f t="shared" si="156"/>
        <v>d</v>
      </c>
      <c r="DX6" s="9" t="str">
        <f>LEFT(TEXT(DX5,"ggg"),1)</f>
        <v>l</v>
      </c>
      <c r="DY6" s="9" t="str">
        <f t="shared" ref="DY6:ED6" si="157">LEFT(TEXT(DY5,"ggg"),1)</f>
        <v>m</v>
      </c>
      <c r="DZ6" s="9" t="str">
        <f t="shared" si="157"/>
        <v>m</v>
      </c>
      <c r="EA6" s="9" t="str">
        <f t="shared" si="157"/>
        <v>g</v>
      </c>
      <c r="EB6" s="9" t="str">
        <f t="shared" si="157"/>
        <v>v</v>
      </c>
      <c r="EC6" s="9" t="str">
        <f t="shared" si="157"/>
        <v>s</v>
      </c>
      <c r="ED6" s="9" t="str">
        <f t="shared" si="157"/>
        <v>d</v>
      </c>
      <c r="EE6" s="9" t="str">
        <f>LEFT(TEXT(EE5,"ggg"),1)</f>
        <v>l</v>
      </c>
      <c r="EF6" s="9" t="str">
        <f t="shared" ref="EF6:EK6" si="158">LEFT(TEXT(EF5,"ggg"),1)</f>
        <v>m</v>
      </c>
      <c r="EG6" s="9" t="str">
        <f t="shared" si="158"/>
        <v>m</v>
      </c>
      <c r="EH6" s="9" t="str">
        <f t="shared" si="158"/>
        <v>g</v>
      </c>
      <c r="EI6" s="9" t="str">
        <f t="shared" si="158"/>
        <v>v</v>
      </c>
      <c r="EJ6" s="9" t="str">
        <f t="shared" si="158"/>
        <v>s</v>
      </c>
      <c r="EK6" s="9" t="str">
        <f t="shared" si="158"/>
        <v>d</v>
      </c>
      <c r="EL6" s="9" t="str">
        <f>LEFT(TEXT(EL5,"ggg"),1)</f>
        <v>l</v>
      </c>
      <c r="EM6" s="9" t="str">
        <f t="shared" ref="EM6:ER6" si="159">LEFT(TEXT(EM5,"ggg"),1)</f>
        <v>m</v>
      </c>
      <c r="EN6" s="9" t="str">
        <f t="shared" si="159"/>
        <v>m</v>
      </c>
      <c r="EO6" s="9" t="str">
        <f t="shared" si="159"/>
        <v>g</v>
      </c>
      <c r="EP6" s="9" t="str">
        <f t="shared" si="159"/>
        <v>v</v>
      </c>
      <c r="EQ6" s="9" t="str">
        <f t="shared" si="159"/>
        <v>s</v>
      </c>
      <c r="ER6" s="9" t="str">
        <f t="shared" si="159"/>
        <v>d</v>
      </c>
      <c r="ES6" s="9" t="str">
        <f>LEFT(TEXT(ES5,"ggg"),1)</f>
        <v>l</v>
      </c>
      <c r="ET6" s="9" t="str">
        <f t="shared" ref="ET6:EY6" si="160">LEFT(TEXT(ET5,"ggg"),1)</f>
        <v>m</v>
      </c>
      <c r="EU6" s="9" t="str">
        <f t="shared" si="160"/>
        <v>m</v>
      </c>
      <c r="EV6" s="9" t="str">
        <f t="shared" si="160"/>
        <v>g</v>
      </c>
      <c r="EW6" s="9" t="str">
        <f t="shared" si="160"/>
        <v>v</v>
      </c>
      <c r="EX6" s="9" t="str">
        <f t="shared" si="160"/>
        <v>s</v>
      </c>
      <c r="EY6" s="9" t="str">
        <f t="shared" si="160"/>
        <v>d</v>
      </c>
      <c r="EZ6" s="9" t="str">
        <f>LEFT(TEXT(EZ5,"ggg"),1)</f>
        <v>l</v>
      </c>
      <c r="FA6" s="9" t="str">
        <f t="shared" ref="FA6:FF6" si="161">LEFT(TEXT(FA5,"ggg"),1)</f>
        <v>m</v>
      </c>
      <c r="FB6" s="9" t="str">
        <f t="shared" si="161"/>
        <v>m</v>
      </c>
      <c r="FC6" s="9" t="str">
        <f t="shared" si="161"/>
        <v>g</v>
      </c>
      <c r="FD6" s="9" t="str">
        <f t="shared" si="161"/>
        <v>v</v>
      </c>
      <c r="FE6" s="9" t="str">
        <f t="shared" si="161"/>
        <v>s</v>
      </c>
      <c r="FF6" s="9" t="str">
        <f t="shared" si="161"/>
        <v>d</v>
      </c>
      <c r="FG6" s="9" t="str">
        <f>LEFT(TEXT(FG5,"ggg"),1)</f>
        <v>l</v>
      </c>
      <c r="FH6" s="9" t="str">
        <f t="shared" ref="FH6:FM6" si="162">LEFT(TEXT(FH5,"ggg"),1)</f>
        <v>m</v>
      </c>
      <c r="FI6" s="9" t="str">
        <f t="shared" si="162"/>
        <v>m</v>
      </c>
      <c r="FJ6" s="9" t="str">
        <f t="shared" si="162"/>
        <v>g</v>
      </c>
      <c r="FK6" s="9" t="str">
        <f t="shared" si="162"/>
        <v>v</v>
      </c>
      <c r="FL6" s="9" t="str">
        <f t="shared" si="162"/>
        <v>s</v>
      </c>
      <c r="FM6" s="9" t="str">
        <f t="shared" si="162"/>
        <v>d</v>
      </c>
      <c r="FN6" s="9" t="str">
        <f>LEFT(TEXT(FN5,"ggg"),1)</f>
        <v>l</v>
      </c>
      <c r="FO6" s="9" t="str">
        <f t="shared" ref="FO6:FT6" si="163">LEFT(TEXT(FO5,"ggg"),1)</f>
        <v>m</v>
      </c>
      <c r="FP6" s="9" t="str">
        <f t="shared" si="163"/>
        <v>m</v>
      </c>
      <c r="FQ6" s="9" t="str">
        <f t="shared" si="163"/>
        <v>g</v>
      </c>
      <c r="FR6" s="9" t="str">
        <f t="shared" si="163"/>
        <v>v</v>
      </c>
      <c r="FS6" s="9" t="str">
        <f t="shared" si="163"/>
        <v>s</v>
      </c>
      <c r="FT6" s="9" t="str">
        <f t="shared" si="163"/>
        <v>d</v>
      </c>
      <c r="FU6" s="9" t="str">
        <f>LEFT(TEXT(FU5,"ggg"),1)</f>
        <v>l</v>
      </c>
      <c r="FV6" s="9" t="str">
        <f t="shared" ref="FV6:GA6" si="164">LEFT(TEXT(FV5,"ggg"),1)</f>
        <v>m</v>
      </c>
      <c r="FW6" s="9" t="str">
        <f t="shared" si="164"/>
        <v>m</v>
      </c>
      <c r="FX6" s="9" t="str">
        <f t="shared" si="164"/>
        <v>g</v>
      </c>
      <c r="FY6" s="9" t="str">
        <f t="shared" si="164"/>
        <v>v</v>
      </c>
      <c r="FZ6" s="9" t="str">
        <f t="shared" si="164"/>
        <v>s</v>
      </c>
      <c r="GA6" s="9" t="str">
        <f t="shared" si="164"/>
        <v>d</v>
      </c>
      <c r="GB6" s="9" t="str">
        <f>LEFT(TEXT(GB5,"ggg"),1)</f>
        <v>l</v>
      </c>
      <c r="GC6" s="9" t="str">
        <f t="shared" ref="GC6:GH6" si="165">LEFT(TEXT(GC5,"ggg"),1)</f>
        <v>m</v>
      </c>
      <c r="GD6" s="9" t="str">
        <f t="shared" si="165"/>
        <v>m</v>
      </c>
      <c r="GE6" s="9" t="str">
        <f t="shared" si="165"/>
        <v>g</v>
      </c>
      <c r="GF6" s="9" t="str">
        <f t="shared" si="165"/>
        <v>v</v>
      </c>
      <c r="GG6" s="9" t="str">
        <f t="shared" si="165"/>
        <v>s</v>
      </c>
      <c r="GH6" s="9" t="str">
        <f t="shared" si="165"/>
        <v>d</v>
      </c>
      <c r="GI6" s="9" t="str">
        <f>LEFT(TEXT(GI5,"ggg"),1)</f>
        <v>l</v>
      </c>
      <c r="GJ6" s="9" t="str">
        <f t="shared" ref="GJ6:GO6" si="166">LEFT(TEXT(GJ5,"ggg"),1)</f>
        <v>m</v>
      </c>
      <c r="GK6" s="9" t="str">
        <f t="shared" si="166"/>
        <v>m</v>
      </c>
      <c r="GL6" s="9" t="str">
        <f t="shared" si="166"/>
        <v>g</v>
      </c>
      <c r="GM6" s="9" t="str">
        <f t="shared" si="166"/>
        <v>v</v>
      </c>
      <c r="GN6" s="9" t="str">
        <f t="shared" si="166"/>
        <v>s</v>
      </c>
      <c r="GO6" s="9" t="str">
        <f t="shared" si="166"/>
        <v>d</v>
      </c>
      <c r="GP6" s="9" t="str">
        <f>LEFT(TEXT(GP5,"ggg"),1)</f>
        <v>l</v>
      </c>
      <c r="GQ6" s="9" t="str">
        <f t="shared" ref="GQ6:GV6" si="167">LEFT(TEXT(GQ5,"ggg"),1)</f>
        <v>m</v>
      </c>
      <c r="GR6" s="9" t="str">
        <f t="shared" si="167"/>
        <v>m</v>
      </c>
      <c r="GS6" s="9" t="str">
        <f t="shared" si="167"/>
        <v>g</v>
      </c>
      <c r="GT6" s="9" t="str">
        <f t="shared" si="167"/>
        <v>v</v>
      </c>
      <c r="GU6" s="9" t="str">
        <f t="shared" si="167"/>
        <v>s</v>
      </c>
      <c r="GV6" s="9" t="str">
        <f t="shared" si="167"/>
        <v>d</v>
      </c>
      <c r="GW6" s="9" t="str">
        <f>LEFT(TEXT(GW5,"ggg"),1)</f>
        <v>l</v>
      </c>
      <c r="GX6" s="9" t="str">
        <f t="shared" ref="GX6:HC6" si="168">LEFT(TEXT(GX5,"ggg"),1)</f>
        <v>m</v>
      </c>
      <c r="GY6" s="9" t="str">
        <f t="shared" si="168"/>
        <v>m</v>
      </c>
      <c r="GZ6" s="9" t="str">
        <f t="shared" si="168"/>
        <v>g</v>
      </c>
      <c r="HA6" s="9" t="str">
        <f t="shared" si="168"/>
        <v>v</v>
      </c>
      <c r="HB6" s="9" t="str">
        <f t="shared" si="168"/>
        <v>s</v>
      </c>
      <c r="HC6" s="9" t="str">
        <f t="shared" si="168"/>
        <v>d</v>
      </c>
      <c r="HD6" s="9" t="str">
        <f>LEFT(TEXT(HD5,"ggg"),1)</f>
        <v>l</v>
      </c>
      <c r="HE6" s="9" t="str">
        <f t="shared" ref="HE6:HJ6" si="169">LEFT(TEXT(HE5,"ggg"),1)</f>
        <v>m</v>
      </c>
      <c r="HF6" s="9" t="str">
        <f t="shared" si="169"/>
        <v>m</v>
      </c>
      <c r="HG6" s="9" t="str">
        <f t="shared" si="169"/>
        <v>g</v>
      </c>
      <c r="HH6" s="9" t="str">
        <f t="shared" si="169"/>
        <v>v</v>
      </c>
      <c r="HI6" s="9" t="str">
        <f t="shared" si="169"/>
        <v>s</v>
      </c>
      <c r="HJ6" s="9" t="str">
        <f t="shared" si="169"/>
        <v>d</v>
      </c>
      <c r="HK6" s="9" t="str">
        <f>LEFT(TEXT(HK5,"ggg"),1)</f>
        <v>l</v>
      </c>
      <c r="HL6" s="9" t="str">
        <f t="shared" ref="HL6:HQ6" si="170">LEFT(TEXT(HL5,"ggg"),1)</f>
        <v>m</v>
      </c>
      <c r="HM6" s="9" t="str">
        <f t="shared" si="170"/>
        <v>m</v>
      </c>
      <c r="HN6" s="9" t="str">
        <f t="shared" si="170"/>
        <v>g</v>
      </c>
      <c r="HO6" s="9" t="str">
        <f t="shared" si="170"/>
        <v>v</v>
      </c>
      <c r="HP6" s="9" t="str">
        <f t="shared" si="170"/>
        <v>s</v>
      </c>
      <c r="HQ6" s="9" t="str">
        <f t="shared" si="170"/>
        <v>d</v>
      </c>
      <c r="HR6" s="9" t="str">
        <f>LEFT(TEXT(HR5,"ggg"),1)</f>
        <v>l</v>
      </c>
      <c r="HS6" s="9" t="str">
        <f t="shared" ref="HS6:HX6" si="171">LEFT(TEXT(HS5,"ggg"),1)</f>
        <v>m</v>
      </c>
      <c r="HT6" s="9" t="str">
        <f t="shared" si="171"/>
        <v>m</v>
      </c>
      <c r="HU6" s="9" t="str">
        <f t="shared" si="171"/>
        <v>g</v>
      </c>
      <c r="HV6" s="9" t="str">
        <f t="shared" si="171"/>
        <v>v</v>
      </c>
      <c r="HW6" s="9" t="str">
        <f t="shared" si="171"/>
        <v>s</v>
      </c>
      <c r="HX6" s="9" t="str">
        <f t="shared" si="171"/>
        <v>d</v>
      </c>
      <c r="HY6" s="9" t="str">
        <f>LEFT(TEXT(HY5,"ggg"),1)</f>
        <v>l</v>
      </c>
      <c r="HZ6" s="9" t="str">
        <f t="shared" ref="HZ6:IE6" si="172">LEFT(TEXT(HZ5,"ggg"),1)</f>
        <v>m</v>
      </c>
      <c r="IA6" s="9" t="str">
        <f t="shared" si="172"/>
        <v>m</v>
      </c>
      <c r="IB6" s="9" t="str">
        <f t="shared" si="172"/>
        <v>g</v>
      </c>
      <c r="IC6" s="9" t="str">
        <f t="shared" si="172"/>
        <v>v</v>
      </c>
      <c r="ID6" s="9" t="str">
        <f t="shared" si="172"/>
        <v>s</v>
      </c>
      <c r="IE6" s="9" t="str">
        <f t="shared" si="172"/>
        <v>d</v>
      </c>
      <c r="IF6" s="9" t="str">
        <f>LEFT(TEXT(IF5,"ggg"),1)</f>
        <v>l</v>
      </c>
      <c r="IG6" s="9" t="str">
        <f t="shared" ref="IG6:IL6" si="173">LEFT(TEXT(IG5,"ggg"),1)</f>
        <v>m</v>
      </c>
      <c r="IH6" s="9" t="str">
        <f t="shared" si="173"/>
        <v>m</v>
      </c>
      <c r="II6" s="9" t="str">
        <f t="shared" si="173"/>
        <v>g</v>
      </c>
      <c r="IJ6" s="9" t="str">
        <f t="shared" si="173"/>
        <v>v</v>
      </c>
      <c r="IK6" s="9" t="str">
        <f t="shared" si="173"/>
        <v>s</v>
      </c>
      <c r="IL6" s="9" t="str">
        <f t="shared" si="173"/>
        <v>d</v>
      </c>
      <c r="IM6" s="9" t="str">
        <f>LEFT(TEXT(IM5,"ggg"),1)</f>
        <v>l</v>
      </c>
      <c r="IN6" s="9" t="str">
        <f t="shared" ref="IN6:IS6" si="174">LEFT(TEXT(IN5,"ggg"),1)</f>
        <v>m</v>
      </c>
      <c r="IO6" s="9" t="str">
        <f t="shared" si="174"/>
        <v>m</v>
      </c>
      <c r="IP6" s="9" t="str">
        <f t="shared" si="174"/>
        <v>g</v>
      </c>
      <c r="IQ6" s="9" t="str">
        <f t="shared" si="174"/>
        <v>v</v>
      </c>
      <c r="IR6" s="9" t="str">
        <f t="shared" si="174"/>
        <v>s</v>
      </c>
      <c r="IS6" s="9" t="str">
        <f t="shared" si="174"/>
        <v>d</v>
      </c>
    </row>
    <row r="7" spans="1:253" ht="30" hidden="1" customHeight="1" thickBot="1">
      <c r="A7" s="23" t="s">
        <v>13</v>
      </c>
      <c r="C7" s="26"/>
      <c r="E7"/>
      <c r="H7" t="str">
        <f>IF(OR(ISBLANK(inizio_attività),ISBLANK(fine_attività)),"",fine_attività-inizio_attività+1)</f>
        <v/>
      </c>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c r="IR7" s="20"/>
      <c r="IS7" s="20"/>
    </row>
    <row r="8" spans="1:253" s="3" customFormat="1" ht="30" customHeight="1" thickBot="1">
      <c r="A8" s="24" t="s">
        <v>14</v>
      </c>
      <c r="B8" s="11" t="s">
        <v>15</v>
      </c>
      <c r="C8" s="30"/>
      <c r="D8" s="12"/>
      <c r="E8" s="42"/>
      <c r="F8" s="43"/>
      <c r="G8" s="10"/>
      <c r="H8" s="10" t="str">
        <f t="shared" ref="H8:H19" si="175">IF(OR(ISBLANK(inizio_attività),ISBLANK(fine_attività)),"",fine_attività-inizio_attività+1)</f>
        <v/>
      </c>
      <c r="I8" s="69"/>
      <c r="J8" s="42"/>
      <c r="K8" s="42"/>
      <c r="L8" s="42"/>
      <c r="M8" s="42"/>
      <c r="N8" s="42"/>
      <c r="O8" s="42"/>
      <c r="P8" s="42"/>
      <c r="Q8" s="42"/>
      <c r="R8" s="42"/>
      <c r="S8" s="42"/>
      <c r="T8" s="42"/>
      <c r="U8" s="42"/>
      <c r="V8" s="42"/>
      <c r="W8" s="42"/>
      <c r="X8" s="42"/>
      <c r="Y8" s="42"/>
      <c r="Z8" s="42"/>
      <c r="AA8" s="70"/>
      <c r="AB8" s="66"/>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row>
    <row r="9" spans="1:253" s="3" customFormat="1" ht="30" customHeight="1" thickBot="1">
      <c r="A9" s="24" t="s">
        <v>16</v>
      </c>
      <c r="B9" s="36" t="s">
        <v>17</v>
      </c>
      <c r="C9" s="31"/>
      <c r="D9" s="13"/>
      <c r="E9" s="44">
        <f>Inizio_progetto+2</f>
        <v>45629</v>
      </c>
      <c r="F9" s="44">
        <f>E9+8</f>
        <v>45637</v>
      </c>
      <c r="G9" s="10"/>
      <c r="H9" s="10">
        <f>IF(OR(ISBLANK(inizio_attività),ISBLANK(fine_attività)),"",fine_attività-inizio_attività+1)</f>
        <v>9</v>
      </c>
      <c r="I9" s="71"/>
      <c r="J9" s="20"/>
      <c r="K9" s="20"/>
      <c r="L9" s="20"/>
      <c r="M9" s="20"/>
      <c r="N9" s="20"/>
      <c r="O9" s="20"/>
      <c r="P9" s="20"/>
      <c r="Q9" s="20"/>
      <c r="R9" s="20"/>
      <c r="S9" s="20"/>
      <c r="T9" s="20"/>
      <c r="U9" s="20"/>
      <c r="V9" s="20"/>
      <c r="W9" s="20"/>
      <c r="X9" s="20"/>
      <c r="Y9" s="20"/>
      <c r="Z9" s="20"/>
      <c r="AA9" s="72"/>
      <c r="AB9" s="66"/>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row>
    <row r="10" spans="1:253" s="3" customFormat="1" ht="30" customHeight="1" thickBot="1">
      <c r="A10" s="24" t="s">
        <v>18</v>
      </c>
      <c r="B10" s="36" t="s">
        <v>19</v>
      </c>
      <c r="C10" s="31"/>
      <c r="D10" s="13"/>
      <c r="E10" s="44">
        <f>Inizio_progetto</f>
        <v>45627</v>
      </c>
      <c r="F10" s="44">
        <f>E10+7</f>
        <v>45634</v>
      </c>
      <c r="G10" s="10"/>
      <c r="H10" s="10">
        <f>IF(OR(ISBLANK(inizio_attività),ISBLANK(fine_attività)),"",fine_attività-inizio_attività+1)</f>
        <v>8</v>
      </c>
      <c r="I10" s="71"/>
      <c r="J10" s="20"/>
      <c r="K10" s="20"/>
      <c r="L10" s="20"/>
      <c r="M10" s="20"/>
      <c r="N10" s="20"/>
      <c r="O10" s="20"/>
      <c r="P10" s="20"/>
      <c r="Q10" s="20"/>
      <c r="R10" s="20"/>
      <c r="S10" s="20"/>
      <c r="T10" s="20"/>
      <c r="U10" s="21"/>
      <c r="V10" s="21"/>
      <c r="W10" s="20"/>
      <c r="X10" s="20"/>
      <c r="Y10" s="20"/>
      <c r="Z10" s="20"/>
      <c r="AA10" s="72"/>
      <c r="AB10" s="66"/>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row>
    <row r="11" spans="1:253" s="3" customFormat="1" ht="30" customHeight="1" thickBot="1">
      <c r="A11" s="23"/>
      <c r="B11" s="36" t="s">
        <v>20</v>
      </c>
      <c r="C11" s="31"/>
      <c r="D11" s="13"/>
      <c r="E11" s="44">
        <f>MAX(F9, F10) + 1</f>
        <v>45638</v>
      </c>
      <c r="F11" s="44">
        <f>E11+4</f>
        <v>45642</v>
      </c>
      <c r="G11" s="10"/>
      <c r="H11" s="10">
        <f>IF(OR(ISBLANK(inizio_attività),ISBLANK(fine_attività)),"",fine_attività-inizio_attività+1)</f>
        <v>5</v>
      </c>
      <c r="I11" s="71"/>
      <c r="J11" s="20"/>
      <c r="K11" s="20"/>
      <c r="L11" s="20"/>
      <c r="M11" s="20"/>
      <c r="N11" s="20"/>
      <c r="O11" s="20"/>
      <c r="P11" s="20"/>
      <c r="Q11" s="20"/>
      <c r="R11" s="20"/>
      <c r="S11" s="20"/>
      <c r="T11" s="20"/>
      <c r="U11" s="20"/>
      <c r="V11" s="20"/>
      <c r="W11" s="20"/>
      <c r="X11" s="20"/>
      <c r="Y11" s="20"/>
      <c r="Z11" s="20"/>
      <c r="AA11" s="72"/>
      <c r="AB11" s="66"/>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c r="IE11" s="20"/>
      <c r="IF11" s="20"/>
      <c r="IG11" s="20"/>
      <c r="IH11" s="20"/>
      <c r="II11" s="20"/>
      <c r="IJ11" s="20"/>
      <c r="IK11" s="20"/>
      <c r="IL11" s="20"/>
      <c r="IM11" s="20"/>
      <c r="IN11" s="20"/>
      <c r="IO11" s="20"/>
      <c r="IP11" s="20"/>
      <c r="IQ11" s="20"/>
      <c r="IR11" s="20"/>
      <c r="IS11" s="20"/>
    </row>
    <row r="12" spans="1:253" s="3" customFormat="1" ht="30" customHeight="1" thickBot="1">
      <c r="A12" s="23"/>
      <c r="B12" s="36" t="s">
        <v>21</v>
      </c>
      <c r="C12" s="31"/>
      <c r="D12" s="13"/>
      <c r="E12" s="44">
        <f>F11 + 1</f>
        <v>45643</v>
      </c>
      <c r="F12" s="44">
        <f>E12+3</f>
        <v>45646</v>
      </c>
      <c r="G12" s="10"/>
      <c r="H12" s="10">
        <f>IF(OR(ISBLANK(inizio_attività),ISBLANK(fine_attività)),"",fine_attività-inizio_attività+1)</f>
        <v>4</v>
      </c>
      <c r="I12" s="71"/>
      <c r="J12" s="20"/>
      <c r="K12" s="20"/>
      <c r="L12" s="20"/>
      <c r="M12" s="20"/>
      <c r="N12" s="20"/>
      <c r="O12" s="20"/>
      <c r="P12" s="20"/>
      <c r="Q12" s="20"/>
      <c r="R12" s="20"/>
      <c r="S12" s="20"/>
      <c r="T12" s="20"/>
      <c r="U12" s="20"/>
      <c r="V12" s="20"/>
      <c r="W12" s="20"/>
      <c r="X12" s="20"/>
      <c r="Y12" s="21"/>
      <c r="Z12" s="20"/>
      <c r="AA12" s="72"/>
      <c r="AB12" s="66"/>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c r="HN12" s="20"/>
      <c r="HO12" s="20"/>
      <c r="HP12" s="20"/>
      <c r="HQ12" s="20"/>
      <c r="HR12" s="20"/>
      <c r="HS12" s="20"/>
      <c r="HT12" s="20"/>
      <c r="HU12" s="20"/>
      <c r="HV12" s="20"/>
      <c r="HW12" s="20"/>
      <c r="HX12" s="20"/>
      <c r="HY12" s="20"/>
      <c r="HZ12" s="20"/>
      <c r="IA12" s="20"/>
      <c r="IB12" s="20"/>
      <c r="IC12" s="20"/>
      <c r="ID12" s="20"/>
      <c r="IE12" s="20"/>
      <c r="IF12" s="20"/>
      <c r="IG12" s="20"/>
      <c r="IH12" s="20"/>
      <c r="II12" s="20"/>
      <c r="IJ12" s="20"/>
      <c r="IK12" s="20"/>
      <c r="IL12" s="20"/>
      <c r="IM12" s="20"/>
      <c r="IN12" s="20"/>
      <c r="IO12" s="20"/>
      <c r="IP12" s="20"/>
      <c r="IQ12" s="20"/>
      <c r="IR12" s="20"/>
      <c r="IS12" s="20"/>
    </row>
    <row r="13" spans="1:253" s="3" customFormat="1" ht="30" customHeight="1" thickBot="1">
      <c r="A13" s="24" t="s">
        <v>22</v>
      </c>
      <c r="B13" s="14" t="s">
        <v>23</v>
      </c>
      <c r="C13" s="32"/>
      <c r="D13" s="15"/>
      <c r="E13" s="45"/>
      <c r="F13" s="46"/>
      <c r="G13" s="10"/>
      <c r="H13" s="10" t="str">
        <f t="shared" si="175"/>
        <v/>
      </c>
      <c r="I13" s="73"/>
      <c r="J13" s="67"/>
      <c r="K13" s="67"/>
      <c r="L13" s="67"/>
      <c r="M13" s="67"/>
      <c r="N13" s="20"/>
      <c r="O13" s="20"/>
      <c r="P13" s="20"/>
      <c r="Q13" s="20"/>
      <c r="R13" s="20"/>
      <c r="S13" s="20"/>
      <c r="T13" s="20"/>
      <c r="U13" s="20"/>
      <c r="V13" s="20"/>
      <c r="W13" s="20"/>
      <c r="X13" s="20"/>
      <c r="Y13" s="20"/>
      <c r="Z13" s="75"/>
      <c r="AA13" s="76"/>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77"/>
      <c r="DU13" s="66"/>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c r="IE13" s="20"/>
      <c r="IF13" s="20"/>
      <c r="IG13" s="20"/>
      <c r="IH13" s="20"/>
      <c r="II13" s="20"/>
      <c r="IJ13" s="20"/>
      <c r="IK13" s="20"/>
      <c r="IL13" s="20"/>
      <c r="IM13" s="20"/>
      <c r="IN13" s="20"/>
      <c r="IO13" s="20"/>
      <c r="IP13" s="20"/>
      <c r="IQ13" s="20"/>
      <c r="IR13" s="20"/>
      <c r="IS13" s="20"/>
    </row>
    <row r="14" spans="1:253" s="3" customFormat="1" ht="30" customHeight="1" thickBot="1">
      <c r="A14" s="24"/>
      <c r="B14" s="37" t="s">
        <v>24</v>
      </c>
      <c r="C14" s="33"/>
      <c r="D14" s="16"/>
      <c r="E14" s="47">
        <f>F12</f>
        <v>45646</v>
      </c>
      <c r="F14" s="47">
        <f>E14+20</f>
        <v>45666</v>
      </c>
      <c r="G14" s="10"/>
      <c r="H14" s="10">
        <f t="shared" si="175"/>
        <v>21</v>
      </c>
      <c r="I14" s="73"/>
      <c r="J14" s="20"/>
      <c r="K14" s="20"/>
      <c r="L14" s="20"/>
      <c r="M14" s="20"/>
      <c r="N14" s="66"/>
      <c r="O14" s="20"/>
      <c r="P14" s="20"/>
      <c r="Q14" s="20"/>
      <c r="R14" s="20"/>
      <c r="S14" s="20"/>
      <c r="T14" s="20"/>
      <c r="U14" s="20"/>
      <c r="V14" s="20"/>
      <c r="W14" s="20"/>
      <c r="X14" s="20"/>
      <c r="Y14" s="20"/>
      <c r="Z14" s="75"/>
      <c r="AA14" s="78"/>
      <c r="AB14" s="66"/>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79"/>
      <c r="DU14" s="66"/>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row>
    <row r="15" spans="1:253" s="3" customFormat="1" ht="30" customHeight="1" thickBot="1">
      <c r="A15" s="23"/>
      <c r="B15" s="37" t="s">
        <v>25</v>
      </c>
      <c r="C15" s="33"/>
      <c r="D15" s="16"/>
      <c r="E15" s="47">
        <f>F14+1</f>
        <v>45667</v>
      </c>
      <c r="F15" s="47">
        <f>E15+35</f>
        <v>45702</v>
      </c>
      <c r="G15" s="10"/>
      <c r="H15" s="10">
        <f>IF(OR(ISBLANK(inizio_attività),ISBLANK(fine_attività)),"",fine_attività-inizio_attività+1)</f>
        <v>36</v>
      </c>
      <c r="I15" s="71"/>
      <c r="J15" s="68"/>
      <c r="K15" s="68"/>
      <c r="L15" s="68"/>
      <c r="M15" s="68"/>
      <c r="N15" s="20"/>
      <c r="O15" s="20"/>
      <c r="P15" s="20"/>
      <c r="Q15" s="20"/>
      <c r="R15" s="20"/>
      <c r="S15" s="20"/>
      <c r="T15" s="20"/>
      <c r="U15" s="21"/>
      <c r="V15" s="21"/>
      <c r="W15" s="20"/>
      <c r="X15" s="20"/>
      <c r="Y15" s="20"/>
      <c r="Z15" s="75"/>
      <c r="AA15" s="78"/>
      <c r="AB15" s="66"/>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79"/>
      <c r="DU15" s="66"/>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c r="IE15" s="20"/>
      <c r="IF15" s="20"/>
      <c r="IG15" s="20"/>
      <c r="IH15" s="20"/>
      <c r="II15" s="20"/>
      <c r="IJ15" s="20"/>
      <c r="IK15" s="20"/>
      <c r="IL15" s="20"/>
      <c r="IM15" s="20"/>
      <c r="IN15" s="20"/>
      <c r="IO15" s="20"/>
      <c r="IP15" s="20"/>
      <c r="IQ15" s="20"/>
      <c r="IR15" s="20"/>
      <c r="IS15" s="20"/>
    </row>
    <row r="16" spans="1:253" s="3" customFormat="1" ht="30" customHeight="1" thickBot="1">
      <c r="A16" s="23"/>
      <c r="B16" s="37" t="s">
        <v>26</v>
      </c>
      <c r="C16" s="33"/>
      <c r="D16" s="16"/>
      <c r="E16" s="47">
        <f>MAX(F14) + 1</f>
        <v>45667</v>
      </c>
      <c r="F16" s="47">
        <f>E16+25</f>
        <v>45692</v>
      </c>
      <c r="G16" s="10"/>
      <c r="H16" s="10">
        <f t="shared" si="175"/>
        <v>26</v>
      </c>
      <c r="I16" s="71"/>
      <c r="J16" s="20"/>
      <c r="K16" s="20"/>
      <c r="L16" s="20"/>
      <c r="M16" s="20"/>
      <c r="N16" s="20"/>
      <c r="O16" s="20"/>
      <c r="P16" s="20"/>
      <c r="Q16" s="20"/>
      <c r="R16" s="20"/>
      <c r="S16" s="20"/>
      <c r="T16" s="20"/>
      <c r="U16" s="20"/>
      <c r="V16" s="20"/>
      <c r="W16" s="20"/>
      <c r="X16" s="20"/>
      <c r="Y16" s="20"/>
      <c r="Z16" s="75"/>
      <c r="AA16" s="78"/>
      <c r="AB16" s="66"/>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79"/>
      <c r="DU16" s="66"/>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row>
    <row r="17" spans="1:253" s="3" customFormat="1" ht="30" customHeight="1" thickBot="1">
      <c r="A17" s="23"/>
      <c r="B17" s="37" t="s">
        <v>27</v>
      </c>
      <c r="C17" s="33"/>
      <c r="D17" s="16"/>
      <c r="E17" s="47">
        <f>F15 + 1</f>
        <v>45703</v>
      </c>
      <c r="F17" s="47">
        <f>E17 + 20</f>
        <v>45723</v>
      </c>
      <c r="G17" s="10"/>
      <c r="H17" s="10">
        <f>IF(OR(ISBLANK(inizio_attività),ISBLANK(fine_attività)),"",fine_attività-inizio_attività+1)</f>
        <v>21</v>
      </c>
      <c r="I17" s="71"/>
      <c r="J17" s="20"/>
      <c r="K17" s="20"/>
      <c r="L17" s="20"/>
      <c r="M17" s="20"/>
      <c r="N17" s="20"/>
      <c r="O17" s="20"/>
      <c r="P17" s="20"/>
      <c r="Q17" s="20"/>
      <c r="R17" s="20"/>
      <c r="S17" s="20"/>
      <c r="T17" s="20"/>
      <c r="U17" s="20"/>
      <c r="V17" s="20"/>
      <c r="W17" s="20"/>
      <c r="X17" s="20"/>
      <c r="Y17" s="20"/>
      <c r="Z17" s="75"/>
      <c r="AA17" s="78"/>
      <c r="AB17" s="66"/>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79"/>
      <c r="DU17" s="66"/>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row>
    <row r="18" spans="1:253" s="3" customFormat="1" ht="30" customHeight="1" thickBot="1">
      <c r="A18" s="23"/>
      <c r="B18" s="37" t="s">
        <v>41</v>
      </c>
      <c r="C18" s="33"/>
      <c r="D18" s="16"/>
      <c r="E18" s="47">
        <f>E17</f>
        <v>45703</v>
      </c>
      <c r="F18" s="47">
        <f>E18+40</f>
        <v>45743</v>
      </c>
      <c r="G18" s="10"/>
      <c r="H18" s="10">
        <f>IF(OR(ISBLANK(inizio_attività),ISBLANK(fine_attività)),"",fine_attività-inizio_attività+1)</f>
        <v>41</v>
      </c>
      <c r="I18" s="71"/>
      <c r="J18" s="20"/>
      <c r="K18" s="20"/>
      <c r="L18" s="20"/>
      <c r="M18" s="20"/>
      <c r="N18" s="20"/>
      <c r="O18" s="20"/>
      <c r="P18" s="20"/>
      <c r="Q18" s="20"/>
      <c r="R18" s="20"/>
      <c r="S18" s="20"/>
      <c r="T18" s="20"/>
      <c r="U18" s="20"/>
      <c r="V18" s="20"/>
      <c r="W18" s="20"/>
      <c r="X18" s="20"/>
      <c r="Y18" s="20"/>
      <c r="Z18" s="75"/>
      <c r="AA18" s="78"/>
      <c r="AB18" s="66"/>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79"/>
      <c r="DU18" s="66"/>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row>
    <row r="19" spans="1:253" s="3" customFormat="1" ht="30" customHeight="1" thickBot="1">
      <c r="A19" s="23" t="s">
        <v>28</v>
      </c>
      <c r="B19" s="17" t="s">
        <v>29</v>
      </c>
      <c r="C19" s="34"/>
      <c r="D19" s="18"/>
      <c r="E19" s="48"/>
      <c r="F19" s="49"/>
      <c r="G19" s="10"/>
      <c r="H19" s="10" t="str">
        <f t="shared" si="175"/>
        <v/>
      </c>
      <c r="I19" s="71"/>
      <c r="J19" s="20"/>
      <c r="K19" s="20"/>
      <c r="L19" s="20"/>
      <c r="M19" s="20"/>
      <c r="N19" s="20"/>
      <c r="O19" s="20"/>
      <c r="P19" s="20"/>
      <c r="Q19" s="20"/>
      <c r="R19" s="20"/>
      <c r="S19" s="20"/>
      <c r="T19" s="20"/>
      <c r="U19" s="20"/>
      <c r="V19" s="20"/>
      <c r="W19" s="20"/>
      <c r="X19" s="20"/>
      <c r="Y19" s="20"/>
      <c r="Z19" s="75"/>
      <c r="AA19" s="78"/>
      <c r="AB19" s="66"/>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75"/>
      <c r="CP19" s="84"/>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80"/>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85"/>
      <c r="ES19" s="66"/>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c r="FY19" s="20"/>
      <c r="FZ19" s="20"/>
      <c r="GA19" s="20"/>
      <c r="GB19" s="20"/>
      <c r="GC19" s="20"/>
      <c r="GD19" s="20"/>
      <c r="GE19" s="20"/>
      <c r="GF19" s="20"/>
      <c r="GG19" s="20"/>
      <c r="GH19" s="20"/>
      <c r="GI19" s="20"/>
      <c r="GJ19" s="20"/>
      <c r="GK19" s="20"/>
      <c r="GL19" s="20"/>
      <c r="GM19" s="20"/>
      <c r="GN19" s="20"/>
      <c r="GO19" s="20"/>
      <c r="GP19" s="20"/>
      <c r="GQ19" s="20"/>
      <c r="GR19" s="20"/>
      <c r="GS19" s="20"/>
      <c r="GT19" s="20"/>
      <c r="GU19" s="20"/>
      <c r="GV19" s="20"/>
      <c r="GW19" s="20"/>
      <c r="GX19" s="20"/>
      <c r="GY19" s="20"/>
      <c r="GZ19" s="20"/>
      <c r="HA19" s="20"/>
      <c r="HB19" s="20"/>
      <c r="HC19" s="20"/>
      <c r="HD19" s="20"/>
      <c r="HE19" s="20"/>
      <c r="HF19" s="20"/>
      <c r="HG19" s="20"/>
      <c r="HH19" s="20"/>
      <c r="HI19" s="20"/>
      <c r="HJ19" s="20"/>
      <c r="HK19" s="20"/>
      <c r="HL19" s="20"/>
      <c r="HM19" s="20"/>
      <c r="HN19" s="20"/>
      <c r="HO19" s="20"/>
      <c r="HP19" s="20"/>
      <c r="HQ19" s="20"/>
      <c r="HR19" s="20"/>
      <c r="HS19" s="20"/>
      <c r="HT19" s="20"/>
      <c r="HU19" s="20"/>
      <c r="HV19" s="20"/>
      <c r="HW19" s="20"/>
      <c r="HX19" s="20"/>
      <c r="HY19" s="20"/>
      <c r="HZ19" s="20"/>
      <c r="IA19" s="20"/>
      <c r="IB19" s="20"/>
      <c r="IC19" s="20"/>
      <c r="ID19" s="20"/>
      <c r="IE19" s="20"/>
      <c r="IF19" s="20"/>
      <c r="IG19" s="20"/>
      <c r="IH19" s="20"/>
      <c r="II19" s="20"/>
      <c r="IJ19" s="20"/>
      <c r="IK19" s="20"/>
      <c r="IL19" s="20"/>
      <c r="IM19" s="20"/>
      <c r="IN19" s="20"/>
      <c r="IO19" s="20"/>
      <c r="IP19" s="20"/>
      <c r="IQ19" s="20"/>
      <c r="IR19" s="20"/>
      <c r="IS19" s="20"/>
    </row>
    <row r="20" spans="1:253" s="3" customFormat="1" ht="30" customHeight="1" thickBot="1">
      <c r="A20" s="23"/>
      <c r="B20" s="63" t="s">
        <v>30</v>
      </c>
      <c r="C20" s="35"/>
      <c r="D20" s="64"/>
      <c r="E20" s="50">
        <f>E17+10</f>
        <v>45713</v>
      </c>
      <c r="F20" s="65">
        <f>E20 +20</f>
        <v>45733</v>
      </c>
      <c r="G20" s="10"/>
      <c r="H20" s="10">
        <f>IF(OR(ISBLANK(inizio_attività),ISBLANK(fine_attività)),"",fine_attività-inizio_attività+1)</f>
        <v>21</v>
      </c>
      <c r="I20" s="71"/>
      <c r="J20" s="20"/>
      <c r="K20" s="20"/>
      <c r="L20" s="20"/>
      <c r="M20" s="20"/>
      <c r="N20" s="20"/>
      <c r="O20" s="20"/>
      <c r="P20" s="20"/>
      <c r="Q20" s="20"/>
      <c r="R20" s="20"/>
      <c r="S20" s="20"/>
      <c r="T20" s="20"/>
      <c r="U20" s="20"/>
      <c r="V20" s="20"/>
      <c r="W20" s="20"/>
      <c r="X20" s="20"/>
      <c r="Y20" s="20"/>
      <c r="Z20" s="75"/>
      <c r="AA20" s="78"/>
      <c r="AB20" s="66"/>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75"/>
      <c r="CP20" s="86"/>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79"/>
      <c r="DU20" s="66"/>
      <c r="DV20" s="20"/>
      <c r="DW20" s="20"/>
      <c r="DX20" s="20"/>
      <c r="DY20" s="20"/>
      <c r="DZ20" s="20"/>
      <c r="EA20" s="20"/>
      <c r="EB20" s="20"/>
      <c r="EC20" s="20"/>
      <c r="ED20" s="20"/>
      <c r="EE20" s="20"/>
      <c r="EF20" s="20"/>
      <c r="EG20" s="20"/>
      <c r="EH20" s="20"/>
      <c r="EI20" s="20"/>
      <c r="EJ20" s="20"/>
      <c r="EK20" s="20"/>
      <c r="EL20" s="20"/>
      <c r="EM20" s="20"/>
      <c r="EN20" s="20"/>
      <c r="EO20" s="20"/>
      <c r="EP20" s="20"/>
      <c r="EQ20" s="20"/>
      <c r="ER20" s="87"/>
      <c r="ES20" s="66"/>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c r="IE20" s="20"/>
      <c r="IF20" s="20"/>
      <c r="IG20" s="20"/>
      <c r="IH20" s="20"/>
      <c r="II20" s="20"/>
      <c r="IJ20" s="20"/>
      <c r="IK20" s="20"/>
      <c r="IL20" s="20"/>
      <c r="IM20" s="20"/>
      <c r="IN20" s="20"/>
      <c r="IO20" s="20"/>
      <c r="IP20" s="20"/>
      <c r="IQ20" s="20"/>
      <c r="IR20" s="20"/>
      <c r="IS20" s="20"/>
    </row>
    <row r="21" spans="1:253" s="3" customFormat="1" ht="30" customHeight="1" thickBot="1">
      <c r="A21" s="23"/>
      <c r="B21" s="63" t="s">
        <v>31</v>
      </c>
      <c r="C21" s="35"/>
      <c r="D21" s="64"/>
      <c r="E21" s="65">
        <f>F20 +1</f>
        <v>45734</v>
      </c>
      <c r="F21" s="65">
        <f>E21 +15</f>
        <v>45749</v>
      </c>
      <c r="G21" s="10"/>
      <c r="H21" s="10">
        <f>IF(OR(ISBLANK(inizio_attività),ISBLANK(fine_attività)),"",fine_attività-inizio_attività+1)</f>
        <v>16</v>
      </c>
      <c r="I21" s="71"/>
      <c r="J21" s="20"/>
      <c r="K21" s="20"/>
      <c r="L21" s="20"/>
      <c r="M21" s="20"/>
      <c r="N21" s="20"/>
      <c r="O21" s="20"/>
      <c r="P21" s="20"/>
      <c r="Q21" s="20"/>
      <c r="R21" s="20"/>
      <c r="S21" s="20"/>
      <c r="T21" s="20"/>
      <c r="U21" s="20"/>
      <c r="V21" s="20"/>
      <c r="W21" s="20"/>
      <c r="X21" s="20"/>
      <c r="Y21" s="20"/>
      <c r="Z21" s="75"/>
      <c r="AA21" s="78"/>
      <c r="AB21" s="66"/>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75"/>
      <c r="CP21" s="86"/>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79"/>
      <c r="DU21" s="66"/>
      <c r="DV21" s="20"/>
      <c r="DW21" s="20"/>
      <c r="DX21" s="20"/>
      <c r="DY21" s="20"/>
      <c r="DZ21" s="20"/>
      <c r="EA21" s="20"/>
      <c r="EB21" s="20"/>
      <c r="EC21" s="20"/>
      <c r="ED21" s="20"/>
      <c r="EE21" s="20"/>
      <c r="EF21" s="20"/>
      <c r="EG21" s="20"/>
      <c r="EH21" s="20"/>
      <c r="EI21" s="20"/>
      <c r="EJ21" s="20"/>
      <c r="EK21" s="20"/>
      <c r="EL21" s="20"/>
      <c r="EM21" s="20"/>
      <c r="EN21" s="20"/>
      <c r="EO21" s="20"/>
      <c r="EP21" s="20"/>
      <c r="EQ21" s="20"/>
      <c r="ER21" s="87"/>
      <c r="ES21" s="66"/>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c r="HE21" s="20"/>
      <c r="HF21" s="20"/>
      <c r="HG21" s="20"/>
      <c r="HH21" s="20"/>
      <c r="HI21" s="20"/>
      <c r="HJ21" s="20"/>
      <c r="HK21" s="20"/>
      <c r="HL21" s="20"/>
      <c r="HM21" s="20"/>
      <c r="HN21" s="20"/>
      <c r="HO21" s="20"/>
      <c r="HP21" s="20"/>
      <c r="HQ21" s="20"/>
      <c r="HR21" s="20"/>
      <c r="HS21" s="20"/>
      <c r="HT21" s="20"/>
      <c r="HU21" s="20"/>
      <c r="HV21" s="20"/>
      <c r="HW21" s="20"/>
      <c r="HX21" s="20"/>
      <c r="HY21" s="20"/>
      <c r="HZ21" s="20"/>
      <c r="IA21" s="20"/>
      <c r="IB21" s="20"/>
      <c r="IC21" s="20"/>
      <c r="ID21" s="20"/>
      <c r="IE21" s="20"/>
      <c r="IF21" s="20"/>
      <c r="IG21" s="20"/>
      <c r="IH21" s="20"/>
      <c r="II21" s="20"/>
      <c r="IJ21" s="20"/>
      <c r="IK21" s="20"/>
      <c r="IL21" s="20"/>
      <c r="IM21" s="20"/>
      <c r="IN21" s="20"/>
      <c r="IO21" s="20"/>
      <c r="IP21" s="20"/>
      <c r="IQ21" s="20"/>
      <c r="IR21" s="20"/>
      <c r="IS21" s="20"/>
    </row>
    <row r="22" spans="1:253" s="3" customFormat="1" ht="30" customHeight="1" thickBot="1">
      <c r="A22" s="23"/>
      <c r="B22" s="63" t="s">
        <v>32</v>
      </c>
      <c r="C22" s="35"/>
      <c r="D22" s="19"/>
      <c r="E22" s="50">
        <f>MAX(F15, F20, F21, F16) -3</f>
        <v>45746</v>
      </c>
      <c r="F22" s="50">
        <f>E22+E207+10</f>
        <v>45756</v>
      </c>
      <c r="G22" s="10"/>
      <c r="H22" s="10">
        <f>IF(OR(ISBLANK(inizio_attività),ISBLANK(fine_attività)),"",fine_attività-inizio_attività+1)</f>
        <v>11</v>
      </c>
      <c r="I22" s="71"/>
      <c r="J22" s="20"/>
      <c r="K22" s="20"/>
      <c r="L22" s="20"/>
      <c r="M22" s="20"/>
      <c r="N22" s="20"/>
      <c r="O22" s="20"/>
      <c r="P22" s="20"/>
      <c r="Q22" s="20"/>
      <c r="R22" s="20"/>
      <c r="S22" s="20"/>
      <c r="T22" s="20"/>
      <c r="U22" s="20"/>
      <c r="V22" s="20"/>
      <c r="W22" s="20"/>
      <c r="X22" s="20"/>
      <c r="Y22" s="20"/>
      <c r="Z22" s="75"/>
      <c r="AA22" s="78"/>
      <c r="AB22" s="66"/>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75"/>
      <c r="CP22" s="86"/>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79"/>
      <c r="DU22" s="66"/>
      <c r="DV22" s="20"/>
      <c r="DW22" s="20"/>
      <c r="DX22" s="20"/>
      <c r="DY22" s="20"/>
      <c r="DZ22" s="20"/>
      <c r="EA22" s="20"/>
      <c r="EB22" s="20"/>
      <c r="EC22" s="20"/>
      <c r="ED22" s="20"/>
      <c r="EE22" s="20"/>
      <c r="EF22" s="20"/>
      <c r="EG22" s="20"/>
      <c r="EH22" s="20"/>
      <c r="EI22" s="20"/>
      <c r="EJ22" s="20"/>
      <c r="EK22" s="20"/>
      <c r="EL22" s="20"/>
      <c r="EM22" s="20"/>
      <c r="EN22" s="20"/>
      <c r="EO22" s="20"/>
      <c r="EP22" s="20"/>
      <c r="EQ22" s="20"/>
      <c r="ER22" s="87"/>
      <c r="ES22" s="66"/>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row>
    <row r="23" spans="1:253" s="3" customFormat="1" ht="30" customHeight="1" thickBot="1">
      <c r="A23" s="23"/>
      <c r="B23" s="38" t="s">
        <v>33</v>
      </c>
      <c r="C23" s="35"/>
      <c r="D23" s="19"/>
      <c r="E23" s="50">
        <f>F20 +4</f>
        <v>45737</v>
      </c>
      <c r="F23" s="50">
        <f>E23+30</f>
        <v>45767</v>
      </c>
      <c r="G23" s="10"/>
      <c r="H23" s="10">
        <f>IF(OR(ISBLANK(inizio_attività),ISBLANK(fine_attività)),"",fine_attività-inizio_attività+1)</f>
        <v>31</v>
      </c>
      <c r="I23" s="71"/>
      <c r="J23" s="20"/>
      <c r="K23" s="20"/>
      <c r="L23" s="20"/>
      <c r="M23" s="20"/>
      <c r="N23" s="20"/>
      <c r="O23" s="20"/>
      <c r="P23" s="20"/>
      <c r="Q23" s="20"/>
      <c r="R23" s="20"/>
      <c r="S23" s="20"/>
      <c r="T23" s="20"/>
      <c r="U23" s="20"/>
      <c r="V23" s="20"/>
      <c r="W23" s="20"/>
      <c r="X23" s="20"/>
      <c r="Y23" s="20"/>
      <c r="Z23" s="75"/>
      <c r="AA23" s="78"/>
      <c r="AB23" s="66"/>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75"/>
      <c r="CP23" s="86"/>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79"/>
      <c r="DU23" s="66"/>
      <c r="DV23" s="20"/>
      <c r="DW23" s="20"/>
      <c r="DX23" s="20"/>
      <c r="DY23" s="20"/>
      <c r="DZ23" s="20"/>
      <c r="EA23" s="20"/>
      <c r="EB23" s="20"/>
      <c r="EC23" s="20"/>
      <c r="ED23" s="20"/>
      <c r="EE23" s="20"/>
      <c r="EF23" s="20"/>
      <c r="EG23" s="20"/>
      <c r="EH23" s="20"/>
      <c r="EI23" s="20"/>
      <c r="EJ23" s="20"/>
      <c r="EK23" s="20"/>
      <c r="EL23" s="20"/>
      <c r="EM23" s="20"/>
      <c r="EN23" s="20"/>
      <c r="EO23" s="20"/>
      <c r="EP23" s="20"/>
      <c r="EQ23" s="20"/>
      <c r="ER23" s="87"/>
      <c r="ES23" s="66"/>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c r="HE23" s="20"/>
      <c r="HF23" s="20"/>
      <c r="HG23" s="20"/>
      <c r="HH23" s="20"/>
      <c r="HI23" s="20"/>
      <c r="HJ23" s="20"/>
      <c r="HK23" s="20"/>
      <c r="HL23" s="20"/>
      <c r="HM23" s="20"/>
      <c r="HN23" s="20"/>
      <c r="HO23" s="20"/>
      <c r="HP23" s="20"/>
      <c r="HQ23" s="20"/>
      <c r="HR23" s="20"/>
      <c r="HS23" s="20"/>
      <c r="HT23" s="20"/>
      <c r="HU23" s="20"/>
      <c r="HV23" s="20"/>
      <c r="HW23" s="20"/>
      <c r="HX23" s="20"/>
      <c r="HY23" s="20"/>
      <c r="HZ23" s="20"/>
      <c r="IA23" s="20"/>
      <c r="IB23" s="20"/>
      <c r="IC23" s="20"/>
      <c r="ID23" s="20"/>
      <c r="IE23" s="20"/>
      <c r="IF23" s="20"/>
      <c r="IG23" s="20"/>
      <c r="IH23" s="20"/>
      <c r="II23" s="20"/>
      <c r="IJ23" s="20"/>
      <c r="IK23" s="20"/>
      <c r="IL23" s="20"/>
      <c r="IM23" s="20"/>
      <c r="IN23" s="20"/>
      <c r="IO23" s="20"/>
      <c r="IP23" s="20"/>
      <c r="IQ23" s="20"/>
      <c r="IR23" s="20"/>
      <c r="IS23" s="20"/>
    </row>
    <row r="24" spans="1:253" s="3" customFormat="1" ht="30" customHeight="1" thickBot="1">
      <c r="A24" s="23"/>
      <c r="B24" s="58" t="s">
        <v>34</v>
      </c>
      <c r="C24" s="59"/>
      <c r="D24" s="60"/>
      <c r="E24" s="61"/>
      <c r="F24" s="62"/>
      <c r="G24" s="10"/>
      <c r="H24" s="10"/>
      <c r="I24" s="71"/>
      <c r="J24" s="20"/>
      <c r="K24" s="20"/>
      <c r="L24" s="20"/>
      <c r="M24" s="20"/>
      <c r="N24" s="20"/>
      <c r="O24" s="20"/>
      <c r="P24" s="20"/>
      <c r="Q24" s="20"/>
      <c r="R24" s="20"/>
      <c r="S24" s="20"/>
      <c r="T24" s="20"/>
      <c r="U24" s="20"/>
      <c r="V24" s="20"/>
      <c r="W24" s="20"/>
      <c r="X24" s="20"/>
      <c r="Y24" s="20"/>
      <c r="Z24" s="75"/>
      <c r="AA24" s="78"/>
      <c r="AB24" s="66"/>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75"/>
      <c r="CP24" s="86"/>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79"/>
      <c r="DU24" s="66"/>
      <c r="DV24" s="20"/>
      <c r="DW24" s="75"/>
      <c r="DX24" s="93"/>
      <c r="DY24" s="61"/>
      <c r="DZ24" s="61"/>
      <c r="EA24" s="61"/>
      <c r="EB24" s="61"/>
      <c r="EC24" s="61"/>
      <c r="ED24" s="61"/>
      <c r="EE24" s="61"/>
      <c r="EF24" s="61"/>
      <c r="EG24" s="61"/>
      <c r="EH24" s="61"/>
      <c r="EI24" s="61"/>
      <c r="EJ24" s="61"/>
      <c r="EK24" s="61"/>
      <c r="EL24" s="61"/>
      <c r="EM24" s="61"/>
      <c r="EN24" s="61"/>
      <c r="EO24" s="61"/>
      <c r="EP24" s="61"/>
      <c r="EQ24" s="61"/>
      <c r="ER24" s="88"/>
      <c r="ES24" s="61"/>
      <c r="ET24" s="61"/>
      <c r="EU24" s="61"/>
      <c r="EV24" s="61"/>
      <c r="EW24" s="61"/>
      <c r="EX24" s="61"/>
      <c r="EY24" s="61"/>
      <c r="EZ24" s="61"/>
      <c r="FA24" s="61"/>
      <c r="FB24" s="61"/>
      <c r="FC24" s="61"/>
      <c r="FD24" s="61"/>
      <c r="FE24" s="61"/>
      <c r="FF24" s="61"/>
      <c r="FG24" s="61"/>
      <c r="FH24" s="61"/>
      <c r="FI24" s="61"/>
      <c r="FJ24" s="61"/>
      <c r="FK24" s="61"/>
      <c r="FL24" s="61"/>
      <c r="FM24" s="61"/>
      <c r="FN24" s="61"/>
      <c r="FO24" s="61"/>
      <c r="FP24" s="61"/>
      <c r="FQ24" s="61"/>
      <c r="FR24" s="61"/>
      <c r="FS24" s="61"/>
      <c r="FT24" s="61"/>
      <c r="FU24" s="61"/>
      <c r="FV24" s="61"/>
      <c r="FW24" s="61"/>
      <c r="FX24" s="61"/>
      <c r="FY24" s="61"/>
      <c r="FZ24" s="61"/>
      <c r="GA24" s="61"/>
      <c r="GB24" s="61"/>
      <c r="GC24" s="61"/>
      <c r="GD24" s="61"/>
      <c r="GE24" s="61"/>
      <c r="GF24" s="61"/>
      <c r="GG24" s="61"/>
      <c r="GH24" s="61"/>
      <c r="GI24" s="61"/>
      <c r="GJ24" s="61"/>
      <c r="GK24" s="61"/>
      <c r="GL24" s="61"/>
      <c r="GM24" s="61"/>
      <c r="GN24" s="61"/>
      <c r="GO24" s="61"/>
      <c r="GP24" s="61"/>
      <c r="GQ24" s="61"/>
      <c r="GR24" s="61"/>
      <c r="GS24" s="61"/>
      <c r="GT24" s="61"/>
      <c r="GU24" s="61"/>
      <c r="GV24" s="61"/>
      <c r="GW24" s="61"/>
      <c r="GX24" s="61"/>
      <c r="GY24" s="61"/>
      <c r="GZ24" s="61"/>
      <c r="HA24" s="61"/>
      <c r="HB24" s="61"/>
      <c r="HC24" s="61"/>
      <c r="HD24" s="61"/>
      <c r="HE24" s="61"/>
      <c r="HF24" s="61"/>
      <c r="HG24" s="61"/>
      <c r="HH24" s="61"/>
      <c r="HI24" s="61"/>
      <c r="HJ24" s="61"/>
      <c r="HK24" s="61"/>
      <c r="HL24" s="61"/>
      <c r="HM24" s="61"/>
      <c r="HN24" s="61"/>
      <c r="HO24" s="61"/>
      <c r="HP24" s="61"/>
      <c r="HQ24" s="61"/>
      <c r="HR24" s="61"/>
      <c r="HS24" s="61"/>
      <c r="HT24" s="61"/>
      <c r="HU24" s="61"/>
      <c r="HV24" s="61"/>
      <c r="HW24" s="61"/>
      <c r="HX24" s="61"/>
      <c r="HY24" s="61"/>
      <c r="HZ24" s="61"/>
      <c r="IA24" s="61"/>
      <c r="IB24" s="61"/>
      <c r="IC24" s="61"/>
      <c r="ID24" s="61"/>
      <c r="IE24" s="61"/>
      <c r="IF24" s="61"/>
      <c r="IG24" s="61"/>
      <c r="IH24" s="61"/>
      <c r="II24" s="61"/>
      <c r="IJ24" s="61"/>
      <c r="IK24" s="61"/>
      <c r="IL24" s="61"/>
      <c r="IM24" s="61"/>
      <c r="IN24" s="94"/>
      <c r="IO24" s="66"/>
      <c r="IP24" s="20"/>
      <c r="IQ24" s="20"/>
      <c r="IR24" s="20"/>
      <c r="IS24" s="20"/>
    </row>
    <row r="25" spans="1:253" s="3" customFormat="1" ht="30" customHeight="1" thickBot="1">
      <c r="A25" s="23"/>
      <c r="B25" s="57" t="s">
        <v>40</v>
      </c>
      <c r="C25" s="54"/>
      <c r="D25" s="55"/>
      <c r="E25" s="56">
        <f>F20 +14</f>
        <v>45747</v>
      </c>
      <c r="F25" s="56">
        <f>E25+25</f>
        <v>45772</v>
      </c>
      <c r="G25" s="10"/>
      <c r="H25" s="10">
        <f t="shared" ref="H25:H27" si="176">IF(OR(ISBLANK(inizio_attività),ISBLANK(fine_attività)),"",fine_attività-inizio_attività+1)</f>
        <v>26</v>
      </c>
      <c r="I25" s="71"/>
      <c r="J25" s="20"/>
      <c r="K25" s="20"/>
      <c r="L25" s="20"/>
      <c r="M25" s="20"/>
      <c r="N25" s="20"/>
      <c r="O25" s="20"/>
      <c r="P25" s="20"/>
      <c r="Q25" s="20"/>
      <c r="R25" s="20"/>
      <c r="S25" s="20"/>
      <c r="T25" s="20"/>
      <c r="U25" s="20"/>
      <c r="V25" s="20"/>
      <c r="W25" s="20"/>
      <c r="X25" s="20"/>
      <c r="Y25" s="20"/>
      <c r="Z25" s="75"/>
      <c r="AA25" s="78"/>
      <c r="AB25" s="66"/>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75"/>
      <c r="CP25" s="86"/>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79"/>
      <c r="DU25" s="66"/>
      <c r="DV25" s="20"/>
      <c r="DW25" s="75"/>
      <c r="DX25" s="95"/>
      <c r="DY25" s="20"/>
      <c r="DZ25" s="20"/>
      <c r="EA25" s="20"/>
      <c r="EB25" s="20"/>
      <c r="EC25" s="20"/>
      <c r="ED25" s="20"/>
      <c r="EE25" s="20"/>
      <c r="EF25" s="20"/>
      <c r="EG25" s="20"/>
      <c r="EH25" s="20"/>
      <c r="EI25" s="20"/>
      <c r="EJ25" s="20"/>
      <c r="EK25" s="20"/>
      <c r="EL25" s="20"/>
      <c r="EM25" s="20"/>
      <c r="EN25" s="20"/>
      <c r="EO25" s="20"/>
      <c r="EP25" s="20"/>
      <c r="EQ25" s="20"/>
      <c r="ER25" s="87"/>
      <c r="ES25" s="66"/>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c r="IE25" s="20"/>
      <c r="IF25" s="20"/>
      <c r="IG25" s="20"/>
      <c r="IH25" s="20"/>
      <c r="II25" s="20"/>
      <c r="IJ25" s="20"/>
      <c r="IK25" s="20"/>
      <c r="IL25" s="20"/>
      <c r="IM25" s="20"/>
      <c r="IN25" s="96"/>
      <c r="IO25" s="66"/>
      <c r="IP25" s="20"/>
      <c r="IQ25" s="20"/>
      <c r="IR25" s="20"/>
      <c r="IS25" s="20"/>
    </row>
    <row r="26" spans="1:253" s="3" customFormat="1" ht="30" customHeight="1" thickBot="1">
      <c r="A26" s="23"/>
      <c r="B26" s="57" t="s">
        <v>35</v>
      </c>
      <c r="C26" s="54"/>
      <c r="D26" s="55"/>
      <c r="E26" s="56">
        <f>F25 -5</f>
        <v>45767</v>
      </c>
      <c r="F26" s="56">
        <f>E26+8</f>
        <v>45775</v>
      </c>
      <c r="G26" s="10"/>
      <c r="H26" s="10">
        <f t="shared" si="176"/>
        <v>9</v>
      </c>
      <c r="I26" s="71"/>
      <c r="J26" s="20"/>
      <c r="K26" s="20"/>
      <c r="L26" s="20"/>
      <c r="M26" s="20"/>
      <c r="N26" s="20"/>
      <c r="O26" s="20"/>
      <c r="P26" s="20"/>
      <c r="Q26" s="20"/>
      <c r="R26" s="20"/>
      <c r="S26" s="20"/>
      <c r="T26" s="20"/>
      <c r="U26" s="20"/>
      <c r="V26" s="20"/>
      <c r="W26" s="20"/>
      <c r="X26" s="20"/>
      <c r="Y26" s="20"/>
      <c r="Z26" s="75"/>
      <c r="AA26" s="78"/>
      <c r="AB26" s="66"/>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75"/>
      <c r="CP26" s="86"/>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79"/>
      <c r="DU26" s="66"/>
      <c r="DV26" s="20"/>
      <c r="DW26" s="75"/>
      <c r="DX26" s="95"/>
      <c r="DY26" s="20"/>
      <c r="DZ26" s="20"/>
      <c r="EA26" s="20"/>
      <c r="EB26" s="20"/>
      <c r="EC26" s="20"/>
      <c r="ED26" s="20"/>
      <c r="EE26" s="20"/>
      <c r="EF26" s="20"/>
      <c r="EG26" s="20"/>
      <c r="EH26" s="20"/>
      <c r="EI26" s="20"/>
      <c r="EJ26" s="20"/>
      <c r="EK26" s="20"/>
      <c r="EL26" s="20"/>
      <c r="EM26" s="20"/>
      <c r="EN26" s="20"/>
      <c r="EO26" s="20"/>
      <c r="EP26" s="20"/>
      <c r="EQ26" s="20"/>
      <c r="ER26" s="87"/>
      <c r="ES26" s="66"/>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c r="IE26" s="20"/>
      <c r="IF26" s="20"/>
      <c r="IG26" s="20"/>
      <c r="IH26" s="20"/>
      <c r="II26" s="20"/>
      <c r="IJ26" s="20"/>
      <c r="IK26" s="20"/>
      <c r="IL26" s="20"/>
      <c r="IM26" s="20"/>
      <c r="IN26" s="96"/>
      <c r="IO26" s="66"/>
      <c r="IP26" s="20"/>
      <c r="IQ26" s="20"/>
      <c r="IR26" s="20"/>
      <c r="IS26" s="20"/>
    </row>
    <row r="27" spans="1:253" s="3" customFormat="1" ht="30" customHeight="1" thickBot="1">
      <c r="A27" s="23" t="s">
        <v>36</v>
      </c>
      <c r="B27" s="57" t="s">
        <v>37</v>
      </c>
      <c r="C27" s="54"/>
      <c r="D27" s="55"/>
      <c r="E27" s="56">
        <f xml:space="preserve"> F26 +1</f>
        <v>45776</v>
      </c>
      <c r="F27" s="56">
        <f>E27 + 30</f>
        <v>45806</v>
      </c>
      <c r="G27" s="10"/>
      <c r="H27" s="10">
        <f t="shared" si="176"/>
        <v>31</v>
      </c>
      <c r="I27" s="71"/>
      <c r="J27" s="20"/>
      <c r="K27" s="20"/>
      <c r="L27" s="20"/>
      <c r="M27" s="20"/>
      <c r="N27" s="20"/>
      <c r="O27" s="20"/>
      <c r="P27" s="20"/>
      <c r="Q27" s="20"/>
      <c r="R27" s="20"/>
      <c r="S27" s="20"/>
      <c r="T27" s="20"/>
      <c r="U27" s="20"/>
      <c r="V27" s="20"/>
      <c r="W27" s="20"/>
      <c r="X27" s="20"/>
      <c r="Y27" s="20"/>
      <c r="Z27" s="75"/>
      <c r="AA27" s="78"/>
      <c r="AB27" s="66"/>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75"/>
      <c r="CP27" s="86"/>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79"/>
      <c r="DU27" s="66"/>
      <c r="DV27" s="20"/>
      <c r="DW27" s="75"/>
      <c r="DX27" s="95"/>
      <c r="DY27" s="20"/>
      <c r="DZ27" s="20"/>
      <c r="EA27" s="20"/>
      <c r="EB27" s="20"/>
      <c r="EC27" s="20"/>
      <c r="ED27" s="20"/>
      <c r="EE27" s="20"/>
      <c r="EF27" s="20"/>
      <c r="EG27" s="20"/>
      <c r="EH27" s="20"/>
      <c r="EI27" s="20"/>
      <c r="EJ27" s="20"/>
      <c r="EK27" s="20"/>
      <c r="EL27" s="20"/>
      <c r="EM27" s="20"/>
      <c r="EN27" s="20"/>
      <c r="EO27" s="20"/>
      <c r="EP27" s="20"/>
      <c r="EQ27" s="20"/>
      <c r="ER27" s="87"/>
      <c r="ES27" s="66"/>
      <c r="ET27" s="20"/>
      <c r="EU27" s="20"/>
      <c r="EV27" s="20"/>
      <c r="EW27" s="20"/>
      <c r="EX27" s="20"/>
      <c r="EY27" s="20"/>
      <c r="EZ27" s="20"/>
      <c r="FA27" s="20"/>
      <c r="FB27" s="20"/>
      <c r="FC27" s="20"/>
      <c r="FD27" s="20"/>
      <c r="FE27" s="20"/>
      <c r="FF27" s="20"/>
      <c r="FG27" s="20"/>
      <c r="FH27" s="20"/>
      <c r="FI27" s="20"/>
      <c r="FJ27" s="20"/>
      <c r="FK27" s="20"/>
      <c r="FL27" s="20"/>
      <c r="FM27" s="20"/>
      <c r="FN27" s="20"/>
      <c r="FO27" s="20"/>
      <c r="FP27" s="20"/>
      <c r="FQ27" s="20"/>
      <c r="FR27" s="20"/>
      <c r="FS27" s="20"/>
      <c r="FT27" s="20"/>
      <c r="FU27" s="20"/>
      <c r="FV27" s="20"/>
      <c r="FW27" s="20"/>
      <c r="FX27" s="20"/>
      <c r="FY27" s="20"/>
      <c r="FZ27" s="20"/>
      <c r="GA27" s="20"/>
      <c r="GB27" s="20"/>
      <c r="GC27" s="20"/>
      <c r="GD27" s="20"/>
      <c r="GE27" s="20"/>
      <c r="GF27" s="20"/>
      <c r="GG27" s="20"/>
      <c r="GH27" s="20"/>
      <c r="GI27" s="20"/>
      <c r="GJ27" s="20"/>
      <c r="GK27" s="20"/>
      <c r="GL27" s="20"/>
      <c r="GM27" s="20"/>
      <c r="GN27" s="20"/>
      <c r="GO27" s="20"/>
      <c r="GP27" s="20"/>
      <c r="GQ27" s="20"/>
      <c r="GR27" s="20"/>
      <c r="GS27" s="20"/>
      <c r="GT27" s="20"/>
      <c r="GU27" s="20"/>
      <c r="GV27" s="20"/>
      <c r="GW27" s="20"/>
      <c r="GX27" s="20"/>
      <c r="GY27" s="20"/>
      <c r="GZ27" s="20"/>
      <c r="HA27" s="20"/>
      <c r="HB27" s="20"/>
      <c r="HC27" s="20"/>
      <c r="HD27" s="20"/>
      <c r="HE27" s="20"/>
      <c r="HF27" s="20"/>
      <c r="HG27" s="20"/>
      <c r="HH27" s="20"/>
      <c r="HI27" s="20"/>
      <c r="HJ27" s="20"/>
      <c r="HK27" s="20"/>
      <c r="HL27" s="20"/>
      <c r="HM27" s="20"/>
      <c r="HN27" s="20"/>
      <c r="HO27" s="20"/>
      <c r="HP27" s="20"/>
      <c r="HQ27" s="20"/>
      <c r="HR27" s="20"/>
      <c r="HS27" s="20"/>
      <c r="HT27" s="20"/>
      <c r="HU27" s="20"/>
      <c r="HV27" s="20"/>
      <c r="HW27" s="20"/>
      <c r="HX27" s="20"/>
      <c r="HY27" s="20"/>
      <c r="HZ27" s="20"/>
      <c r="IA27" s="20"/>
      <c r="IB27" s="20"/>
      <c r="IC27" s="20"/>
      <c r="ID27" s="20"/>
      <c r="IE27" s="20"/>
      <c r="IF27" s="20"/>
      <c r="IG27" s="20"/>
      <c r="IH27" s="20"/>
      <c r="II27" s="20"/>
      <c r="IJ27" s="20"/>
      <c r="IK27" s="20"/>
      <c r="IL27" s="20"/>
      <c r="IM27" s="20"/>
      <c r="IN27" s="96"/>
      <c r="IO27" s="66"/>
      <c r="IP27" s="20"/>
      <c r="IQ27" s="20"/>
      <c r="IR27" s="20"/>
      <c r="IS27" s="20"/>
    </row>
    <row r="28" spans="1:253" s="3" customFormat="1" ht="30" customHeight="1" thickBot="1">
      <c r="A28" s="23"/>
      <c r="B28" s="57" t="s">
        <v>38</v>
      </c>
      <c r="C28" s="54"/>
      <c r="D28" s="55"/>
      <c r="E28" s="56">
        <f>MAX(F9:F27)  + 1</f>
        <v>45807</v>
      </c>
      <c r="F28" s="56">
        <f xml:space="preserve"> E28 + 60</f>
        <v>45867</v>
      </c>
      <c r="G28" s="10"/>
      <c r="H28" s="10">
        <f>IF(OR(ISBLANK(inizio_attività),ISBLANK(fine_attività)),"",fine_attività-inizio_attività+1)</f>
        <v>61</v>
      </c>
      <c r="I28" s="71"/>
      <c r="J28" s="20"/>
      <c r="K28" s="20"/>
      <c r="L28" s="20"/>
      <c r="M28" s="20"/>
      <c r="N28" s="20"/>
      <c r="O28" s="20"/>
      <c r="P28" s="20"/>
      <c r="Q28" s="20"/>
      <c r="R28" s="20"/>
      <c r="S28" s="20"/>
      <c r="T28" s="20"/>
      <c r="U28" s="20"/>
      <c r="V28" s="20"/>
      <c r="W28" s="20"/>
      <c r="X28" s="20"/>
      <c r="Y28" s="20"/>
      <c r="Z28" s="75"/>
      <c r="AA28" s="78"/>
      <c r="AB28" s="66"/>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75"/>
      <c r="CP28" s="86"/>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79"/>
      <c r="DU28" s="66"/>
      <c r="DV28" s="20"/>
      <c r="DW28" s="75"/>
      <c r="DX28" s="95"/>
      <c r="DY28" s="20"/>
      <c r="DZ28" s="20"/>
      <c r="EA28" s="20"/>
      <c r="EB28" s="20"/>
      <c r="EC28" s="20"/>
      <c r="ED28" s="20"/>
      <c r="EE28" s="20"/>
      <c r="EF28" s="20"/>
      <c r="EG28" s="20"/>
      <c r="EH28" s="20"/>
      <c r="EI28" s="20"/>
      <c r="EJ28" s="20"/>
      <c r="EK28" s="20"/>
      <c r="EL28" s="20"/>
      <c r="EM28" s="20"/>
      <c r="EN28" s="20"/>
      <c r="EO28" s="20"/>
      <c r="EP28" s="20"/>
      <c r="EQ28" s="20"/>
      <c r="ER28" s="87"/>
      <c r="ES28" s="66"/>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c r="FY28" s="20"/>
      <c r="FZ28" s="20"/>
      <c r="GA28" s="20"/>
      <c r="GB28" s="20"/>
      <c r="GC28" s="20"/>
      <c r="GD28" s="20"/>
      <c r="GE28" s="20"/>
      <c r="GF28" s="20"/>
      <c r="GG28" s="20"/>
      <c r="GH28" s="20"/>
      <c r="GI28" s="20"/>
      <c r="GJ28" s="20"/>
      <c r="GK28" s="20"/>
      <c r="GL28" s="20"/>
      <c r="GM28" s="20"/>
      <c r="GN28" s="20"/>
      <c r="GO28" s="20"/>
      <c r="GP28" s="20"/>
      <c r="GQ28" s="20"/>
      <c r="GR28" s="20"/>
      <c r="GS28" s="20"/>
      <c r="GT28" s="20"/>
      <c r="GU28" s="20"/>
      <c r="GV28" s="20"/>
      <c r="GW28" s="20"/>
      <c r="GX28" s="20"/>
      <c r="GY28" s="20"/>
      <c r="GZ28" s="20"/>
      <c r="HA28" s="20"/>
      <c r="HB28" s="20"/>
      <c r="HC28" s="20"/>
      <c r="HD28" s="20"/>
      <c r="HE28" s="20"/>
      <c r="HF28" s="20"/>
      <c r="HG28" s="20"/>
      <c r="HH28" s="20"/>
      <c r="HI28" s="20"/>
      <c r="HJ28" s="20"/>
      <c r="HK28" s="20"/>
      <c r="HL28" s="20"/>
      <c r="HM28" s="20"/>
      <c r="HN28" s="20"/>
      <c r="HO28" s="20"/>
      <c r="HP28" s="20"/>
      <c r="HQ28" s="20"/>
      <c r="HR28" s="20"/>
      <c r="HS28" s="20"/>
      <c r="HT28" s="20"/>
      <c r="HU28" s="20"/>
      <c r="HV28" s="20"/>
      <c r="HW28" s="20"/>
      <c r="HX28" s="20"/>
      <c r="HY28" s="20"/>
      <c r="HZ28" s="20"/>
      <c r="IA28" s="20"/>
      <c r="IB28" s="20"/>
      <c r="IC28" s="20"/>
      <c r="ID28" s="20"/>
      <c r="IE28" s="20"/>
      <c r="IF28" s="20"/>
      <c r="IG28" s="20"/>
      <c r="IH28" s="20"/>
      <c r="II28" s="20"/>
      <c r="IJ28" s="20"/>
      <c r="IK28" s="20"/>
      <c r="IL28" s="20"/>
      <c r="IM28" s="20"/>
      <c r="IN28" s="96"/>
      <c r="IO28" s="66"/>
      <c r="IP28" s="20"/>
      <c r="IQ28" s="20"/>
      <c r="IR28" s="20"/>
      <c r="IS28" s="20"/>
    </row>
    <row r="29" spans="1:253" s="3" customFormat="1" ht="30" customHeight="1">
      <c r="A29" s="24" t="s">
        <v>39</v>
      </c>
      <c r="B29"/>
      <c r="C29"/>
      <c r="D29"/>
      <c r="E29" s="5"/>
      <c r="F29"/>
      <c r="G29" s="6"/>
      <c r="H29"/>
      <c r="I29" s="74"/>
      <c r="J29"/>
      <c r="K29"/>
      <c r="L29"/>
      <c r="M29"/>
      <c r="N29"/>
      <c r="O29"/>
      <c r="P29"/>
      <c r="Q29"/>
      <c r="R29"/>
      <c r="S29"/>
      <c r="T29"/>
      <c r="U29"/>
      <c r="V29"/>
      <c r="W29"/>
      <c r="X29"/>
      <c r="Y29"/>
      <c r="Z29"/>
      <c r="AA29" s="81"/>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CP29" s="89"/>
      <c r="DT29" s="82"/>
      <c r="DX29" s="97"/>
      <c r="ER29" s="90"/>
      <c r="IN29" s="98"/>
    </row>
    <row r="30" spans="1:253" ht="30" customHeight="1">
      <c r="C30" t="s">
        <v>50</v>
      </c>
      <c r="E30" s="5" t="s">
        <v>49</v>
      </c>
      <c r="G30" s="6"/>
      <c r="I30" s="74"/>
      <c r="AA30" s="81"/>
      <c r="CP30" s="91"/>
      <c r="DT30" s="83"/>
      <c r="DX30" s="99"/>
      <c r="ER30" s="92"/>
      <c r="IN30" s="100"/>
    </row>
    <row r="31" spans="1:253" ht="30" customHeight="1">
      <c r="B31" s="101" t="s">
        <v>45</v>
      </c>
      <c r="C31" s="102">
        <v>550</v>
      </c>
      <c r="E31" s="113">
        <f>C31*H31</f>
        <v>7095</v>
      </c>
      <c r="F31" s="25"/>
      <c r="H31" s="104">
        <f>SUM(I31:IN31)</f>
        <v>12.9</v>
      </c>
      <c r="I31" s="105">
        <v>0.1</v>
      </c>
      <c r="J31" s="106">
        <v>0.1</v>
      </c>
      <c r="K31" s="106">
        <v>0.1</v>
      </c>
      <c r="L31" s="106">
        <v>0.1</v>
      </c>
      <c r="M31" s="106">
        <v>0.1</v>
      </c>
      <c r="N31" s="106">
        <v>0.1</v>
      </c>
      <c r="O31" s="106">
        <v>0.1</v>
      </c>
      <c r="P31" s="106">
        <v>0.1</v>
      </c>
      <c r="Q31" s="106">
        <v>0.1</v>
      </c>
      <c r="R31" s="106">
        <v>0.1</v>
      </c>
      <c r="S31" s="106">
        <v>0.1</v>
      </c>
      <c r="T31" s="106">
        <v>0.1</v>
      </c>
      <c r="U31" s="106">
        <v>0.1</v>
      </c>
      <c r="V31" s="106">
        <v>0.1</v>
      </c>
      <c r="W31" s="106">
        <v>0.1</v>
      </c>
      <c r="X31" s="106">
        <v>0.1</v>
      </c>
      <c r="Y31" s="106">
        <v>0.1</v>
      </c>
      <c r="Z31" s="106">
        <v>0.1</v>
      </c>
      <c r="AA31" s="107">
        <v>0.1</v>
      </c>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c r="BP31" s="104"/>
      <c r="BQ31" s="104"/>
      <c r="BR31" s="104"/>
      <c r="BS31" s="104"/>
      <c r="BT31" s="104"/>
      <c r="BU31" s="104"/>
      <c r="BV31" s="104"/>
      <c r="BW31" s="104"/>
      <c r="BX31" s="104"/>
      <c r="BY31" s="104"/>
      <c r="BZ31" s="104"/>
      <c r="CA31" s="104"/>
      <c r="CB31" s="104"/>
      <c r="CC31" s="104"/>
      <c r="CD31" s="104"/>
      <c r="CE31" s="104"/>
      <c r="CF31" s="104"/>
      <c r="CG31" s="104"/>
      <c r="CH31" s="104"/>
      <c r="CI31" s="104"/>
      <c r="CJ31" s="104"/>
      <c r="CK31" s="104"/>
      <c r="CL31" s="104"/>
      <c r="CM31" s="104"/>
      <c r="CN31" s="104"/>
      <c r="CO31" s="104"/>
      <c r="CP31" s="108"/>
      <c r="CQ31" s="104"/>
      <c r="CR31" s="104"/>
      <c r="CS31" s="104"/>
      <c r="CT31" s="104"/>
      <c r="CU31" s="104"/>
      <c r="CV31" s="104"/>
      <c r="CW31" s="104"/>
      <c r="CX31" s="104"/>
      <c r="CY31" s="104"/>
      <c r="CZ31" s="104"/>
      <c r="DA31" s="104"/>
      <c r="DB31" s="104"/>
      <c r="DC31" s="104"/>
      <c r="DD31" s="104"/>
      <c r="DE31" s="104"/>
      <c r="DF31" s="104">
        <v>1</v>
      </c>
      <c r="DG31" s="104">
        <v>1</v>
      </c>
      <c r="DH31" s="104">
        <v>1</v>
      </c>
      <c r="DI31" s="104">
        <v>1</v>
      </c>
      <c r="DJ31" s="104">
        <v>1</v>
      </c>
      <c r="DK31" s="104">
        <v>1</v>
      </c>
      <c r="DL31" s="104"/>
      <c r="DM31" s="104"/>
      <c r="DN31" s="104"/>
      <c r="DO31" s="104"/>
      <c r="DP31" s="104">
        <v>1</v>
      </c>
      <c r="DQ31" s="104">
        <v>1</v>
      </c>
      <c r="DR31" s="104">
        <v>1</v>
      </c>
      <c r="DS31" s="104">
        <v>1</v>
      </c>
      <c r="DT31" s="109">
        <v>1</v>
      </c>
      <c r="DU31" s="104"/>
      <c r="DV31" s="104"/>
      <c r="DW31" s="104"/>
      <c r="DX31" s="110"/>
      <c r="DY31" s="104"/>
      <c r="DZ31" s="104"/>
      <c r="EA31" s="104"/>
      <c r="EB31" s="104"/>
      <c r="EC31" s="104"/>
      <c r="ED31" s="104"/>
      <c r="EE31" s="104"/>
      <c r="EF31" s="104"/>
      <c r="EG31" s="104"/>
      <c r="EH31" s="104"/>
      <c r="EI31" s="104"/>
      <c r="EJ31" s="104"/>
      <c r="EK31" s="104"/>
      <c r="EL31" s="104"/>
      <c r="EM31" s="104"/>
      <c r="EN31" s="104"/>
      <c r="EO31" s="104"/>
      <c r="EP31" s="104"/>
      <c r="EQ31" s="104"/>
      <c r="ER31" s="111"/>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4"/>
      <c r="FP31" s="104"/>
      <c r="FQ31" s="104"/>
      <c r="FR31" s="104"/>
      <c r="FS31" s="104"/>
      <c r="FT31" s="104"/>
      <c r="FU31" s="104"/>
      <c r="FV31" s="104"/>
      <c r="FW31" s="104"/>
      <c r="FX31" s="104"/>
      <c r="FY31" s="104"/>
      <c r="FZ31" s="104"/>
      <c r="GA31" s="104"/>
      <c r="GB31" s="104"/>
      <c r="GC31" s="104"/>
      <c r="GD31" s="104"/>
      <c r="GE31" s="104"/>
      <c r="GF31" s="104"/>
      <c r="GG31" s="104"/>
      <c r="GH31" s="104"/>
      <c r="GI31" s="104"/>
      <c r="GJ31" s="104"/>
      <c r="GK31" s="104"/>
      <c r="GL31" s="104"/>
      <c r="GM31" s="104"/>
      <c r="GN31" s="104"/>
      <c r="GO31" s="104"/>
      <c r="GP31" s="104"/>
      <c r="GQ31" s="104"/>
      <c r="GR31" s="104"/>
      <c r="GS31" s="104"/>
      <c r="GT31" s="104"/>
      <c r="GU31" s="104"/>
      <c r="GV31" s="104"/>
      <c r="GW31" s="104"/>
      <c r="GX31" s="104"/>
      <c r="GY31" s="104"/>
      <c r="GZ31" s="104"/>
      <c r="HA31" s="104"/>
      <c r="HB31" s="104"/>
      <c r="HC31" s="104"/>
      <c r="HD31" s="104"/>
      <c r="HE31" s="104"/>
      <c r="HF31" s="104"/>
      <c r="HG31" s="104"/>
      <c r="HH31" s="104"/>
      <c r="HI31" s="104"/>
      <c r="HJ31" s="104"/>
      <c r="HK31" s="104"/>
      <c r="HL31" s="104"/>
      <c r="HM31" s="104"/>
      <c r="HN31" s="104"/>
      <c r="HO31" s="104"/>
      <c r="HP31" s="104"/>
      <c r="HQ31" s="104"/>
      <c r="HR31" s="104"/>
      <c r="HS31" s="104"/>
      <c r="HT31" s="104"/>
      <c r="HU31" s="104"/>
      <c r="HV31" s="104"/>
      <c r="HW31" s="104"/>
      <c r="HX31" s="104"/>
      <c r="HY31" s="104"/>
      <c r="HZ31" s="104"/>
      <c r="IA31" s="104"/>
      <c r="IB31" s="104"/>
      <c r="IC31" s="104"/>
      <c r="ID31" s="104"/>
      <c r="IE31" s="104"/>
      <c r="IF31" s="104"/>
      <c r="IG31" s="104"/>
      <c r="IH31" s="104"/>
      <c r="II31" s="104"/>
      <c r="IJ31" s="104"/>
      <c r="IK31" s="104"/>
      <c r="IL31" s="104"/>
      <c r="IM31" s="104"/>
      <c r="IN31" s="112"/>
    </row>
    <row r="32" spans="1:253" ht="30" customHeight="1">
      <c r="B32" s="101" t="s">
        <v>42</v>
      </c>
      <c r="C32" s="102">
        <v>350</v>
      </c>
      <c r="E32" s="113">
        <f t="shared" ref="E32:E37" si="177">C32*H32</f>
        <v>3937.5</v>
      </c>
      <c r="H32" s="104">
        <f>SUM(I32:IN32)</f>
        <v>11.25</v>
      </c>
      <c r="I32" s="105">
        <v>0.25</v>
      </c>
      <c r="J32" s="106">
        <v>0.25</v>
      </c>
      <c r="K32" s="106">
        <v>0.25</v>
      </c>
      <c r="L32" s="106">
        <v>0.25</v>
      </c>
      <c r="M32" s="106">
        <v>0.25</v>
      </c>
      <c r="N32" s="106">
        <v>0.25</v>
      </c>
      <c r="O32" s="106">
        <v>0.25</v>
      </c>
      <c r="P32" s="106">
        <v>0.25</v>
      </c>
      <c r="Q32" s="106">
        <v>0.25</v>
      </c>
      <c r="R32" s="106">
        <v>0.25</v>
      </c>
      <c r="S32" s="106">
        <v>0.25</v>
      </c>
      <c r="T32" s="106">
        <v>0.25</v>
      </c>
      <c r="U32" s="106">
        <v>0.25</v>
      </c>
      <c r="V32" s="106">
        <v>0.25</v>
      </c>
      <c r="W32" s="106">
        <v>0.25</v>
      </c>
      <c r="X32" s="106">
        <v>0.25</v>
      </c>
      <c r="Y32" s="106">
        <v>0.25</v>
      </c>
      <c r="Z32" s="106">
        <v>0.25</v>
      </c>
      <c r="AA32" s="107">
        <v>0.25</v>
      </c>
      <c r="AB32" s="104"/>
      <c r="AC32" s="104"/>
      <c r="AD32" s="104"/>
      <c r="AE32" s="104"/>
      <c r="AF32" s="104"/>
      <c r="AG32" s="104"/>
      <c r="AH32" s="104"/>
      <c r="AI32" s="104"/>
      <c r="AJ32" s="104"/>
      <c r="AK32" s="104"/>
      <c r="AL32" s="104"/>
      <c r="AM32" s="104"/>
      <c r="AN32" s="104"/>
      <c r="AO32" s="104"/>
      <c r="AP32" s="104"/>
      <c r="AQ32" s="104"/>
      <c r="AR32" s="104"/>
      <c r="AS32" s="104"/>
      <c r="AT32" s="104"/>
      <c r="AU32" s="104"/>
      <c r="AV32" s="104">
        <v>0.25</v>
      </c>
      <c r="AW32" s="104">
        <v>0.25</v>
      </c>
      <c r="AX32" s="104">
        <v>0.25</v>
      </c>
      <c r="AY32" s="104">
        <v>0.25</v>
      </c>
      <c r="AZ32" s="104">
        <v>0.25</v>
      </c>
      <c r="BA32" s="104">
        <v>0.25</v>
      </c>
      <c r="BB32" s="104">
        <v>0.25</v>
      </c>
      <c r="BC32" s="104">
        <v>0.25</v>
      </c>
      <c r="BD32" s="104">
        <v>0.25</v>
      </c>
      <c r="BE32" s="104">
        <v>0.25</v>
      </c>
      <c r="BF32" s="104">
        <v>0.25</v>
      </c>
      <c r="BG32" s="104">
        <v>0.25</v>
      </c>
      <c r="BH32" s="104">
        <v>0.25</v>
      </c>
      <c r="BI32" s="104">
        <v>0.25</v>
      </c>
      <c r="BJ32" s="104">
        <v>0.25</v>
      </c>
      <c r="BK32" s="104">
        <v>0.25</v>
      </c>
      <c r="BL32" s="104">
        <v>0.25</v>
      </c>
      <c r="BM32" s="104">
        <v>0.25</v>
      </c>
      <c r="BN32" s="104">
        <v>0.25</v>
      </c>
      <c r="BO32" s="104">
        <v>0.25</v>
      </c>
      <c r="BP32" s="104">
        <v>0.25</v>
      </c>
      <c r="BQ32" s="104">
        <v>0.25</v>
      </c>
      <c r="BR32" s="104">
        <v>0.25</v>
      </c>
      <c r="BS32" s="104">
        <v>0.25</v>
      </c>
      <c r="BT32" s="104">
        <v>0.25</v>
      </c>
      <c r="BU32" s="104">
        <v>0.25</v>
      </c>
      <c r="BV32" s="104"/>
      <c r="BW32" s="104"/>
      <c r="BX32" s="104"/>
      <c r="BY32" s="104"/>
      <c r="BZ32" s="104"/>
      <c r="CA32" s="104"/>
      <c r="CB32" s="104"/>
      <c r="CC32" s="104"/>
      <c r="CD32" s="104"/>
      <c r="CE32" s="104"/>
      <c r="CF32" s="104"/>
      <c r="CG32" s="104"/>
      <c r="CH32" s="104"/>
      <c r="CI32" s="104"/>
      <c r="CJ32" s="104"/>
      <c r="CK32" s="104"/>
      <c r="CL32" s="104"/>
      <c r="CM32" s="104"/>
      <c r="CN32" s="104"/>
      <c r="CO32" s="104"/>
      <c r="CP32" s="108"/>
      <c r="CQ32" s="104"/>
      <c r="CR32" s="104"/>
      <c r="CS32" s="104"/>
      <c r="CT32" s="104"/>
      <c r="CU32" s="104"/>
      <c r="CV32" s="104"/>
      <c r="CW32" s="104"/>
      <c r="CX32" s="104"/>
      <c r="CY32" s="104"/>
      <c r="CZ32" s="104"/>
      <c r="DA32" s="104"/>
      <c r="DB32" s="104"/>
      <c r="DC32" s="104"/>
      <c r="DD32" s="104"/>
      <c r="DE32" s="104"/>
      <c r="DF32" s="104"/>
      <c r="DG32" s="104"/>
      <c r="DH32" s="104"/>
      <c r="DI32" s="104"/>
      <c r="DJ32" s="104"/>
      <c r="DK32" s="104"/>
      <c r="DL32" s="104"/>
      <c r="DM32" s="104"/>
      <c r="DN32" s="104"/>
      <c r="DO32" s="104"/>
      <c r="DP32" s="104"/>
      <c r="DQ32" s="104"/>
      <c r="DR32" s="104"/>
      <c r="DS32" s="104"/>
      <c r="DT32" s="109"/>
      <c r="DU32" s="104"/>
      <c r="DV32" s="104"/>
      <c r="DW32" s="104"/>
      <c r="DX32" s="110"/>
      <c r="DY32" s="104"/>
      <c r="DZ32" s="104"/>
      <c r="EA32" s="104"/>
      <c r="EB32" s="104"/>
      <c r="EC32" s="104"/>
      <c r="ED32" s="104"/>
      <c r="EE32" s="104"/>
      <c r="EF32" s="104"/>
      <c r="EG32" s="104"/>
      <c r="EH32" s="104"/>
      <c r="EI32" s="104"/>
      <c r="EJ32" s="104"/>
      <c r="EK32" s="104"/>
      <c r="EL32" s="104"/>
      <c r="EM32" s="104"/>
      <c r="EN32" s="104"/>
      <c r="EO32" s="104"/>
      <c r="EP32" s="104"/>
      <c r="EQ32" s="104"/>
      <c r="ER32" s="111"/>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4"/>
      <c r="FP32" s="104"/>
      <c r="FQ32" s="104"/>
      <c r="FR32" s="104"/>
      <c r="FS32" s="104"/>
      <c r="FT32" s="104"/>
      <c r="FU32" s="104"/>
      <c r="FV32" s="104"/>
      <c r="FW32" s="104"/>
      <c r="FX32" s="104"/>
      <c r="FY32" s="104"/>
      <c r="FZ32" s="104"/>
      <c r="GA32" s="104"/>
      <c r="GB32" s="104"/>
      <c r="GC32" s="104"/>
      <c r="GD32" s="104"/>
      <c r="GE32" s="104"/>
      <c r="GF32" s="104"/>
      <c r="GG32" s="104"/>
      <c r="GH32" s="104"/>
      <c r="GI32" s="104"/>
      <c r="GJ32" s="104"/>
      <c r="GK32" s="104"/>
      <c r="GL32" s="104"/>
      <c r="GM32" s="104"/>
      <c r="GN32" s="104"/>
      <c r="GO32" s="104"/>
      <c r="GP32" s="104"/>
      <c r="GQ32" s="104"/>
      <c r="GR32" s="104"/>
      <c r="GS32" s="104"/>
      <c r="GT32" s="104"/>
      <c r="GU32" s="104"/>
      <c r="GV32" s="104"/>
      <c r="GW32" s="104"/>
      <c r="GX32" s="104"/>
      <c r="GY32" s="104"/>
      <c r="GZ32" s="104"/>
      <c r="HA32" s="104"/>
      <c r="HB32" s="104"/>
      <c r="HC32" s="104"/>
      <c r="HD32" s="104"/>
      <c r="HE32" s="104"/>
      <c r="HF32" s="104"/>
      <c r="HG32" s="104"/>
      <c r="HH32" s="104"/>
      <c r="HI32" s="104"/>
      <c r="HJ32" s="104"/>
      <c r="HK32" s="104"/>
      <c r="HL32" s="104"/>
      <c r="HM32" s="104"/>
      <c r="HN32" s="104"/>
      <c r="HO32" s="104"/>
      <c r="HP32" s="104"/>
      <c r="HQ32" s="104"/>
      <c r="HR32" s="104"/>
      <c r="HS32" s="104"/>
      <c r="HT32" s="104"/>
      <c r="HU32" s="104"/>
      <c r="HV32" s="104"/>
      <c r="HW32" s="104"/>
      <c r="HX32" s="104"/>
      <c r="HY32" s="104"/>
      <c r="HZ32" s="104"/>
      <c r="IA32" s="104"/>
      <c r="IB32" s="104"/>
      <c r="IC32" s="104"/>
      <c r="ID32" s="104"/>
      <c r="IE32" s="104"/>
      <c r="IF32" s="104"/>
      <c r="IG32" s="104"/>
      <c r="IH32" s="104"/>
      <c r="II32" s="104"/>
      <c r="IJ32" s="104"/>
      <c r="IK32" s="104"/>
      <c r="IL32" s="104"/>
      <c r="IM32" s="104"/>
      <c r="IN32" s="112"/>
    </row>
    <row r="33" spans="2:248" ht="30" customHeight="1">
      <c r="B33" s="101" t="s">
        <v>43</v>
      </c>
      <c r="C33" s="102">
        <v>300</v>
      </c>
      <c r="E33" s="113">
        <f t="shared" si="177"/>
        <v>26400</v>
      </c>
      <c r="H33" s="104">
        <f t="shared" ref="H33:H37" si="178">SUM(I33:IN33)</f>
        <v>88</v>
      </c>
      <c r="I33" s="105"/>
      <c r="J33" s="106"/>
      <c r="K33" s="106"/>
      <c r="L33" s="106"/>
      <c r="M33" s="106"/>
      <c r="N33" s="106"/>
      <c r="O33" s="106"/>
      <c r="P33" s="106"/>
      <c r="Q33" s="106"/>
      <c r="R33" s="106"/>
      <c r="S33" s="106">
        <v>0.5</v>
      </c>
      <c r="T33" s="106">
        <v>0.5</v>
      </c>
      <c r="U33" s="106">
        <v>0.5</v>
      </c>
      <c r="V33" s="106">
        <v>0.5</v>
      </c>
      <c r="W33" s="106">
        <v>0.5</v>
      </c>
      <c r="X33" s="106">
        <v>0.5</v>
      </c>
      <c r="Y33" s="106">
        <v>0.5</v>
      </c>
      <c r="Z33" s="106">
        <v>0.5</v>
      </c>
      <c r="AA33" s="107">
        <v>0.5</v>
      </c>
      <c r="AB33" s="104">
        <v>1</v>
      </c>
      <c r="AC33" s="104">
        <v>0.5</v>
      </c>
      <c r="AD33" s="104">
        <v>1</v>
      </c>
      <c r="AE33" s="104">
        <v>0.5</v>
      </c>
      <c r="AF33" s="104">
        <v>0.5</v>
      </c>
      <c r="AG33" s="104">
        <v>1</v>
      </c>
      <c r="AH33" s="104">
        <v>0.5</v>
      </c>
      <c r="AI33" s="104">
        <v>0.5</v>
      </c>
      <c r="AJ33" s="104">
        <v>1</v>
      </c>
      <c r="AK33" s="104">
        <v>0.5</v>
      </c>
      <c r="AL33" s="104">
        <v>0.5</v>
      </c>
      <c r="AM33" s="104">
        <v>1</v>
      </c>
      <c r="AN33" s="104">
        <v>0.5</v>
      </c>
      <c r="AO33" s="104">
        <v>0.5</v>
      </c>
      <c r="AP33" s="104">
        <v>1</v>
      </c>
      <c r="AQ33" s="104">
        <v>0.5</v>
      </c>
      <c r="AR33" s="104">
        <v>0.5</v>
      </c>
      <c r="AS33" s="104">
        <v>1</v>
      </c>
      <c r="AT33" s="104">
        <v>0.5</v>
      </c>
      <c r="AU33" s="104">
        <v>0.5</v>
      </c>
      <c r="AV33" s="104">
        <v>1</v>
      </c>
      <c r="AW33" s="104">
        <v>0.5</v>
      </c>
      <c r="AX33" s="104">
        <v>1</v>
      </c>
      <c r="AY33" s="104">
        <v>1</v>
      </c>
      <c r="AZ33" s="104">
        <v>1</v>
      </c>
      <c r="BA33" s="104">
        <v>0.5</v>
      </c>
      <c r="BB33" s="104">
        <v>1</v>
      </c>
      <c r="BC33" s="104">
        <v>1</v>
      </c>
      <c r="BD33" s="104">
        <v>1</v>
      </c>
      <c r="BE33" s="104">
        <v>1</v>
      </c>
      <c r="BF33" s="104">
        <v>0.5</v>
      </c>
      <c r="BG33" s="104">
        <v>1</v>
      </c>
      <c r="BH33" s="104">
        <v>1</v>
      </c>
      <c r="BI33" s="104">
        <v>1</v>
      </c>
      <c r="BJ33" s="104">
        <v>1</v>
      </c>
      <c r="BK33" s="104">
        <v>0.5</v>
      </c>
      <c r="BL33" s="104">
        <v>1</v>
      </c>
      <c r="BM33" s="104">
        <v>0.5</v>
      </c>
      <c r="BN33" s="104">
        <v>1</v>
      </c>
      <c r="BO33" s="104">
        <v>1</v>
      </c>
      <c r="BP33" s="104">
        <v>1</v>
      </c>
      <c r="BQ33" s="104">
        <v>1</v>
      </c>
      <c r="BR33" s="104">
        <v>1</v>
      </c>
      <c r="BS33" s="104">
        <v>1</v>
      </c>
      <c r="BT33" s="104">
        <v>1</v>
      </c>
      <c r="BU33" s="104">
        <v>1</v>
      </c>
      <c r="BV33" s="104">
        <v>1</v>
      </c>
      <c r="BW33" s="104">
        <v>0.5</v>
      </c>
      <c r="BX33" s="104">
        <v>0.5</v>
      </c>
      <c r="BY33" s="104">
        <v>1</v>
      </c>
      <c r="BZ33" s="104">
        <v>1</v>
      </c>
      <c r="CA33" s="104">
        <v>1</v>
      </c>
      <c r="CB33" s="104">
        <v>1</v>
      </c>
      <c r="CC33" s="104">
        <v>1</v>
      </c>
      <c r="CD33" s="104">
        <v>1</v>
      </c>
      <c r="CE33" s="104">
        <v>1</v>
      </c>
      <c r="CF33" s="104">
        <v>1</v>
      </c>
      <c r="CG33" s="104">
        <v>1</v>
      </c>
      <c r="CH33" s="104">
        <v>1</v>
      </c>
      <c r="CI33" s="104">
        <v>1</v>
      </c>
      <c r="CJ33" s="104">
        <v>1</v>
      </c>
      <c r="CK33" s="104">
        <v>1</v>
      </c>
      <c r="CL33" s="104">
        <v>1</v>
      </c>
      <c r="CM33" s="104">
        <v>1</v>
      </c>
      <c r="CN33" s="104">
        <v>1</v>
      </c>
      <c r="CO33" s="104">
        <v>1</v>
      </c>
      <c r="CP33" s="108">
        <v>0.5</v>
      </c>
      <c r="CQ33" s="104">
        <v>0.5</v>
      </c>
      <c r="CR33" s="104">
        <v>0.5</v>
      </c>
      <c r="CS33" s="104">
        <v>0.5</v>
      </c>
      <c r="CT33" s="104">
        <v>0.5</v>
      </c>
      <c r="CU33" s="104">
        <v>0.5</v>
      </c>
      <c r="CV33" s="104">
        <v>0.5</v>
      </c>
      <c r="CW33" s="104">
        <v>0.5</v>
      </c>
      <c r="CX33" s="104">
        <v>0.5</v>
      </c>
      <c r="CY33" s="104">
        <v>0.5</v>
      </c>
      <c r="CZ33" s="104">
        <v>0.5</v>
      </c>
      <c r="DA33" s="104">
        <v>0.5</v>
      </c>
      <c r="DB33" s="104">
        <v>0.5</v>
      </c>
      <c r="DC33" s="104">
        <v>0.5</v>
      </c>
      <c r="DD33" s="104">
        <v>0.5</v>
      </c>
      <c r="DE33" s="104">
        <v>0.5</v>
      </c>
      <c r="DF33" s="104">
        <v>0.5</v>
      </c>
      <c r="DG33" s="104">
        <v>0.5</v>
      </c>
      <c r="DH33" s="104">
        <v>0.5</v>
      </c>
      <c r="DI33" s="104">
        <v>0.5</v>
      </c>
      <c r="DJ33" s="104">
        <v>0.5</v>
      </c>
      <c r="DK33" s="104">
        <v>0.5</v>
      </c>
      <c r="DL33" s="104">
        <v>0.5</v>
      </c>
      <c r="DM33" s="104">
        <v>0.5</v>
      </c>
      <c r="DN33" s="104">
        <v>0.5</v>
      </c>
      <c r="DO33" s="104">
        <v>0.5</v>
      </c>
      <c r="DP33" s="104">
        <v>0.5</v>
      </c>
      <c r="DQ33" s="104">
        <v>0.5</v>
      </c>
      <c r="DR33" s="104">
        <v>0.5</v>
      </c>
      <c r="DS33" s="104">
        <v>0.5</v>
      </c>
      <c r="DT33" s="109">
        <v>0.5</v>
      </c>
      <c r="DU33" s="104">
        <v>0.5</v>
      </c>
      <c r="DV33" s="104">
        <v>0.5</v>
      </c>
      <c r="DW33" s="104">
        <v>0.5</v>
      </c>
      <c r="DX33" s="110">
        <v>0.5</v>
      </c>
      <c r="DY33" s="104">
        <v>0.5</v>
      </c>
      <c r="DZ33" s="104">
        <v>0.5</v>
      </c>
      <c r="EA33" s="104">
        <v>0.5</v>
      </c>
      <c r="EB33" s="104">
        <v>0.5</v>
      </c>
      <c r="EC33" s="104">
        <v>0.5</v>
      </c>
      <c r="ED33" s="104">
        <v>0.5</v>
      </c>
      <c r="EE33" s="104">
        <v>0.5</v>
      </c>
      <c r="EF33" s="104">
        <v>0.5</v>
      </c>
      <c r="EG33" s="104">
        <v>0.5</v>
      </c>
      <c r="EH33" s="104">
        <v>0.5</v>
      </c>
      <c r="EI33" s="104">
        <v>0.5</v>
      </c>
      <c r="EJ33" s="104">
        <v>0.5</v>
      </c>
      <c r="EK33" s="104">
        <v>0.5</v>
      </c>
      <c r="EL33" s="104">
        <v>0.5</v>
      </c>
      <c r="EM33" s="104">
        <v>0.5</v>
      </c>
      <c r="EN33" s="104">
        <v>0.5</v>
      </c>
      <c r="EO33" s="104">
        <v>0.5</v>
      </c>
      <c r="EP33" s="104">
        <v>0.5</v>
      </c>
      <c r="EQ33" s="104">
        <v>0.5</v>
      </c>
      <c r="ER33" s="111">
        <v>0.5</v>
      </c>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4"/>
      <c r="FP33" s="104"/>
      <c r="FQ33" s="104"/>
      <c r="FR33" s="104"/>
      <c r="FS33" s="104"/>
      <c r="FT33" s="104"/>
      <c r="FU33" s="104"/>
      <c r="FV33" s="104"/>
      <c r="FW33" s="104"/>
      <c r="FX33" s="104"/>
      <c r="FY33" s="104"/>
      <c r="FZ33" s="104"/>
      <c r="GA33" s="104"/>
      <c r="GB33" s="104"/>
      <c r="GC33" s="104"/>
      <c r="GD33" s="104"/>
      <c r="GE33" s="104"/>
      <c r="GF33" s="104"/>
      <c r="GG33" s="104"/>
      <c r="GH33" s="104"/>
      <c r="GI33" s="104"/>
      <c r="GJ33" s="104"/>
      <c r="GK33" s="104"/>
      <c r="GL33" s="104"/>
      <c r="GM33" s="104"/>
      <c r="GN33" s="104"/>
      <c r="GO33" s="104"/>
      <c r="GP33" s="104"/>
      <c r="GQ33" s="104"/>
      <c r="GR33" s="104"/>
      <c r="GS33" s="104"/>
      <c r="GT33" s="104"/>
      <c r="GU33" s="104"/>
      <c r="GV33" s="104"/>
      <c r="GW33" s="104"/>
      <c r="GX33" s="104"/>
      <c r="GY33" s="104"/>
      <c r="GZ33" s="104"/>
      <c r="HA33" s="104"/>
      <c r="HB33" s="104"/>
      <c r="HC33" s="104"/>
      <c r="HD33" s="104"/>
      <c r="HE33" s="104"/>
      <c r="HF33" s="104"/>
      <c r="HG33" s="104"/>
      <c r="HH33" s="104"/>
      <c r="HI33" s="104"/>
      <c r="HJ33" s="104"/>
      <c r="HK33" s="104"/>
      <c r="HL33" s="104"/>
      <c r="HM33" s="104"/>
      <c r="HN33" s="104"/>
      <c r="HO33" s="104"/>
      <c r="HP33" s="104"/>
      <c r="HQ33" s="104"/>
      <c r="HR33" s="104"/>
      <c r="HS33" s="104"/>
      <c r="HT33" s="104"/>
      <c r="HU33" s="104"/>
      <c r="HV33" s="104"/>
      <c r="HW33" s="104"/>
      <c r="HX33" s="104"/>
      <c r="HY33" s="104"/>
      <c r="HZ33" s="104"/>
      <c r="IA33" s="104"/>
      <c r="IB33" s="104"/>
      <c r="IC33" s="104"/>
      <c r="ID33" s="104"/>
      <c r="IE33" s="104"/>
      <c r="IF33" s="104"/>
      <c r="IG33" s="104"/>
      <c r="IH33" s="104"/>
      <c r="II33" s="104"/>
      <c r="IJ33" s="104"/>
      <c r="IK33" s="104"/>
      <c r="IL33" s="104"/>
      <c r="IM33" s="104"/>
      <c r="IN33" s="112"/>
    </row>
    <row r="34" spans="2:248" ht="30" customHeight="1">
      <c r="B34" s="101" t="s">
        <v>46</v>
      </c>
      <c r="C34" s="102">
        <v>250</v>
      </c>
      <c r="E34" s="113">
        <f t="shared" si="177"/>
        <v>15000</v>
      </c>
      <c r="H34" s="104">
        <f t="shared" si="178"/>
        <v>60</v>
      </c>
      <c r="I34" s="105"/>
      <c r="J34" s="106"/>
      <c r="K34" s="106"/>
      <c r="L34" s="106"/>
      <c r="M34" s="106"/>
      <c r="N34" s="106"/>
      <c r="O34" s="106"/>
      <c r="P34" s="106"/>
      <c r="Q34" s="106"/>
      <c r="R34" s="106"/>
      <c r="S34" s="106"/>
      <c r="T34" s="106"/>
      <c r="U34" s="106"/>
      <c r="V34" s="106"/>
      <c r="W34" s="106"/>
      <c r="X34" s="106"/>
      <c r="Y34" s="106"/>
      <c r="Z34" s="106"/>
      <c r="AA34" s="107"/>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v>1</v>
      </c>
      <c r="BN34" s="104">
        <v>1</v>
      </c>
      <c r="BO34" s="104">
        <v>1</v>
      </c>
      <c r="BP34" s="104">
        <v>1</v>
      </c>
      <c r="BQ34" s="104">
        <v>1</v>
      </c>
      <c r="BR34" s="104">
        <v>1</v>
      </c>
      <c r="BS34" s="104">
        <v>1</v>
      </c>
      <c r="BT34" s="104">
        <v>1</v>
      </c>
      <c r="BU34" s="104">
        <v>1</v>
      </c>
      <c r="BV34" s="104">
        <v>1</v>
      </c>
      <c r="BW34" s="104">
        <v>1</v>
      </c>
      <c r="BX34" s="104">
        <v>1</v>
      </c>
      <c r="BY34" s="104">
        <v>1</v>
      </c>
      <c r="BZ34" s="104">
        <v>1</v>
      </c>
      <c r="CA34" s="104">
        <v>1</v>
      </c>
      <c r="CB34" s="104">
        <v>1</v>
      </c>
      <c r="CC34" s="104">
        <v>1</v>
      </c>
      <c r="CD34" s="104">
        <v>1</v>
      </c>
      <c r="CE34" s="104">
        <v>1</v>
      </c>
      <c r="CF34" s="104">
        <v>1</v>
      </c>
      <c r="CG34" s="104">
        <v>1</v>
      </c>
      <c r="CH34" s="104">
        <v>1</v>
      </c>
      <c r="CI34" s="104">
        <v>1</v>
      </c>
      <c r="CJ34" s="104">
        <v>1</v>
      </c>
      <c r="CK34" s="104">
        <v>1</v>
      </c>
      <c r="CL34" s="104">
        <v>1</v>
      </c>
      <c r="CM34" s="104">
        <v>1</v>
      </c>
      <c r="CN34" s="104">
        <v>1</v>
      </c>
      <c r="CO34" s="104">
        <v>1</v>
      </c>
      <c r="CP34" s="108">
        <v>1</v>
      </c>
      <c r="CQ34" s="104">
        <v>1</v>
      </c>
      <c r="CR34" s="104">
        <v>1</v>
      </c>
      <c r="CS34" s="104">
        <v>1</v>
      </c>
      <c r="CT34" s="104">
        <v>1</v>
      </c>
      <c r="CU34" s="104">
        <v>1</v>
      </c>
      <c r="CV34" s="104">
        <v>1</v>
      </c>
      <c r="CW34" s="104">
        <v>1</v>
      </c>
      <c r="CX34" s="104">
        <v>1</v>
      </c>
      <c r="CY34" s="104">
        <v>1</v>
      </c>
      <c r="CZ34" s="104">
        <v>1</v>
      </c>
      <c r="DA34" s="104">
        <v>1</v>
      </c>
      <c r="DB34" s="104">
        <v>1</v>
      </c>
      <c r="DC34" s="104">
        <v>1</v>
      </c>
      <c r="DD34" s="104">
        <v>1</v>
      </c>
      <c r="DE34" s="104">
        <v>1</v>
      </c>
      <c r="DF34" s="104">
        <v>1</v>
      </c>
      <c r="DG34" s="104">
        <v>1</v>
      </c>
      <c r="DH34" s="104">
        <v>1</v>
      </c>
      <c r="DI34" s="104">
        <v>1</v>
      </c>
      <c r="DJ34" s="104">
        <v>1</v>
      </c>
      <c r="DK34" s="104">
        <v>1</v>
      </c>
      <c r="DL34" s="104">
        <v>1</v>
      </c>
      <c r="DM34" s="104">
        <v>1</v>
      </c>
      <c r="DN34" s="104">
        <v>1</v>
      </c>
      <c r="DO34" s="104">
        <v>1</v>
      </c>
      <c r="DP34" s="104">
        <v>1</v>
      </c>
      <c r="DQ34" s="104">
        <v>1</v>
      </c>
      <c r="DR34" s="104">
        <v>1</v>
      </c>
      <c r="DS34" s="104">
        <v>1</v>
      </c>
      <c r="DT34" s="109">
        <v>1</v>
      </c>
      <c r="DU34" s="104"/>
      <c r="DV34" s="104"/>
      <c r="DW34" s="104"/>
      <c r="DX34" s="110"/>
      <c r="DY34" s="104"/>
      <c r="DZ34" s="104"/>
      <c r="EA34" s="104"/>
      <c r="EB34" s="104"/>
      <c r="EC34" s="104"/>
      <c r="ED34" s="104"/>
      <c r="EE34" s="104"/>
      <c r="EF34" s="104"/>
      <c r="EG34" s="104"/>
      <c r="EH34" s="104"/>
      <c r="EI34" s="104"/>
      <c r="EJ34" s="104"/>
      <c r="EK34" s="104"/>
      <c r="EL34" s="104"/>
      <c r="EM34" s="104"/>
      <c r="EN34" s="104"/>
      <c r="EO34" s="104"/>
      <c r="EP34" s="104"/>
      <c r="EQ34" s="104"/>
      <c r="ER34" s="111"/>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4"/>
      <c r="FP34" s="104"/>
      <c r="FQ34" s="104"/>
      <c r="FR34" s="104"/>
      <c r="FS34" s="104"/>
      <c r="FT34" s="104"/>
      <c r="FU34" s="104"/>
      <c r="FV34" s="104"/>
      <c r="FW34" s="104"/>
      <c r="FX34" s="104"/>
      <c r="FY34" s="104"/>
      <c r="FZ34" s="104"/>
      <c r="GA34" s="104"/>
      <c r="GB34" s="104"/>
      <c r="GC34" s="104"/>
      <c r="GD34" s="104"/>
      <c r="GE34" s="104"/>
      <c r="GF34" s="104"/>
      <c r="GG34" s="104"/>
      <c r="GH34" s="104"/>
      <c r="GI34" s="104"/>
      <c r="GJ34" s="104"/>
      <c r="GK34" s="104"/>
      <c r="GL34" s="104"/>
      <c r="GM34" s="104"/>
      <c r="GN34" s="104"/>
      <c r="GO34" s="104"/>
      <c r="GP34" s="104"/>
      <c r="GQ34" s="104"/>
      <c r="GR34" s="104"/>
      <c r="GS34" s="104"/>
      <c r="GT34" s="104"/>
      <c r="GU34" s="104"/>
      <c r="GV34" s="104"/>
      <c r="GW34" s="104"/>
      <c r="GX34" s="104"/>
      <c r="GY34" s="104"/>
      <c r="GZ34" s="104"/>
      <c r="HA34" s="104"/>
      <c r="HB34" s="104"/>
      <c r="HC34" s="104"/>
      <c r="HD34" s="104"/>
      <c r="HE34" s="104"/>
      <c r="HF34" s="104"/>
      <c r="HG34" s="104"/>
      <c r="HH34" s="104"/>
      <c r="HI34" s="104"/>
      <c r="HJ34" s="104"/>
      <c r="HK34" s="104"/>
      <c r="HL34" s="104"/>
      <c r="HM34" s="104"/>
      <c r="HN34" s="104"/>
      <c r="HO34" s="104"/>
      <c r="HP34" s="104"/>
      <c r="HQ34" s="104"/>
      <c r="HR34" s="104"/>
      <c r="HS34" s="104"/>
      <c r="HT34" s="104"/>
      <c r="HU34" s="104"/>
      <c r="HV34" s="104"/>
      <c r="HW34" s="104"/>
      <c r="HX34" s="104"/>
      <c r="HY34" s="104"/>
      <c r="HZ34" s="104"/>
      <c r="IA34" s="104"/>
      <c r="IB34" s="104"/>
      <c r="IC34" s="104"/>
      <c r="ID34" s="104"/>
      <c r="IE34" s="104"/>
      <c r="IF34" s="104"/>
      <c r="IG34" s="104"/>
      <c r="IH34" s="104"/>
      <c r="II34" s="104"/>
      <c r="IJ34" s="104"/>
      <c r="IK34" s="104"/>
      <c r="IL34" s="104"/>
      <c r="IM34" s="104"/>
      <c r="IN34" s="112"/>
    </row>
    <row r="35" spans="2:248" ht="30" customHeight="1">
      <c r="B35" s="101" t="s">
        <v>44</v>
      </c>
      <c r="C35" s="102">
        <v>550</v>
      </c>
      <c r="E35" s="113">
        <f t="shared" si="177"/>
        <v>3368.75</v>
      </c>
      <c r="H35" s="104">
        <f t="shared" si="178"/>
        <v>6.125</v>
      </c>
      <c r="I35" s="105"/>
      <c r="J35" s="106"/>
      <c r="K35" s="106"/>
      <c r="L35" s="106"/>
      <c r="M35" s="106"/>
      <c r="N35" s="106"/>
      <c r="O35" s="106"/>
      <c r="P35" s="106"/>
      <c r="Q35" s="106"/>
      <c r="R35" s="106"/>
      <c r="S35" s="106">
        <v>0.125</v>
      </c>
      <c r="T35" s="106">
        <v>0.125</v>
      </c>
      <c r="U35" s="106">
        <v>0.125</v>
      </c>
      <c r="V35" s="106">
        <v>0.125</v>
      </c>
      <c r="W35" s="106">
        <v>0.125</v>
      </c>
      <c r="X35" s="106"/>
      <c r="Y35" s="106"/>
      <c r="Z35" s="106"/>
      <c r="AA35" s="107"/>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c r="BO35" s="104"/>
      <c r="BP35" s="104"/>
      <c r="BQ35" s="104"/>
      <c r="BR35" s="104"/>
      <c r="BS35" s="104"/>
      <c r="BT35" s="104"/>
      <c r="BU35" s="104"/>
      <c r="BV35" s="104"/>
      <c r="BW35" s="104"/>
      <c r="BX35" s="104"/>
      <c r="BY35" s="104"/>
      <c r="BZ35" s="104"/>
      <c r="CA35" s="104"/>
      <c r="CB35" s="104"/>
      <c r="CC35" s="104"/>
      <c r="CD35" s="104"/>
      <c r="CE35" s="104"/>
      <c r="CF35" s="104"/>
      <c r="CG35" s="104"/>
      <c r="CH35" s="104"/>
      <c r="CI35" s="104"/>
      <c r="CJ35" s="104"/>
      <c r="CK35" s="104"/>
      <c r="CL35" s="104"/>
      <c r="CM35" s="104"/>
      <c r="CN35" s="104"/>
      <c r="CO35" s="104"/>
      <c r="CP35" s="108"/>
      <c r="CQ35" s="104"/>
      <c r="CR35" s="104"/>
      <c r="CS35" s="104"/>
      <c r="CT35" s="104"/>
      <c r="CU35" s="104"/>
      <c r="CV35" s="104"/>
      <c r="CW35" s="104"/>
      <c r="CX35" s="104"/>
      <c r="CY35" s="104"/>
      <c r="CZ35" s="104"/>
      <c r="DA35" s="104"/>
      <c r="DB35" s="104"/>
      <c r="DC35" s="104"/>
      <c r="DD35" s="104"/>
      <c r="DE35" s="104"/>
      <c r="DF35" s="104"/>
      <c r="DG35" s="104"/>
      <c r="DH35" s="104"/>
      <c r="DI35" s="104"/>
      <c r="DJ35" s="104"/>
      <c r="DK35" s="104"/>
      <c r="DL35" s="104"/>
      <c r="DM35" s="104"/>
      <c r="DN35" s="104"/>
      <c r="DO35" s="104"/>
      <c r="DP35" s="104"/>
      <c r="DQ35" s="104"/>
      <c r="DR35" s="104"/>
      <c r="DS35" s="104"/>
      <c r="DT35" s="109"/>
      <c r="DU35" s="104"/>
      <c r="DV35" s="104"/>
      <c r="DW35" s="104">
        <v>0.5</v>
      </c>
      <c r="DX35" s="110">
        <v>0.5</v>
      </c>
      <c r="DY35" s="104">
        <v>0.5</v>
      </c>
      <c r="DZ35" s="104">
        <v>0.5</v>
      </c>
      <c r="EA35" s="104">
        <v>0.5</v>
      </c>
      <c r="EB35" s="104">
        <v>0.5</v>
      </c>
      <c r="EC35" s="104">
        <v>0.5</v>
      </c>
      <c r="ED35" s="104">
        <v>0.5</v>
      </c>
      <c r="EE35" s="104">
        <v>0.5</v>
      </c>
      <c r="EF35" s="104">
        <v>0.5</v>
      </c>
      <c r="EG35" s="104">
        <v>0.5</v>
      </c>
      <c r="EH35" s="104"/>
      <c r="EI35" s="104"/>
      <c r="EJ35" s="104"/>
      <c r="EK35" s="104"/>
      <c r="EL35" s="104"/>
      <c r="EM35" s="104"/>
      <c r="EN35" s="104"/>
      <c r="EO35" s="104"/>
      <c r="EP35" s="104"/>
      <c r="EQ35" s="104"/>
      <c r="ER35" s="111"/>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4"/>
      <c r="FP35" s="104"/>
      <c r="FQ35" s="104"/>
      <c r="FR35" s="104"/>
      <c r="FS35" s="104"/>
      <c r="FT35" s="104"/>
      <c r="FU35" s="104"/>
      <c r="FV35" s="104"/>
      <c r="FW35" s="104"/>
      <c r="FX35" s="104"/>
      <c r="FY35" s="104"/>
      <c r="FZ35" s="104"/>
      <c r="GA35" s="104"/>
      <c r="GB35" s="104"/>
      <c r="GC35" s="104"/>
      <c r="GD35" s="104"/>
      <c r="GE35" s="104"/>
      <c r="GF35" s="104"/>
      <c r="GG35" s="104"/>
      <c r="GH35" s="104"/>
      <c r="GI35" s="104"/>
      <c r="GJ35" s="104"/>
      <c r="GK35" s="104"/>
      <c r="GL35" s="104"/>
      <c r="GM35" s="104"/>
      <c r="GN35" s="104"/>
      <c r="GO35" s="104"/>
      <c r="GP35" s="104"/>
      <c r="GQ35" s="104"/>
      <c r="GR35" s="104"/>
      <c r="GS35" s="104"/>
      <c r="GT35" s="104"/>
      <c r="GU35" s="104"/>
      <c r="GV35" s="104"/>
      <c r="GW35" s="104"/>
      <c r="GX35" s="104"/>
      <c r="GY35" s="104"/>
      <c r="GZ35" s="104"/>
      <c r="HA35" s="104"/>
      <c r="HB35" s="104"/>
      <c r="HC35" s="104"/>
      <c r="HD35" s="104"/>
      <c r="HE35" s="104"/>
      <c r="HF35" s="104"/>
      <c r="HG35" s="104"/>
      <c r="HH35" s="104"/>
      <c r="HI35" s="104"/>
      <c r="HJ35" s="104"/>
      <c r="HK35" s="104"/>
      <c r="HL35" s="104"/>
      <c r="HM35" s="104"/>
      <c r="HN35" s="104"/>
      <c r="HO35" s="104"/>
      <c r="HP35" s="104"/>
      <c r="HQ35" s="104"/>
      <c r="HR35" s="104"/>
      <c r="HS35" s="104"/>
      <c r="HT35" s="104"/>
      <c r="HU35" s="104"/>
      <c r="HV35" s="104"/>
      <c r="HW35" s="104"/>
      <c r="HX35" s="104"/>
      <c r="HY35" s="104"/>
      <c r="HZ35" s="104"/>
      <c r="IA35" s="104"/>
      <c r="IB35" s="104"/>
      <c r="IC35" s="104"/>
      <c r="ID35" s="104"/>
      <c r="IE35" s="104"/>
      <c r="IF35" s="104"/>
      <c r="IG35" s="104"/>
      <c r="IH35" s="104"/>
      <c r="II35" s="104"/>
      <c r="IJ35" s="104"/>
      <c r="IK35" s="104"/>
      <c r="IL35" s="104"/>
      <c r="IM35" s="104"/>
      <c r="IN35" s="112"/>
    </row>
    <row r="36" spans="2:248" ht="30" customHeight="1">
      <c r="B36" s="101" t="s">
        <v>47</v>
      </c>
      <c r="C36" s="102">
        <v>220</v>
      </c>
      <c r="E36" s="113">
        <f t="shared" si="177"/>
        <v>2860</v>
      </c>
      <c r="H36" s="104">
        <f t="shared" si="178"/>
        <v>13</v>
      </c>
      <c r="I36" s="105"/>
      <c r="J36" s="106"/>
      <c r="K36" s="106"/>
      <c r="L36" s="106"/>
      <c r="M36" s="106"/>
      <c r="N36" s="106"/>
      <c r="O36" s="106"/>
      <c r="P36" s="106"/>
      <c r="Q36" s="106"/>
      <c r="R36" s="106"/>
      <c r="S36" s="106"/>
      <c r="T36" s="106"/>
      <c r="U36" s="106"/>
      <c r="V36" s="106"/>
      <c r="W36" s="106"/>
      <c r="X36" s="106"/>
      <c r="Y36" s="106"/>
      <c r="Z36" s="106"/>
      <c r="AA36" s="107"/>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4"/>
      <c r="CE36" s="104"/>
      <c r="CF36" s="104"/>
      <c r="CG36" s="104"/>
      <c r="CH36" s="104"/>
      <c r="CI36" s="104"/>
      <c r="CJ36" s="104"/>
      <c r="CK36" s="104"/>
      <c r="CL36" s="104"/>
      <c r="CM36" s="104"/>
      <c r="CN36" s="104"/>
      <c r="CO36" s="104"/>
      <c r="CP36" s="108"/>
      <c r="CQ36" s="104"/>
      <c r="CR36" s="104"/>
      <c r="CS36" s="104"/>
      <c r="CT36" s="104"/>
      <c r="CU36" s="104"/>
      <c r="CV36" s="104"/>
      <c r="CW36" s="104"/>
      <c r="CX36" s="104"/>
      <c r="CY36" s="104"/>
      <c r="CZ36" s="104"/>
      <c r="DA36" s="104"/>
      <c r="DB36" s="104"/>
      <c r="DC36" s="104"/>
      <c r="DD36" s="104"/>
      <c r="DE36" s="104"/>
      <c r="DF36" s="104"/>
      <c r="DG36" s="104"/>
      <c r="DH36" s="104"/>
      <c r="DI36" s="104"/>
      <c r="DJ36" s="104"/>
      <c r="DK36" s="104"/>
      <c r="DL36" s="104"/>
      <c r="DM36" s="104"/>
      <c r="DN36" s="104"/>
      <c r="DO36" s="104"/>
      <c r="DP36" s="104"/>
      <c r="DQ36" s="104"/>
      <c r="DR36" s="104"/>
      <c r="DS36" s="104"/>
      <c r="DT36" s="109"/>
      <c r="DU36" s="104"/>
      <c r="DV36" s="104"/>
      <c r="DW36" s="104"/>
      <c r="DX36" s="110">
        <v>0.5</v>
      </c>
      <c r="DY36" s="104">
        <v>0.5</v>
      </c>
      <c r="DZ36" s="104">
        <v>0.5</v>
      </c>
      <c r="EA36" s="104">
        <v>0.5</v>
      </c>
      <c r="EB36" s="104">
        <v>0.5</v>
      </c>
      <c r="EC36" s="104">
        <v>0.5</v>
      </c>
      <c r="ED36" s="104">
        <v>0.5</v>
      </c>
      <c r="EE36" s="104">
        <v>0.5</v>
      </c>
      <c r="EF36" s="104">
        <v>0.5</v>
      </c>
      <c r="EG36" s="104">
        <v>0.5</v>
      </c>
      <c r="EH36" s="104">
        <v>0.5</v>
      </c>
      <c r="EI36" s="104">
        <v>0.5</v>
      </c>
      <c r="EJ36" s="104">
        <v>0.5</v>
      </c>
      <c r="EK36" s="104">
        <v>0.5</v>
      </c>
      <c r="EL36" s="104">
        <v>0.5</v>
      </c>
      <c r="EM36" s="104">
        <v>0.5</v>
      </c>
      <c r="EN36" s="104">
        <v>0.5</v>
      </c>
      <c r="EO36" s="104">
        <v>0.5</v>
      </c>
      <c r="EP36" s="104">
        <v>0.5</v>
      </c>
      <c r="EQ36" s="104">
        <v>0.5</v>
      </c>
      <c r="ER36" s="111">
        <v>0.5</v>
      </c>
      <c r="ES36" s="104">
        <v>0.5</v>
      </c>
      <c r="ET36" s="104">
        <v>0.5</v>
      </c>
      <c r="EU36" s="104">
        <v>0.5</v>
      </c>
      <c r="EV36" s="104">
        <v>0.5</v>
      </c>
      <c r="EW36" s="104">
        <v>0.5</v>
      </c>
      <c r="EX36" s="104"/>
      <c r="EY36" s="104"/>
      <c r="EZ36" s="104"/>
      <c r="FA36" s="104"/>
      <c r="FB36" s="104"/>
      <c r="FC36" s="104"/>
      <c r="FD36" s="104"/>
      <c r="FE36" s="104"/>
      <c r="FF36" s="104"/>
      <c r="FG36" s="104"/>
      <c r="FH36" s="104"/>
      <c r="FI36" s="104"/>
      <c r="FJ36" s="104"/>
      <c r="FK36" s="104"/>
      <c r="FL36" s="104"/>
      <c r="FM36" s="104"/>
      <c r="FN36" s="104"/>
      <c r="FO36" s="104"/>
      <c r="FP36" s="104"/>
      <c r="FQ36" s="104"/>
      <c r="FR36" s="104"/>
      <c r="FS36" s="104"/>
      <c r="FT36" s="104"/>
      <c r="FU36" s="104"/>
      <c r="FV36" s="104"/>
      <c r="FW36" s="104"/>
      <c r="FX36" s="104"/>
      <c r="FY36" s="104"/>
      <c r="FZ36" s="104"/>
      <c r="GA36" s="104"/>
      <c r="GB36" s="104"/>
      <c r="GC36" s="104"/>
      <c r="GD36" s="104"/>
      <c r="GE36" s="104"/>
      <c r="GF36" s="104"/>
      <c r="GG36" s="104"/>
      <c r="GH36" s="104"/>
      <c r="GI36" s="104"/>
      <c r="GJ36" s="104"/>
      <c r="GK36" s="104"/>
      <c r="GL36" s="104"/>
      <c r="GM36" s="104"/>
      <c r="GN36" s="104"/>
      <c r="GO36" s="104"/>
      <c r="GP36" s="104"/>
      <c r="GQ36" s="104"/>
      <c r="GR36" s="104"/>
      <c r="GS36" s="104"/>
      <c r="GT36" s="104"/>
      <c r="GU36" s="104"/>
      <c r="GV36" s="104"/>
      <c r="GW36" s="104"/>
      <c r="GX36" s="104"/>
      <c r="GY36" s="104"/>
      <c r="GZ36" s="104"/>
      <c r="HA36" s="104"/>
      <c r="HB36" s="104"/>
      <c r="HC36" s="104"/>
      <c r="HD36" s="104"/>
      <c r="HE36" s="104"/>
      <c r="HF36" s="104"/>
      <c r="HG36" s="104"/>
      <c r="HH36" s="104"/>
      <c r="HI36" s="104"/>
      <c r="HJ36" s="104"/>
      <c r="HK36" s="104"/>
      <c r="HL36" s="104"/>
      <c r="HM36" s="104"/>
      <c r="HN36" s="104"/>
      <c r="HO36" s="104"/>
      <c r="HP36" s="104"/>
      <c r="HQ36" s="104"/>
      <c r="HR36" s="104"/>
      <c r="HS36" s="104"/>
      <c r="HT36" s="104"/>
      <c r="HU36" s="104"/>
      <c r="HV36" s="104"/>
      <c r="HW36" s="104"/>
      <c r="HX36" s="104"/>
      <c r="HY36" s="104"/>
      <c r="HZ36" s="104"/>
      <c r="IA36" s="104"/>
      <c r="IB36" s="104"/>
      <c r="IC36" s="104"/>
      <c r="ID36" s="104"/>
      <c r="IE36" s="104"/>
      <c r="IF36" s="104"/>
      <c r="IG36" s="104"/>
      <c r="IH36" s="104"/>
      <c r="II36" s="104"/>
      <c r="IJ36" s="104"/>
      <c r="IK36" s="104"/>
      <c r="IL36" s="104"/>
      <c r="IM36" s="104"/>
      <c r="IN36" s="112"/>
    </row>
    <row r="37" spans="2:248" ht="30" customHeight="1">
      <c r="B37" s="101" t="s">
        <v>48</v>
      </c>
      <c r="C37" s="102">
        <v>220</v>
      </c>
      <c r="E37" s="113">
        <f t="shared" si="177"/>
        <v>5610</v>
      </c>
      <c r="H37" s="104">
        <f t="shared" si="178"/>
        <v>25.5</v>
      </c>
      <c r="I37" s="74"/>
      <c r="AA37" s="81"/>
      <c r="CP37" s="91"/>
      <c r="DT37" s="83"/>
      <c r="DX37" s="99"/>
      <c r="ER37" s="103">
        <v>0.5</v>
      </c>
      <c r="ES37" s="104">
        <v>0.25</v>
      </c>
      <c r="ET37" s="104">
        <v>0.25</v>
      </c>
      <c r="EU37" s="104">
        <v>0.25</v>
      </c>
      <c r="EV37" s="104">
        <v>0.25</v>
      </c>
      <c r="EW37" s="104">
        <v>0.25</v>
      </c>
      <c r="EX37" s="104">
        <v>0.25</v>
      </c>
      <c r="EY37" s="104">
        <v>0.25</v>
      </c>
      <c r="EZ37" s="104">
        <v>0.25</v>
      </c>
      <c r="FA37" s="104">
        <v>0.25</v>
      </c>
      <c r="FB37" s="104">
        <v>0.25</v>
      </c>
      <c r="FC37" s="104">
        <v>0.25</v>
      </c>
      <c r="FD37" s="104">
        <v>0.25</v>
      </c>
      <c r="FE37" s="104">
        <v>0.25</v>
      </c>
      <c r="FF37" s="104">
        <v>0.25</v>
      </c>
      <c r="FG37" s="104">
        <v>0.25</v>
      </c>
      <c r="FH37" s="104">
        <v>0.25</v>
      </c>
      <c r="FI37" s="104">
        <v>0.25</v>
      </c>
      <c r="FJ37" s="104">
        <v>0.25</v>
      </c>
      <c r="FK37" s="104">
        <v>0.25</v>
      </c>
      <c r="FL37" s="104">
        <v>0.25</v>
      </c>
      <c r="FM37" s="104">
        <v>0.25</v>
      </c>
      <c r="FN37" s="104">
        <v>0.25</v>
      </c>
      <c r="FO37" s="104">
        <v>0.25</v>
      </c>
      <c r="FP37" s="104">
        <v>0.25</v>
      </c>
      <c r="FQ37" s="104">
        <v>0.25</v>
      </c>
      <c r="FR37" s="104">
        <v>0.25</v>
      </c>
      <c r="FS37" s="104">
        <v>0.25</v>
      </c>
      <c r="FT37" s="104">
        <v>0.25</v>
      </c>
      <c r="FU37" s="104">
        <v>0.25</v>
      </c>
      <c r="FV37" s="104">
        <v>0.25</v>
      </c>
      <c r="FW37" s="104">
        <v>0.25</v>
      </c>
      <c r="FX37" s="104">
        <v>0.25</v>
      </c>
      <c r="FY37" s="104">
        <v>0.25</v>
      </c>
      <c r="FZ37" s="104">
        <v>0.25</v>
      </c>
      <c r="GA37" s="104">
        <v>0.25</v>
      </c>
      <c r="GB37" s="104">
        <v>0.25</v>
      </c>
      <c r="GC37" s="104">
        <v>0.25</v>
      </c>
      <c r="GD37" s="104">
        <v>0.25</v>
      </c>
      <c r="GE37" s="104">
        <v>0.25</v>
      </c>
      <c r="GF37" s="104">
        <v>0.25</v>
      </c>
      <c r="GG37" s="104">
        <v>0.25</v>
      </c>
      <c r="GH37" s="104">
        <v>0.25</v>
      </c>
      <c r="GI37" s="104">
        <v>0.25</v>
      </c>
      <c r="GJ37" s="104">
        <v>0.25</v>
      </c>
      <c r="GK37" s="104">
        <v>0.25</v>
      </c>
      <c r="GL37" s="104">
        <v>0.25</v>
      </c>
      <c r="GM37" s="104">
        <v>0.25</v>
      </c>
      <c r="GN37" s="104">
        <v>0.25</v>
      </c>
      <c r="GO37" s="104">
        <v>0.25</v>
      </c>
      <c r="GP37" s="104">
        <v>0.25</v>
      </c>
      <c r="GQ37" s="104">
        <v>0.25</v>
      </c>
      <c r="GR37" s="104">
        <v>0.25</v>
      </c>
      <c r="GS37" s="104">
        <v>0.25</v>
      </c>
      <c r="GT37" s="104">
        <v>0.25</v>
      </c>
      <c r="GU37" s="104">
        <v>0.25</v>
      </c>
      <c r="GV37" s="104">
        <v>0.25</v>
      </c>
      <c r="GW37" s="104">
        <v>0.25</v>
      </c>
      <c r="GX37" s="104">
        <v>0.25</v>
      </c>
      <c r="GY37" s="104">
        <v>0.25</v>
      </c>
      <c r="GZ37" s="104">
        <v>0.25</v>
      </c>
      <c r="HA37" s="104">
        <v>0.25</v>
      </c>
      <c r="HB37" s="104">
        <v>0.25</v>
      </c>
      <c r="HC37" s="104">
        <v>0.25</v>
      </c>
      <c r="HD37" s="104">
        <v>0.25</v>
      </c>
      <c r="HE37" s="104">
        <v>0.25</v>
      </c>
      <c r="HF37" s="104">
        <v>0.25</v>
      </c>
      <c r="HG37" s="104">
        <v>0.25</v>
      </c>
      <c r="HH37" s="104">
        <v>0.25</v>
      </c>
      <c r="HI37" s="104">
        <v>0.25</v>
      </c>
      <c r="HJ37" s="104">
        <v>0.25</v>
      </c>
      <c r="HK37" s="104">
        <v>0.25</v>
      </c>
      <c r="HL37" s="104">
        <v>0.25</v>
      </c>
      <c r="HM37" s="104">
        <v>0.25</v>
      </c>
      <c r="HN37" s="104">
        <v>0.25</v>
      </c>
      <c r="HO37" s="104">
        <v>0.25</v>
      </c>
      <c r="HP37" s="104">
        <v>0.25</v>
      </c>
      <c r="HQ37" s="104">
        <v>0.25</v>
      </c>
      <c r="HR37" s="104">
        <v>0.25</v>
      </c>
      <c r="HS37" s="104">
        <v>0.25</v>
      </c>
      <c r="HT37" s="104">
        <v>0.25</v>
      </c>
      <c r="HU37" s="104">
        <v>0.25</v>
      </c>
      <c r="HV37" s="104">
        <v>0.25</v>
      </c>
      <c r="HW37" s="104">
        <v>0.25</v>
      </c>
      <c r="HX37" s="104">
        <v>0.25</v>
      </c>
      <c r="HY37" s="104">
        <v>0.25</v>
      </c>
      <c r="HZ37" s="104">
        <v>0.25</v>
      </c>
      <c r="IA37" s="104">
        <v>0.25</v>
      </c>
      <c r="IB37" s="104">
        <v>0.25</v>
      </c>
      <c r="IC37" s="104">
        <v>0.25</v>
      </c>
      <c r="ID37" s="104">
        <v>0.25</v>
      </c>
      <c r="IE37" s="104">
        <v>0.25</v>
      </c>
      <c r="IF37" s="104">
        <v>0.25</v>
      </c>
      <c r="IG37" s="104">
        <v>0.25</v>
      </c>
      <c r="IH37" s="104">
        <v>0.25</v>
      </c>
      <c r="II37" s="104">
        <v>0.25</v>
      </c>
      <c r="IJ37" s="104">
        <v>0.25</v>
      </c>
      <c r="IK37" s="104">
        <v>0.25</v>
      </c>
      <c r="IL37" s="104">
        <v>0.25</v>
      </c>
      <c r="IM37" s="104">
        <v>0.25</v>
      </c>
      <c r="IN37" s="112">
        <v>0.25</v>
      </c>
    </row>
    <row r="38" spans="2:248" ht="30" customHeight="1">
      <c r="C38" s="124" t="s">
        <v>51</v>
      </c>
      <c r="D38" s="124"/>
      <c r="E38" s="114">
        <f>SUM(E31:E37)</f>
        <v>64271.25</v>
      </c>
    </row>
    <row r="40" spans="2:248" ht="30" customHeight="1">
      <c r="B40" s="115" t="s">
        <v>56</v>
      </c>
      <c r="E40" s="113">
        <f>628.5*4</f>
        <v>2514</v>
      </c>
    </row>
    <row r="41" spans="2:248" ht="30" customHeight="1">
      <c r="B41" s="115" t="s">
        <v>54</v>
      </c>
      <c r="E41" s="113">
        <f>289*2</f>
        <v>578</v>
      </c>
    </row>
    <row r="42" spans="2:248" ht="30" customHeight="1">
      <c r="B42" s="115" t="s">
        <v>53</v>
      </c>
      <c r="E42" s="113">
        <v>150</v>
      </c>
    </row>
    <row r="43" spans="2:248" ht="30" customHeight="1">
      <c r="B43" s="115" t="s">
        <v>55</v>
      </c>
      <c r="E43" s="113">
        <v>1000</v>
      </c>
    </row>
    <row r="44" spans="2:248" ht="30" customHeight="1">
      <c r="C44" s="124" t="s">
        <v>52</v>
      </c>
      <c r="D44" s="124"/>
      <c r="E44" s="114">
        <f>SUM(E40:E43)</f>
        <v>4242</v>
      </c>
    </row>
    <row r="46" spans="2:248" ht="30" customHeight="1">
      <c r="C46" s="125" t="s">
        <v>57</v>
      </c>
      <c r="D46" s="125"/>
      <c r="E46" s="116">
        <f>SUM(E38,E44)</f>
        <v>68513.25</v>
      </c>
    </row>
  </sheetData>
  <mergeCells count="42">
    <mergeCell ref="C38:D38"/>
    <mergeCell ref="C44:D44"/>
    <mergeCell ref="C46:D46"/>
    <mergeCell ref="AR4:AX4"/>
    <mergeCell ref="AY4:BE4"/>
    <mergeCell ref="BF4:BL4"/>
    <mergeCell ref="C3:D3"/>
    <mergeCell ref="C4:D4"/>
    <mergeCell ref="AK4:AQ4"/>
    <mergeCell ref="E4:F4"/>
    <mergeCell ref="E3:F3"/>
    <mergeCell ref="I4:O4"/>
    <mergeCell ref="P4:V4"/>
    <mergeCell ref="W4:AC4"/>
    <mergeCell ref="AD4:AJ4"/>
    <mergeCell ref="BM4:BS4"/>
    <mergeCell ref="BT4:BZ4"/>
    <mergeCell ref="CA4:CG4"/>
    <mergeCell ref="CH4:CN4"/>
    <mergeCell ref="CO4:CU4"/>
    <mergeCell ref="CV4:DB4"/>
    <mergeCell ref="DC4:DI4"/>
    <mergeCell ref="DJ4:DP4"/>
    <mergeCell ref="DQ4:DW4"/>
    <mergeCell ref="DX4:ED4"/>
    <mergeCell ref="FN4:FT4"/>
    <mergeCell ref="FU4:GA4"/>
    <mergeCell ref="GB4:GH4"/>
    <mergeCell ref="GI4:GO4"/>
    <mergeCell ref="EE4:EK4"/>
    <mergeCell ref="EL4:ER4"/>
    <mergeCell ref="ES4:EY4"/>
    <mergeCell ref="EZ4:FF4"/>
    <mergeCell ref="FG4:FM4"/>
    <mergeCell ref="IF4:IL4"/>
    <mergeCell ref="IM4:IS4"/>
    <mergeCell ref="GP4:GV4"/>
    <mergeCell ref="GW4:HC4"/>
    <mergeCell ref="HD4:HJ4"/>
    <mergeCell ref="HK4:HQ4"/>
    <mergeCell ref="HR4:HX4"/>
    <mergeCell ref="HY4:IE4"/>
  </mergeCells>
  <conditionalFormatting sqref="D22:D23 D7:D19">
    <cfRule type="dataBar" priority="3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D24:D28">
    <cfRule type="dataBar" priority="19">
      <dataBar>
        <cfvo type="num" val="0"/>
        <cfvo type="num" val="1"/>
        <color theme="0" tint="-0.249977111117893"/>
      </dataBar>
      <extLst>
        <ext xmlns:x14="http://schemas.microsoft.com/office/spreadsheetml/2009/9/main" uri="{B025F937-C7B1-47D3-B67F-A62EFF666E3E}">
          <x14:id>{39384190-2606-4909-85F3-BB48EE40B67C}</x14:id>
        </ext>
      </extLst>
    </cfRule>
  </conditionalFormatting>
  <conditionalFormatting sqref="I5:IS7 AB8:IS8 I9:IS12 I13:Z13 DU13:IS13 I14:IS18 I19:CO19 ES19:IS19 I20:IS23 I24:DW24 IO24:IS24 I25:IS28">
    <cfRule type="expression" dxfId="2" priority="3">
      <formula>AND(TODAY()&gt;=I$5,TODAY()&lt;J$5)</formula>
    </cfRule>
  </conditionalFormatting>
  <conditionalFormatting sqref="I7:IS7 AB8:IS8 I9:IS12 I13:Z13 DU13:IS13 I14:IS18 I19:CO19 ES19:IS19 I20:IS23 I24:DW24 IO24:IS24 I25:IS28">
    <cfRule type="expression" dxfId="1" priority="1">
      <formula>AND(inizio_attività&lt;=I$5,ROUNDDOWN((fine_attività-inizio_attività+1)*avanzamento_attività,0)+inizio_attività-1&gt;=I$5)</formula>
    </cfRule>
    <cfRule type="expression" dxfId="0" priority="2" stopIfTrue="1">
      <formula>AND(fine_attività&gt;=I$5,inizio_attività&lt;J$5)</formula>
    </cfRule>
  </conditionalFormatting>
  <dataValidations disablePrompts="1" count="1">
    <dataValidation type="whole" operator="greaterThanOrEqual" allowBlank="1" showInputMessage="1" promptTitle="Visualizza settimana:" prompt="Cambiando questo numero si scorre la visualizzazione del diagramma di Gantt." sqref="E4" xr:uid="{00000000-0002-0000-0000-000000000000}">
      <formula1>1</formula1>
    </dataValidation>
  </dataValidations>
  <printOptions horizontalCentered="1"/>
  <pageMargins left="0.35" right="0.35" top="0.35" bottom="0.5" header="0.3" footer="0.3"/>
  <pageSetup paperSize="9"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D22:D23 D7:D19</xm:sqref>
        </x14:conditionalFormatting>
        <x14:conditionalFormatting xmlns:xm="http://schemas.microsoft.com/office/excel/2006/main">
          <x14:cfRule type="dataBar" id="{39384190-2606-4909-85F3-BB48EE40B67C}">
            <x14:dataBar minLength="0" maxLength="100" gradient="0">
              <x14:cfvo type="num">
                <xm:f>0</xm:f>
              </x14:cfvo>
              <x14:cfvo type="num">
                <xm:f>1</xm:f>
              </x14:cfvo>
              <x14:negativeFillColor rgb="FFFF0000"/>
              <x14:axisColor rgb="FF000000"/>
            </x14:dataBar>
          </x14:cfRule>
          <xm:sqref>D24:D28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A57CFF5DE98A40ACFEE50952031BB2" ma:contentTypeVersion="13" ma:contentTypeDescription="Create a new document." ma:contentTypeScope="" ma:versionID="1b290a6e6252649908d92c5976d5d7e2">
  <xsd:schema xmlns:xsd="http://www.w3.org/2001/XMLSchema" xmlns:xs="http://www.w3.org/2001/XMLSchema" xmlns:p="http://schemas.microsoft.com/office/2006/metadata/properties" xmlns:ns2="5735192e-ec71-40a1-825c-8971dcddf271" xmlns:ns3="848150f8-85e9-4aeb-ae75-a80aa57084e0" targetNamespace="http://schemas.microsoft.com/office/2006/metadata/properties" ma:root="true" ma:fieldsID="58a6a892a146a2221de2f89f384aacde" ns2:_="" ns3:_="">
    <xsd:import namespace="5735192e-ec71-40a1-825c-8971dcddf271"/>
    <xsd:import namespace="848150f8-85e9-4aeb-ae75-a80aa57084e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5192e-ec71-40a1-825c-8971dcddf27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1236525-b976-4609-a1d2-2c06a491e055"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48150f8-85e9-4aeb-ae75-a80aa57084e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5362636-606f-46bc-9d50-61b4a37de972}" ma:internalName="TaxCatchAll" ma:showField="CatchAllData" ma:web="848150f8-85e9-4aeb-ae75-a80aa57084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48150f8-85e9-4aeb-ae75-a80aa57084e0" xsi:nil="true"/>
    <lcf76f155ced4ddcb4097134ff3c332f xmlns="5735192e-ec71-40a1-825c-8971dcddf2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9110F7-B06F-49CC-B9CC-EB45698493E6}"/>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42067bfa-91da-4259-bf33-b8f66a9169e2"/>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CBS</vt:lpstr>
      <vt:lpstr>CBS!avanzamento_attività</vt:lpstr>
      <vt:lpstr>CBS!fine_attività</vt:lpstr>
      <vt:lpstr>CBS!inizio_attività</vt:lpstr>
      <vt:lpstr>Inizio_progetto</vt:lpstr>
      <vt:lpstr>CBS!Print_Titles</vt:lpstr>
      <vt:lpstr>Visualizza_settimana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2025-04-08T09:32:15Z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0x0101000FA57CFF5DE98A40ACFEE50952031BB2</vt:lpwstr>
  </property>
  <property fmtid="{D5CDD505-2E9C-101B-9397-08002B2CF9AE}" pid="3" name="MediaServiceImageTags">
    <vt:lpwstr/>
  </property>
  <property fmtid="{D5CDD505-2E9C-101B-9397-08002B2CF9AE}" pid="4" name="Order">
    <vt:r8>2100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