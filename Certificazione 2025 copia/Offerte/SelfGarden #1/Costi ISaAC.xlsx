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teleconsysit.sharepoint.com/sites/Pre-Sales-42001-ISaACAudit/Shared Documents/Progetto ISaAC - Documentazione/Offerte/SelfGarden #1/"/>
    </mc:Choice>
  </mc:AlternateContent>
  <xr:revisionPtr revIDLastSave="36" documentId="8_{B4EA0F67-963A-4CAC-8AA0-69749D92E6A9}" xr6:coauthVersionLast="47" xr6:coauthVersionMax="47" xr10:uidLastSave="{AD3D91E3-6C7F-4BE8-BF0C-4508C3013938}"/>
  <bookViews>
    <workbookView xWindow="-108" yWindow="-108" windowWidth="23256" windowHeight="12456" xr2:uid="{711ECEB7-FF13-4F66-9D18-5A3E16E234DF}"/>
  </bookViews>
  <sheets>
    <sheet name="Sim cos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7" i="1" l="1"/>
  <c r="F24" i="1"/>
  <c r="F25" i="1"/>
  <c r="C20" i="1"/>
  <c r="F14" i="1" l="1"/>
  <c r="F23" i="1" s="1"/>
  <c r="C12" i="1"/>
</calcChain>
</file>

<file path=xl/sharedStrings.xml><?xml version="1.0" encoding="utf-8"?>
<sst xmlns="http://schemas.openxmlformats.org/spreadsheetml/2006/main" count="29" uniqueCount="26">
  <si>
    <t>COSTI UNA TANTUM</t>
  </si>
  <si>
    <t>ORE LAVORO DEL PERSONALE</t>
  </si>
  <si>
    <t>Asset</t>
  </si>
  <si>
    <t>€</t>
  </si>
  <si>
    <t>Attività</t>
  </si>
  <si>
    <t>Ore/uomo</t>
  </si>
  <si>
    <t>Una tantum</t>
  </si>
  <si>
    <t>TOTALE</t>
  </si>
  <si>
    <t>Ricorrente</t>
  </si>
  <si>
    <t>COSTI RICORRENTI</t>
  </si>
  <si>
    <t>€/mese</t>
  </si>
  <si>
    <t>Costo orario personale [€]</t>
  </si>
  <si>
    <t>Costo per mesi:</t>
  </si>
  <si>
    <t>TOTALE [€]</t>
  </si>
  <si>
    <t>Capex</t>
  </si>
  <si>
    <t>Opex</t>
  </si>
  <si>
    <t>COSTI ISAAC</t>
  </si>
  <si>
    <t>Rpi5 + Hailo + Active Cooler</t>
  </si>
  <si>
    <t>Telecamera IP</t>
  </si>
  <si>
    <t>Mini PC per BE (1 Tb)</t>
  </si>
  <si>
    <t>Primo sviluppo SW</t>
  </si>
  <si>
    <t>Test in loco e da remoto</t>
  </si>
  <si>
    <t>Ultralytics</t>
  </si>
  <si>
    <t>Licenze</t>
  </si>
  <si>
    <t>Montaggio e collaudo</t>
  </si>
  <si>
    <t>Attività correttive e manutenzione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</si>
</sst>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6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2" borderId="0" xfId="0" applyFill="1"/>
    <xf numFmtId="0" fontId="5" fillId="2" borderId="0" xfId="0" applyFont="1" applyFill="1"/>
    <xf numFmtId="0" fontId="6" fillId="2" borderId="0" xfId="0" applyFont="1" applyFill="1"/>
    <xf numFmtId="0" fontId="0" fillId="3" borderId="0" xfId="0" applyFill="1"/>
    <xf numFmtId="0" fontId="0" fillId="4" borderId="0" xfId="0" applyFill="1"/>
    <xf numFmtId="0" fontId="4" fillId="2" borderId="0" xfId="0" applyFont="1" applyFill="1"/>
    <xf numFmtId="0" fontId="3" fillId="0" borderId="0" xfId="0" applyFont="1"/>
    <xf numFmtId="0" fontId="3" fillId="4" borderId="0" xfId="0" applyFont="1" applyFill="1"/>
    <xf numFmtId="0" fontId="3" fillId="5" borderId="0" xfId="0" applyFont="1" applyFill="1"/>
    <xf numFmtId="0" fontId="3" fillId="3" borderId="0" xfId="0" applyFont="1" applyFill="1"/>
    <xf numFmtId="0" fontId="0" fillId="4" borderId="1" xfId="0" applyFill="1" applyBorder="1"/>
    <xf numFmtId="0" fontId="3" fillId="7" borderId="1" xfId="0" applyFont="1" applyFill="1" applyBorder="1"/>
    <xf numFmtId="0" fontId="3" fillId="6" borderId="2" xfId="0" applyFont="1" applyFill="1" applyBorder="1"/>
    <xf numFmtId="0" fontId="0" fillId="6" borderId="3" xfId="0" applyFill="1" applyBorder="1"/>
    <xf numFmtId="0" fontId="0" fillId="4" borderId="4" xfId="0" applyFill="1" applyBorder="1"/>
    <xf numFmtId="0" fontId="7" fillId="4" borderId="1" xfId="0" applyFont="1" applyFill="1" applyBorder="1"/>
    <xf numFmtId="0" fontId="3" fillId="8" borderId="0" xfId="0" applyFont="1" applyFill="1"/>
    <xf numFmtId="0" fontId="0" fillId="8" borderId="0" xfId="0" applyFill="1"/>
    <xf numFmtId="0" fontId="0" fillId="4" borderId="6" xfId="0" applyFill="1" applyBorder="1"/>
    <xf numFmtId="0" fontId="0" fillId="4" borderId="5" xfId="0" applyFill="1" applyBorder="1"/>
    <xf numFmtId="0" fontId="2" fillId="4" borderId="7" xfId="0" applyFont="1" applyFill="1" applyBorder="1"/>
    <xf numFmtId="0" fontId="2" fillId="4" borderId="1" xfId="0" applyFont="1" applyFill="1" applyBorder="1"/>
    <xf numFmtId="0" fontId="1" fillId="9" borderId="0" xfId="0" applyFont="1" applyFill="1"/>
    <xf numFmtId="0" fontId="9" fillId="4" borderId="0" xfId="0" applyFont="1" applyFill="1"/>
    <xf numFmtId="0" fontId="8" fillId="4" borderId="0" xfId="0" applyFont="1" applyFill="1"/>
    <xf numFmtId="0" fontId="7" fillId="4" borderId="0" xfId="0" applyFont="1" applyFill="1"/>
    <xf numFmtId="0" fontId="2" fillId="4" borderId="0" xfId="0" applyFont="1" applyFill="1"/>
    <xf numFmtId="0" fontId="10" fillId="4" borderId="0" xfId="0" applyFont="1" applyFill="1"/>
    <xf numFmtId="0" fontId="1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C7A5E-F5F6-42FE-BDF3-5DC2C00E4A72}">
  <dimension ref="A1:P34"/>
  <sheetViews>
    <sheetView tabSelected="1" topLeftCell="A11" zoomScale="115" zoomScaleNormal="115" workbookViewId="0">
      <selection activeCell="I27" sqref="I27"/>
    </sheetView>
  </sheetViews>
  <sheetFormatPr defaultRowHeight="14.4" x14ac:dyDescent="0.3"/>
  <cols>
    <col min="1" max="1" width="9.33203125" customWidth="1"/>
    <col min="2" max="2" width="28.33203125" customWidth="1"/>
    <col min="5" max="5" width="36.44140625" customWidth="1"/>
    <col min="6" max="6" width="11" customWidth="1"/>
    <col min="8" max="8" width="24.33203125" customWidth="1"/>
    <col min="9" max="9" width="11.44140625" customWidth="1"/>
  </cols>
  <sheetData>
    <row r="1" spans="1:16" ht="21" x14ac:dyDescent="0.4">
      <c r="A1" s="3"/>
      <c r="B1" s="2"/>
      <c r="C1" s="2"/>
      <c r="D1" s="2"/>
      <c r="E1" s="2"/>
      <c r="F1" s="2"/>
      <c r="G1" s="2"/>
    </row>
    <row r="2" spans="1:16" ht="28.8" x14ac:dyDescent="0.55000000000000004">
      <c r="A2" s="4"/>
      <c r="B2" s="4" t="s">
        <v>16</v>
      </c>
      <c r="C2" s="2"/>
      <c r="D2" s="2"/>
      <c r="E2" s="2"/>
      <c r="F2" s="2"/>
      <c r="G2" s="2"/>
    </row>
    <row r="3" spans="1:16" x14ac:dyDescent="0.3">
      <c r="A3" s="2"/>
      <c r="B3" s="2"/>
      <c r="C3" s="2"/>
      <c r="D3" s="2"/>
      <c r="E3" s="2"/>
      <c r="F3" s="2"/>
      <c r="G3" s="2"/>
    </row>
    <row r="4" spans="1:16" x14ac:dyDescent="0.3">
      <c r="A4" s="6"/>
      <c r="B4" s="6"/>
      <c r="C4" s="9"/>
      <c r="D4" s="9"/>
      <c r="E4" s="9"/>
      <c r="F4" s="9"/>
      <c r="G4" s="9"/>
      <c r="K4" s="8"/>
      <c r="L4" s="8"/>
      <c r="M4" s="8"/>
      <c r="N4" s="8"/>
      <c r="O4" s="8"/>
      <c r="P4" s="8"/>
    </row>
    <row r="5" spans="1:16" x14ac:dyDescent="0.3">
      <c r="A5" s="6"/>
      <c r="B5" s="6"/>
      <c r="C5" s="9"/>
      <c r="D5" s="9"/>
      <c r="E5" s="9"/>
      <c r="F5" s="9"/>
      <c r="G5" s="9"/>
      <c r="K5" s="8"/>
      <c r="L5" s="8"/>
      <c r="M5" s="8"/>
      <c r="N5" s="8"/>
      <c r="O5" s="8"/>
      <c r="P5" s="8"/>
    </row>
    <row r="6" spans="1:16" x14ac:dyDescent="0.3">
      <c r="A6" s="6"/>
      <c r="B6" s="10" t="s">
        <v>0</v>
      </c>
      <c r="C6" s="10"/>
      <c r="D6" s="9"/>
      <c r="E6" s="18" t="s">
        <v>1</v>
      </c>
      <c r="F6" s="19"/>
      <c r="G6" s="6"/>
      <c r="M6" s="8"/>
      <c r="N6" s="8"/>
      <c r="O6" s="8"/>
      <c r="P6" s="8"/>
    </row>
    <row r="7" spans="1:16" x14ac:dyDescent="0.3">
      <c r="A7" s="6"/>
      <c r="B7" s="6"/>
      <c r="C7" s="9"/>
      <c r="D7" s="9"/>
      <c r="E7" s="9"/>
      <c r="F7" s="9"/>
      <c r="G7" s="9"/>
      <c r="K7" s="8"/>
      <c r="L7" s="8"/>
      <c r="M7" s="8"/>
      <c r="N7" s="8"/>
      <c r="O7" s="8"/>
      <c r="P7" s="8"/>
    </row>
    <row r="8" spans="1:16" x14ac:dyDescent="0.3">
      <c r="A8" s="6"/>
      <c r="B8" s="13" t="s">
        <v>2</v>
      </c>
      <c r="C8" s="13" t="s">
        <v>3</v>
      </c>
      <c r="D8" s="9"/>
      <c r="E8" s="13" t="s">
        <v>4</v>
      </c>
      <c r="F8" s="13" t="s">
        <v>5</v>
      </c>
      <c r="G8" s="9"/>
      <c r="K8" s="8"/>
      <c r="L8" s="8"/>
      <c r="M8" s="8"/>
      <c r="N8" s="8"/>
      <c r="O8" s="8"/>
      <c r="P8" s="8"/>
    </row>
    <row r="9" spans="1:16" x14ac:dyDescent="0.3">
      <c r="A9" s="6"/>
      <c r="B9" s="17" t="s">
        <v>19</v>
      </c>
      <c r="C9" s="12">
        <v>600</v>
      </c>
      <c r="D9" s="9"/>
      <c r="E9" s="14" t="s">
        <v>6</v>
      </c>
      <c r="F9" s="15"/>
      <c r="G9" s="9"/>
      <c r="K9" s="8"/>
      <c r="L9" s="8"/>
      <c r="M9" s="8"/>
      <c r="N9" s="8"/>
      <c r="O9" s="8"/>
      <c r="P9" s="8"/>
    </row>
    <row r="10" spans="1:16" x14ac:dyDescent="0.3">
      <c r="A10" s="6"/>
      <c r="B10" s="16" t="s">
        <v>17</v>
      </c>
      <c r="C10" s="16">
        <v>300</v>
      </c>
      <c r="D10" s="9"/>
      <c r="E10" s="1" t="s">
        <v>20</v>
      </c>
      <c r="F10" s="12">
        <v>540</v>
      </c>
      <c r="G10" s="9"/>
      <c r="K10" s="8"/>
      <c r="L10" s="8"/>
      <c r="M10" s="8"/>
      <c r="N10" s="8"/>
      <c r="O10" s="8"/>
      <c r="P10" s="8"/>
    </row>
    <row r="11" spans="1:16" x14ac:dyDescent="0.3">
      <c r="A11" s="6"/>
      <c r="B11" s="12" t="s">
        <v>18</v>
      </c>
      <c r="C11" s="12">
        <v>200</v>
      </c>
      <c r="D11" s="9"/>
      <c r="E11" s="12" t="s">
        <v>24</v>
      </c>
      <c r="F11" s="12">
        <v>40</v>
      </c>
      <c r="G11" s="9"/>
      <c r="K11" s="8"/>
      <c r="L11" s="8"/>
      <c r="M11" s="8"/>
      <c r="N11" s="8"/>
      <c r="O11" s="8"/>
      <c r="P11" s="8"/>
    </row>
    <row r="12" spans="1:16" x14ac:dyDescent="0.3">
      <c r="A12" s="6"/>
      <c r="B12" s="12" t="s">
        <v>7</v>
      </c>
      <c r="C12" s="23">
        <f>SUM(C9:C11)</f>
        <v>1100</v>
      </c>
      <c r="D12" s="9"/>
      <c r="E12" s="1" t="s">
        <v>21</v>
      </c>
      <c r="F12" s="1">
        <v>120</v>
      </c>
      <c r="G12" s="9"/>
      <c r="K12" s="8"/>
      <c r="L12" s="8"/>
      <c r="M12" s="8"/>
      <c r="N12" s="8"/>
      <c r="O12" s="8"/>
      <c r="P12" s="8"/>
    </row>
    <row r="13" spans="1:16" x14ac:dyDescent="0.3">
      <c r="A13" s="6"/>
      <c r="B13" s="9"/>
      <c r="C13" s="6"/>
      <c r="D13" s="9"/>
      <c r="E13" s="1" t="s">
        <v>25</v>
      </c>
      <c r="F13" s="12">
        <v>300</v>
      </c>
      <c r="G13" s="9"/>
      <c r="K13" s="8"/>
      <c r="L13" s="8"/>
      <c r="M13" s="8"/>
      <c r="N13" s="8"/>
      <c r="O13" s="8"/>
      <c r="P13" s="8"/>
    </row>
    <row r="14" spans="1:16" x14ac:dyDescent="0.3">
      <c r="A14" s="6"/>
      <c r="B14" s="6"/>
      <c r="C14" s="6"/>
      <c r="D14" s="9"/>
      <c r="E14" s="12" t="s">
        <v>7</v>
      </c>
      <c r="F14" s="23">
        <f>SUM(F10:F13)</f>
        <v>1000</v>
      </c>
      <c r="G14" s="9"/>
      <c r="K14" s="8"/>
      <c r="L14" s="8"/>
      <c r="M14" s="8"/>
      <c r="N14" s="8"/>
      <c r="O14" s="8"/>
      <c r="P14" s="8"/>
    </row>
    <row r="15" spans="1:16" x14ac:dyDescent="0.3">
      <c r="A15" s="6"/>
      <c r="B15" s="11" t="s">
        <v>9</v>
      </c>
      <c r="C15" s="5"/>
      <c r="D15" s="9"/>
      <c r="E15" s="9" t="s">
        <v>8</v>
      </c>
      <c r="F15" s="6"/>
      <c r="G15" s="9"/>
      <c r="K15" s="8"/>
      <c r="L15" s="8"/>
      <c r="M15" s="8"/>
      <c r="N15" s="8"/>
      <c r="O15" s="8"/>
      <c r="P15" s="8"/>
    </row>
    <row r="16" spans="1:16" x14ac:dyDescent="0.3">
      <c r="A16" s="6"/>
      <c r="B16" s="6"/>
      <c r="C16" s="6"/>
      <c r="D16" s="9"/>
      <c r="E16" s="6"/>
      <c r="F16" s="6"/>
      <c r="G16" s="9"/>
      <c r="K16" s="8"/>
      <c r="L16" s="8"/>
      <c r="M16" s="8"/>
      <c r="N16" s="8"/>
      <c r="O16" s="8"/>
      <c r="P16" s="8"/>
    </row>
    <row r="17" spans="1:16" ht="15" thickBot="1" x14ac:dyDescent="0.35">
      <c r="A17" s="6"/>
      <c r="B17" s="13" t="s">
        <v>2</v>
      </c>
      <c r="C17" s="13" t="s">
        <v>10</v>
      </c>
      <c r="D17" s="9"/>
      <c r="E17" s="6"/>
      <c r="F17" s="21"/>
      <c r="G17" s="9"/>
      <c r="K17" s="8"/>
      <c r="L17" s="8"/>
      <c r="M17" s="8"/>
      <c r="N17" s="8"/>
      <c r="O17" s="8"/>
      <c r="P17" s="8"/>
    </row>
    <row r="18" spans="1:16" ht="15.6" thickTop="1" thickBot="1" x14ac:dyDescent="0.35">
      <c r="A18" s="6"/>
      <c r="B18" s="14" t="s">
        <v>23</v>
      </c>
      <c r="C18" s="15"/>
      <c r="D18" s="9"/>
      <c r="E18" s="20" t="s">
        <v>11</v>
      </c>
      <c r="F18" s="22">
        <v>35</v>
      </c>
      <c r="G18" s="9"/>
      <c r="K18" s="8"/>
      <c r="L18" s="8"/>
      <c r="M18" s="8"/>
      <c r="N18" s="8"/>
      <c r="O18" s="8"/>
      <c r="P18" s="8"/>
    </row>
    <row r="19" spans="1:16" ht="15" thickTop="1" x14ac:dyDescent="0.3">
      <c r="A19" s="6"/>
      <c r="B19" s="12" t="s">
        <v>22</v>
      </c>
      <c r="C19" s="12">
        <v>830</v>
      </c>
      <c r="D19" s="9"/>
      <c r="E19" s="6"/>
      <c r="F19" s="6"/>
      <c r="G19" s="9"/>
      <c r="K19" s="8"/>
      <c r="L19" s="8"/>
      <c r="M19" s="8"/>
      <c r="N19" s="8"/>
      <c r="O19" s="8"/>
      <c r="P19" s="8"/>
    </row>
    <row r="20" spans="1:16" ht="18" x14ac:dyDescent="0.35">
      <c r="A20" s="6"/>
      <c r="B20" s="12" t="s">
        <v>7</v>
      </c>
      <c r="C20" s="30">
        <f>SUM(C19)</f>
        <v>830</v>
      </c>
      <c r="D20" s="9"/>
      <c r="E20" s="7" t="s">
        <v>12</v>
      </c>
      <c r="F20" s="24">
        <v>12</v>
      </c>
      <c r="G20" s="9"/>
      <c r="K20" s="8"/>
      <c r="L20" s="8"/>
      <c r="M20" s="8"/>
      <c r="N20" s="8"/>
      <c r="O20" s="8"/>
      <c r="P20" s="8"/>
    </row>
    <row r="21" spans="1:16" x14ac:dyDescent="0.3">
      <c r="A21" s="6"/>
      <c r="B21" s="6"/>
      <c r="C21" s="6"/>
      <c r="D21" s="9"/>
      <c r="E21" s="6"/>
      <c r="F21" s="6"/>
      <c r="G21" s="27"/>
      <c r="K21" s="8"/>
      <c r="L21" s="8"/>
      <c r="M21" s="8"/>
      <c r="N21" s="8"/>
      <c r="O21" s="8"/>
      <c r="P21" s="8"/>
    </row>
    <row r="22" spans="1:16" x14ac:dyDescent="0.3">
      <c r="A22" s="6"/>
      <c r="B22" s="6"/>
      <c r="C22" s="28"/>
      <c r="D22" s="9"/>
      <c r="E22" s="6"/>
      <c r="F22" s="6"/>
      <c r="G22" s="9"/>
      <c r="K22" s="8"/>
      <c r="L22" s="8"/>
      <c r="M22" s="8"/>
      <c r="N22" s="8"/>
      <c r="O22" s="8"/>
      <c r="P22" s="8"/>
    </row>
    <row r="23" spans="1:16" ht="21" x14ac:dyDescent="0.4">
      <c r="A23" s="6"/>
      <c r="B23" s="9"/>
      <c r="C23" s="6"/>
      <c r="D23" s="9"/>
      <c r="E23" s="25" t="s">
        <v>13</v>
      </c>
      <c r="F23" s="25">
        <f>SUM(PRODUCT(F20,C20),C12,PRODUCT(F14,F18))</f>
        <v>46060</v>
      </c>
      <c r="G23" s="9"/>
      <c r="K23" s="8"/>
      <c r="L23" s="8"/>
      <c r="M23" s="8"/>
      <c r="N23" s="8"/>
      <c r="O23" s="8"/>
      <c r="P23" s="8"/>
    </row>
    <row r="24" spans="1:16" x14ac:dyDescent="0.3">
      <c r="A24" s="6"/>
      <c r="B24" s="6"/>
      <c r="C24" s="6"/>
      <c r="D24" s="9"/>
      <c r="E24" s="29" t="s">
        <v>14</v>
      </c>
      <c r="F24" s="27">
        <f>C12+(F18*F14)</f>
        <v>36100</v>
      </c>
      <c r="G24" s="9"/>
      <c r="K24" s="8"/>
      <c r="L24" s="8"/>
      <c r="M24" s="8"/>
      <c r="N24" s="8"/>
      <c r="O24" s="8"/>
      <c r="P24" s="8"/>
    </row>
    <row r="25" spans="1:16" x14ac:dyDescent="0.3">
      <c r="A25" s="6"/>
      <c r="B25" s="6"/>
      <c r="C25" s="6"/>
      <c r="D25" s="9"/>
      <c r="E25" s="28" t="s">
        <v>15</v>
      </c>
      <c r="F25">
        <f>C20*F20</f>
        <v>9960</v>
      </c>
      <c r="G25" s="9"/>
      <c r="K25" s="8"/>
      <c r="L25" s="8"/>
      <c r="M25" s="8"/>
      <c r="N25" s="8"/>
      <c r="O25" s="8"/>
      <c r="P25" s="8"/>
    </row>
    <row r="26" spans="1:16" ht="21" x14ac:dyDescent="0.4">
      <c r="A26" s="6"/>
      <c r="B26" s="6"/>
      <c r="C26" s="28"/>
      <c r="D26" s="26"/>
      <c r="E26" s="6"/>
      <c r="F26" s="6"/>
      <c r="G26" s="9"/>
      <c r="K26" s="8"/>
      <c r="L26" s="8"/>
      <c r="M26" s="8"/>
      <c r="N26" s="8"/>
      <c r="O26" s="8"/>
      <c r="P26" s="8"/>
    </row>
    <row r="27" spans="1:16" x14ac:dyDescent="0.3">
      <c r="A27" s="6"/>
      <c r="B27" s="6"/>
      <c r="C27" s="6"/>
      <c r="D27" s="9"/>
      <c r="E27" s="6"/>
      <c r="F27" s="6"/>
      <c r="G27" s="9"/>
      <c r="I27">
        <f>F23 - (F14/2)*F18 - (C20*12) - C12 - 8750</f>
        <v>8750</v>
      </c>
      <c r="K27" s="8"/>
      <c r="L27" s="8"/>
      <c r="M27" s="8"/>
      <c r="N27" s="8"/>
      <c r="O27" s="8"/>
      <c r="P27" s="8"/>
    </row>
    <row r="28" spans="1:16" x14ac:dyDescent="0.3">
      <c r="A28" s="6"/>
      <c r="B28" s="6"/>
      <c r="C28" s="28"/>
      <c r="D28" s="9"/>
      <c r="E28" s="9"/>
      <c r="F28" s="9"/>
      <c r="G28" s="9"/>
      <c r="K28" s="8"/>
      <c r="L28" s="8"/>
      <c r="M28" s="8"/>
      <c r="N28" s="8"/>
      <c r="O28" s="8"/>
      <c r="P28" s="8"/>
    </row>
    <row r="29" spans="1:16" x14ac:dyDescent="0.3">
      <c r="A29" s="6"/>
      <c r="B29" s="6"/>
      <c r="C29" s="6"/>
      <c r="D29" s="9"/>
      <c r="E29" s="27"/>
      <c r="F29" s="27"/>
      <c r="G29" s="9"/>
      <c r="K29" s="8"/>
      <c r="L29" s="8"/>
      <c r="M29" s="8"/>
      <c r="N29" s="8"/>
      <c r="O29" s="8"/>
      <c r="P29" s="8"/>
    </row>
    <row r="30" spans="1:16" x14ac:dyDescent="0.3">
      <c r="A30" s="6"/>
      <c r="B30" s="6"/>
      <c r="C30" s="6"/>
      <c r="D30" s="9"/>
      <c r="E30" s="27"/>
      <c r="F30" s="6"/>
      <c r="G30" s="9"/>
      <c r="K30" s="8"/>
      <c r="L30" s="8"/>
      <c r="M30" s="8"/>
      <c r="N30" s="8"/>
      <c r="O30" s="8"/>
      <c r="P30" s="8"/>
    </row>
    <row r="31" spans="1:16" x14ac:dyDescent="0.3"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x14ac:dyDescent="0.3"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6:16" x14ac:dyDescent="0.3"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6:16" x14ac:dyDescent="0.3"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A57CFF5DE98A40ACFEE50952031BB2" ma:contentTypeVersion="13" ma:contentTypeDescription="Create a new document." ma:contentTypeScope="" ma:versionID="1b290a6e6252649908d92c5976d5d7e2">
  <xsd:schema xmlns:xsd="http://www.w3.org/2001/XMLSchema" xmlns:xs="http://www.w3.org/2001/XMLSchema" xmlns:p="http://schemas.microsoft.com/office/2006/metadata/properties" xmlns:ns2="5735192e-ec71-40a1-825c-8971dcddf271" xmlns:ns3="848150f8-85e9-4aeb-ae75-a80aa57084e0" targetNamespace="http://schemas.microsoft.com/office/2006/metadata/properties" ma:root="true" ma:fieldsID="58a6a892a146a2221de2f89f384aacde" ns2:_="" ns3:_="">
    <xsd:import namespace="5735192e-ec71-40a1-825c-8971dcddf271"/>
    <xsd:import namespace="848150f8-85e9-4aeb-ae75-a80aa57084e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35192e-ec71-40a1-825c-8971dcddf2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1236525-b976-4609-a1d2-2c06a491e0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8150f8-85e9-4aeb-ae75-a80aa57084e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5362636-606f-46bc-9d50-61b4a37de972}" ma:internalName="TaxCatchAll" ma:showField="CatchAllData" ma:web="848150f8-85e9-4aeb-ae75-a80aa57084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35192e-ec71-40a1-825c-8971dcddf271">
      <Terms xmlns="http://schemas.microsoft.com/office/infopath/2007/PartnerControls"/>
    </lcf76f155ced4ddcb4097134ff3c332f>
    <TaxCatchAll xmlns="848150f8-85e9-4aeb-ae75-a80aa57084e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A8F841-717D-4A79-B023-817E6B44C6A4}"/>
</file>

<file path=customXml/itemProps2.xml><?xml version="1.0" encoding="utf-8"?>
<ds:datastoreItem xmlns:ds="http://schemas.openxmlformats.org/officeDocument/2006/customXml" ds:itemID="{7570FCDE-DC4C-42B8-9A2A-DABD60D5AC6F}">
  <ds:schemaRefs>
    <ds:schemaRef ds:uri="e448b08f-3c00-4ad1-8a7a-7d5de72e9bc8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4d97fdb9-2931-4526-bab6-083dbe887d18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c4fdcfbd-3d0a-4387-a1bc-fea3600f240f"/>
  </ds:schemaRefs>
</ds:datastoreItem>
</file>

<file path=customXml/itemProps3.xml><?xml version="1.0" encoding="utf-8"?>
<ds:datastoreItem xmlns:ds="http://schemas.openxmlformats.org/officeDocument/2006/customXml" ds:itemID="{1012D8BF-4371-4059-BD98-B9950B078E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 costo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Giordano Pescetelli</dc:creator>
  <cp:keywords/>
  <dc:description/>
  <cp:lastModifiedBy>Daniele Di Noto</cp:lastModifiedBy>
  <cp:revision/>
  <dcterms:created xsi:type="dcterms:W3CDTF">2024-11-29T12:54:34Z</dcterms:created>
  <dcterms:modified xsi:type="dcterms:W3CDTF">2025-09-22T15:31:08Z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0x0101000FA57CFF5DE98A40ACFEE50952031BB2</vt:lpwstr>
  </property>
  <property fmtid="{D5CDD505-2E9C-101B-9397-08002B2CF9AE}" pid="3" name="MediaServiceImageTags">
    <vt:lpwstr/>
  </property>
  <property fmtid="{D5CDD505-2E9C-101B-9397-08002B2CF9AE}" pid="4" name="Order">
    <vt:r8>6800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