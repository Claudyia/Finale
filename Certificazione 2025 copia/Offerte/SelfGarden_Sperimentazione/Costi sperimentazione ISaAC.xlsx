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teleconsysit.sharepoint.com/sites/Pre-Sales-42001-ISaACAudit/Shared Documents/42001 - 2025 ISaAC/Offerte/SelfGarden_Sperimentazione/"/>
    </mc:Choice>
  </mc:AlternateContent>
  <xr:revisionPtr revIDLastSave="259" documentId="8_{B4EA0F67-963A-4CAC-8AA0-69749D92E6A9}" xr6:coauthVersionLast="47" xr6:coauthVersionMax="47" xr10:uidLastSave="{5622C2FE-0495-42B3-818A-B034E1FF165D}"/>
  <bookViews>
    <workbookView xWindow="-108" yWindow="-108" windowWidth="23256" windowHeight="12456" xr2:uid="{711ECEB7-FF13-4F66-9D18-5A3E16E234DF}"/>
  </bookViews>
  <sheets>
    <sheet name="Fattibilità selfgarden#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3" i="2" l="1"/>
  <c r="F22" i="2" s="1"/>
  <c r="F24" i="2"/>
  <c r="C22" i="2"/>
  <c r="G13" i="2"/>
  <c r="F13" i="2"/>
  <c r="F23" i="2" s="1"/>
  <c r="C11" i="2"/>
</calcChain>
</file>

<file path=xl/sharedStrings.xml><?xml version="1.0" encoding="utf-8"?>
<sst xmlns="http://schemas.openxmlformats.org/spreadsheetml/2006/main" count="32" uniqueCount="28">
  <si>
    <t>COSTI UNA TANTUM</t>
  </si>
  <si>
    <t>ORE LAVORO DEL PERSONALE</t>
  </si>
  <si>
    <t>Asset</t>
  </si>
  <si>
    <t>€</t>
  </si>
  <si>
    <t>Attività</t>
  </si>
  <si>
    <t>Ore/uomo</t>
  </si>
  <si>
    <t>Una tantum</t>
  </si>
  <si>
    <t>TOTALE</t>
  </si>
  <si>
    <t>Ricorrente</t>
  </si>
  <si>
    <t>COSTI RICORRENTI</t>
  </si>
  <si>
    <t>€/mese</t>
  </si>
  <si>
    <t>Costo per mesi:</t>
  </si>
  <si>
    <t>TOTALE [€]</t>
  </si>
  <si>
    <t>Capex</t>
  </si>
  <si>
    <t>Opex</t>
  </si>
  <si>
    <t>Telecamera IP</t>
  </si>
  <si>
    <t>Mini PC per BE (1 Tb)</t>
  </si>
  <si>
    <t>Primo sviluppo SW</t>
  </si>
  <si>
    <t>Test in loco e da remoto</t>
  </si>
  <si>
    <t>Licenze</t>
  </si>
  <si>
    <t>Montaggio e collaudo</t>
  </si>
  <si>
    <t>Attività correttive e manutenzione</t>
  </si>
  <si>
    <t>Giornate</t>
  </si>
  <si>
    <t>Rpi5 + Hailo + Active Cooler + case</t>
  </si>
  <si>
    <t>COSTI ISAAC selfgarden 1#</t>
  </si>
  <si>
    <t>Figura Professionale</t>
  </si>
  <si>
    <t>TCS-STIN-INN-CONS</t>
  </si>
  <si>
    <t>Costo orario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</si>
</sst>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41">
    <xf numFmtId="0" fontId="0" fillId="0" borderId="0" xfId="0"/>
    <xf numFmtId="0" fontId="0" fillId="0" borderId="1" xfId="0" applyBorder="1"/>
    <xf numFmtId="0" fontId="0" fillId="2" borderId="0" xfId="0" applyFill="1"/>
    <xf numFmtId="0" fontId="5" fillId="2" borderId="0" xfId="0" applyFont="1" applyFill="1"/>
    <xf numFmtId="0" fontId="0" fillId="3" borderId="0" xfId="0" applyFill="1"/>
    <xf numFmtId="0" fontId="0" fillId="4" borderId="0" xfId="0" applyFill="1"/>
    <xf numFmtId="0" fontId="4" fillId="2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3" borderId="0" xfId="0" applyFont="1" applyFill="1"/>
    <xf numFmtId="0" fontId="0" fillId="4" borderId="1" xfId="0" applyFill="1" applyBorder="1"/>
    <xf numFmtId="0" fontId="3" fillId="7" borderId="1" xfId="0" applyFont="1" applyFill="1" applyBorder="1"/>
    <xf numFmtId="0" fontId="3" fillId="6" borderId="2" xfId="0" applyFont="1" applyFill="1" applyBorder="1"/>
    <xf numFmtId="0" fontId="0" fillId="6" borderId="3" xfId="0" applyFill="1" applyBorder="1"/>
    <xf numFmtId="0" fontId="0" fillId="4" borderId="4" xfId="0" applyFill="1" applyBorder="1"/>
    <xf numFmtId="0" fontId="6" fillId="4" borderId="1" xfId="0" applyFont="1" applyFill="1" applyBorder="1"/>
    <xf numFmtId="0" fontId="3" fillId="8" borderId="0" xfId="0" applyFont="1" applyFill="1"/>
    <xf numFmtId="0" fontId="0" fillId="8" borderId="0" xfId="0" applyFill="1"/>
    <xf numFmtId="0" fontId="2" fillId="4" borderId="1" xfId="0" applyFont="1" applyFill="1" applyBorder="1"/>
    <xf numFmtId="0" fontId="1" fillId="9" borderId="0" xfId="0" applyFont="1" applyFill="1"/>
    <xf numFmtId="0" fontId="7" fillId="4" borderId="0" xfId="0" applyFont="1" applyFill="1"/>
    <xf numFmtId="0" fontId="6" fillId="4" borderId="0" xfId="0" applyFont="1" applyFill="1"/>
    <xf numFmtId="0" fontId="2" fillId="4" borderId="0" xfId="0" applyFont="1" applyFill="1"/>
    <xf numFmtId="0" fontId="8" fillId="4" borderId="0" xfId="0" applyFont="1" applyFill="1"/>
    <xf numFmtId="0" fontId="9" fillId="4" borderId="1" xfId="0" applyFont="1" applyFill="1" applyBorder="1"/>
    <xf numFmtId="0" fontId="3" fillId="7" borderId="0" xfId="0" applyFont="1" applyFill="1" applyAlignment="1">
      <alignment vertical="center"/>
    </xf>
    <xf numFmtId="0" fontId="3" fillId="6" borderId="0" xfId="0" applyFont="1" applyFill="1"/>
    <xf numFmtId="0" fontId="0" fillId="6" borderId="5" xfId="0" applyFill="1" applyBorder="1"/>
    <xf numFmtId="0" fontId="11" fillId="0" borderId="0" xfId="0" applyFont="1"/>
    <xf numFmtId="0" fontId="3" fillId="6" borderId="1" xfId="0" applyFont="1" applyFill="1" applyBorder="1"/>
    <xf numFmtId="0" fontId="0" fillId="0" borderId="0" xfId="0" applyFill="1"/>
    <xf numFmtId="0" fontId="0" fillId="4" borderId="1" xfId="0" applyFont="1" applyFill="1" applyBorder="1"/>
    <xf numFmtId="0" fontId="3" fillId="6" borderId="1" xfId="0" applyFont="1" applyFill="1" applyBorder="1" applyAlignment="1">
      <alignment horizontal="right"/>
    </xf>
    <xf numFmtId="0" fontId="0" fillId="4" borderId="0" xfId="0" applyFill="1" applyBorder="1"/>
    <xf numFmtId="0" fontId="2" fillId="4" borderId="0" xfId="0" applyFont="1" applyFill="1" applyBorder="1"/>
    <xf numFmtId="0" fontId="12" fillId="0" borderId="1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right"/>
    </xf>
    <xf numFmtId="0" fontId="14" fillId="4" borderId="0" xfId="0" applyFont="1" applyFill="1" applyAlignment="1">
      <alignment horizontal="right"/>
    </xf>
    <xf numFmtId="9" fontId="15" fillId="4" borderId="0" xfId="1" applyFont="1" applyFill="1" applyAlignment="1">
      <alignment horizontal="right"/>
    </xf>
    <xf numFmtId="0" fontId="15" fillId="4" borderId="0" xfId="0" applyFont="1" applyFill="1" applyAlignment="1">
      <alignment horizontal="right"/>
    </xf>
    <xf numFmtId="9" fontId="13" fillId="0" borderId="0" xfId="1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2887E-F391-443B-A63B-19B894E89F39}">
  <dimension ref="A1:K29"/>
  <sheetViews>
    <sheetView tabSelected="1" topLeftCell="A4" workbookViewId="0">
      <selection activeCell="G12" sqref="G12"/>
    </sheetView>
  </sheetViews>
  <sheetFormatPr defaultRowHeight="14.4" x14ac:dyDescent="0.3"/>
  <cols>
    <col min="2" max="2" width="28.6640625" bestFit="1" customWidth="1"/>
    <col min="3" max="3" width="7.109375" bestFit="1" customWidth="1"/>
    <col min="5" max="5" width="27.88671875" bestFit="1" customWidth="1"/>
    <col min="6" max="6" width="12.109375" bestFit="1" customWidth="1"/>
    <col min="7" max="7" width="8" bestFit="1" customWidth="1"/>
    <col min="8" max="8" width="17.5546875" bestFit="1" customWidth="1"/>
    <col min="9" max="9" width="13.33203125" bestFit="1" customWidth="1"/>
  </cols>
  <sheetData>
    <row r="1" spans="1:11" ht="28.8" x14ac:dyDescent="0.55000000000000004">
      <c r="A1" s="3"/>
      <c r="B1" s="3" t="s">
        <v>24</v>
      </c>
      <c r="C1" s="2"/>
      <c r="D1" s="2"/>
      <c r="E1" s="2"/>
      <c r="F1" s="2"/>
      <c r="G1" s="2"/>
      <c r="H1" s="3"/>
      <c r="I1" s="3"/>
      <c r="J1" s="2"/>
    </row>
    <row r="2" spans="1:11" x14ac:dyDescent="0.3">
      <c r="A2" s="2"/>
      <c r="B2" s="2"/>
      <c r="C2" s="2"/>
      <c r="D2" s="2"/>
      <c r="E2" s="2"/>
      <c r="F2" s="2"/>
      <c r="G2" s="2"/>
      <c r="H2" s="2"/>
      <c r="I2" s="2"/>
      <c r="J2" s="2"/>
    </row>
    <row r="3" spans="1:11" x14ac:dyDescent="0.3">
      <c r="A3" s="5"/>
      <c r="B3" s="5"/>
      <c r="C3" s="7"/>
      <c r="D3" s="7"/>
      <c r="E3" s="7"/>
      <c r="F3" s="7"/>
      <c r="G3" s="7"/>
      <c r="H3" s="5"/>
      <c r="I3" s="5"/>
      <c r="J3" s="5"/>
    </row>
    <row r="4" spans="1:11" x14ac:dyDescent="0.3">
      <c r="A4" s="5"/>
      <c r="B4" s="5"/>
      <c r="C4" s="7"/>
      <c r="D4" s="7"/>
      <c r="E4" s="7"/>
      <c r="F4" s="7"/>
      <c r="G4" s="7"/>
      <c r="H4" s="5"/>
      <c r="I4" s="5"/>
      <c r="J4" s="5"/>
    </row>
    <row r="5" spans="1:11" x14ac:dyDescent="0.3">
      <c r="A5" s="5"/>
      <c r="B5" s="8" t="s">
        <v>0</v>
      </c>
      <c r="C5" s="8"/>
      <c r="D5" s="7"/>
      <c r="E5" s="16" t="s">
        <v>1</v>
      </c>
      <c r="F5" s="17"/>
      <c r="G5" s="17"/>
      <c r="H5" s="17"/>
      <c r="I5" s="17"/>
      <c r="J5" s="5"/>
    </row>
    <row r="6" spans="1:11" x14ac:dyDescent="0.3">
      <c r="A6" s="5"/>
      <c r="B6" s="5"/>
      <c r="C6" s="7"/>
      <c r="D6" s="7"/>
      <c r="E6" s="7"/>
      <c r="F6" s="7"/>
      <c r="G6" s="7"/>
      <c r="H6" s="5"/>
      <c r="I6" s="5"/>
      <c r="J6" s="5"/>
    </row>
    <row r="7" spans="1:11" x14ac:dyDescent="0.3">
      <c r="A7" s="5"/>
      <c r="B7" s="11" t="s">
        <v>2</v>
      </c>
      <c r="C7" s="11" t="s">
        <v>3</v>
      </c>
      <c r="D7" s="7"/>
      <c r="E7" s="11" t="s">
        <v>4</v>
      </c>
      <c r="F7" s="11" t="s">
        <v>5</v>
      </c>
      <c r="G7" s="25" t="s">
        <v>22</v>
      </c>
      <c r="H7" s="25" t="s">
        <v>25</v>
      </c>
      <c r="I7" s="25" t="s">
        <v>27</v>
      </c>
      <c r="J7" s="5"/>
    </row>
    <row r="8" spans="1:11" x14ac:dyDescent="0.3">
      <c r="A8" s="5"/>
      <c r="B8" s="15" t="s">
        <v>16</v>
      </c>
      <c r="C8" s="10">
        <v>0</v>
      </c>
      <c r="D8" s="7"/>
      <c r="E8" s="12" t="s">
        <v>6</v>
      </c>
      <c r="F8" s="27"/>
      <c r="G8" s="26"/>
      <c r="H8" s="29"/>
      <c r="I8" s="32"/>
      <c r="J8" s="5"/>
    </row>
    <row r="9" spans="1:11" x14ac:dyDescent="0.3">
      <c r="A9" s="5"/>
      <c r="B9" s="14" t="s">
        <v>23</v>
      </c>
      <c r="C9" s="28">
        <v>506.08</v>
      </c>
      <c r="D9" s="7"/>
      <c r="E9" s="1" t="s">
        <v>17</v>
      </c>
      <c r="F9" s="10">
        <v>0</v>
      </c>
      <c r="G9" s="15">
        <v>0</v>
      </c>
      <c r="H9" s="10"/>
      <c r="I9" s="10">
        <v>0</v>
      </c>
      <c r="J9" s="5"/>
    </row>
    <row r="10" spans="1:11" x14ac:dyDescent="0.3">
      <c r="A10" s="5"/>
      <c r="B10" s="10" t="s">
        <v>15</v>
      </c>
      <c r="C10" s="10">
        <v>0</v>
      </c>
      <c r="D10" s="7"/>
      <c r="E10" s="10" t="s">
        <v>20</v>
      </c>
      <c r="F10" s="10">
        <v>8</v>
      </c>
      <c r="G10" s="15">
        <v>1</v>
      </c>
      <c r="H10" s="35" t="s">
        <v>26</v>
      </c>
      <c r="I10" s="10">
        <v>35</v>
      </c>
      <c r="J10" s="5"/>
    </row>
    <row r="11" spans="1:11" x14ac:dyDescent="0.3">
      <c r="A11" s="5"/>
      <c r="B11" s="10" t="s">
        <v>7</v>
      </c>
      <c r="C11" s="18">
        <f>SUM(C8:C10)</f>
        <v>506.08</v>
      </c>
      <c r="D11" s="7"/>
      <c r="E11" s="1" t="s">
        <v>18</v>
      </c>
      <c r="F11" s="1">
        <v>32</v>
      </c>
      <c r="G11" s="15">
        <v>4</v>
      </c>
      <c r="H11" s="35" t="s">
        <v>26</v>
      </c>
      <c r="I11" s="10">
        <v>35</v>
      </c>
      <c r="J11" s="5"/>
    </row>
    <row r="12" spans="1:11" x14ac:dyDescent="0.3">
      <c r="A12" s="5"/>
      <c r="B12" s="7"/>
      <c r="C12" s="5"/>
      <c r="D12" s="7"/>
      <c r="E12" s="1" t="s">
        <v>21</v>
      </c>
      <c r="F12" s="10">
        <v>0</v>
      </c>
      <c r="G12" s="15">
        <v>0</v>
      </c>
      <c r="H12" s="10"/>
      <c r="I12" s="10">
        <v>0</v>
      </c>
      <c r="J12" s="5"/>
    </row>
    <row r="13" spans="1:11" x14ac:dyDescent="0.3">
      <c r="A13" s="5"/>
      <c r="B13" s="5"/>
      <c r="C13" s="5"/>
      <c r="D13" s="7"/>
      <c r="E13" s="10" t="s">
        <v>7</v>
      </c>
      <c r="F13" s="31">
        <f>SUM(F9:F12)</f>
        <v>40</v>
      </c>
      <c r="G13" s="15">
        <f>SUM(G9:G12)</f>
        <v>5</v>
      </c>
      <c r="H13" s="10"/>
      <c r="I13" s="18">
        <f>SUM(PRODUCT(F10,I10),PRODUCT(F11,I11),PRODUCT(F12,I12))</f>
        <v>1400</v>
      </c>
      <c r="J13" s="5"/>
    </row>
    <row r="14" spans="1:11" x14ac:dyDescent="0.3">
      <c r="A14" s="5"/>
      <c r="B14" s="7"/>
      <c r="C14" s="5"/>
      <c r="D14" s="7"/>
      <c r="E14" s="7" t="s">
        <v>8</v>
      </c>
      <c r="F14" s="5"/>
      <c r="G14" s="7"/>
      <c r="H14" s="5"/>
      <c r="I14" s="5"/>
      <c r="J14" s="5"/>
      <c r="K14" s="30"/>
    </row>
    <row r="15" spans="1:1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30"/>
    </row>
    <row r="16" spans="1:11" x14ac:dyDescent="0.3">
      <c r="A16" s="5"/>
      <c r="B16" s="5"/>
      <c r="C16" s="5"/>
      <c r="D16" s="5"/>
      <c r="E16" s="33"/>
      <c r="F16" s="33"/>
      <c r="G16" s="5"/>
      <c r="H16" s="5"/>
      <c r="I16" s="5"/>
      <c r="J16" s="5"/>
      <c r="K16" s="30"/>
    </row>
    <row r="17" spans="1:11" x14ac:dyDescent="0.3">
      <c r="A17" s="5"/>
      <c r="B17" s="9" t="s">
        <v>9</v>
      </c>
      <c r="C17" s="4"/>
      <c r="D17" s="5"/>
      <c r="E17" s="33"/>
      <c r="F17" s="34"/>
      <c r="G17" s="33"/>
      <c r="H17" s="5"/>
      <c r="I17" s="5"/>
      <c r="J17" s="5"/>
      <c r="K17" s="30"/>
    </row>
    <row r="18" spans="1:11" x14ac:dyDescent="0.3">
      <c r="A18" s="5"/>
      <c r="B18" s="5"/>
      <c r="C18" s="5"/>
      <c r="D18" s="5"/>
      <c r="E18" s="33"/>
      <c r="F18" s="33"/>
      <c r="G18" s="5"/>
      <c r="H18" s="5"/>
      <c r="I18" s="5"/>
      <c r="J18" s="5"/>
      <c r="K18" s="30"/>
    </row>
    <row r="19" spans="1:11" ht="18" x14ac:dyDescent="0.35">
      <c r="A19" s="5"/>
      <c r="B19" s="11" t="s">
        <v>2</v>
      </c>
      <c r="C19" s="11" t="s">
        <v>10</v>
      </c>
      <c r="D19" s="5"/>
      <c r="E19" s="6" t="s">
        <v>11</v>
      </c>
      <c r="F19" s="19">
        <v>12</v>
      </c>
      <c r="G19" s="5"/>
      <c r="H19" s="5"/>
      <c r="I19" s="5"/>
      <c r="J19" s="5"/>
      <c r="K19" s="30"/>
    </row>
    <row r="20" spans="1:11" x14ac:dyDescent="0.3">
      <c r="A20" s="5"/>
      <c r="B20" s="12" t="s">
        <v>19</v>
      </c>
      <c r="C20" s="13"/>
      <c r="D20" s="5"/>
      <c r="E20" s="5"/>
      <c r="F20" s="5"/>
      <c r="G20" s="5"/>
      <c r="H20" s="5"/>
      <c r="I20" s="5"/>
      <c r="J20" s="5"/>
      <c r="K20" s="30"/>
    </row>
    <row r="21" spans="1:11" x14ac:dyDescent="0.3">
      <c r="A21" s="5"/>
      <c r="B21" s="10"/>
      <c r="C21" s="10"/>
      <c r="D21" s="5"/>
      <c r="E21" s="5"/>
      <c r="F21" s="5"/>
      <c r="G21" s="5"/>
      <c r="H21" s="5"/>
      <c r="I21" s="5"/>
      <c r="J21" s="5"/>
      <c r="K21" s="30"/>
    </row>
    <row r="22" spans="1:11" ht="21" x14ac:dyDescent="0.4">
      <c r="A22" s="5"/>
      <c r="B22" s="10" t="s">
        <v>7</v>
      </c>
      <c r="C22" s="24">
        <f>SUM(C21)</f>
        <v>0</v>
      </c>
      <c r="D22" s="5"/>
      <c r="E22" s="20" t="s">
        <v>12</v>
      </c>
      <c r="F22" s="20">
        <f>SUM(PRODUCT(F19,C22),C11,I13)</f>
        <v>1906.08</v>
      </c>
      <c r="G22" s="5"/>
      <c r="H22" s="5"/>
      <c r="I22" s="5"/>
      <c r="J22" s="5"/>
      <c r="K22" s="30"/>
    </row>
    <row r="23" spans="1:11" x14ac:dyDescent="0.3">
      <c r="A23" s="5"/>
      <c r="B23" s="5"/>
      <c r="C23" s="5"/>
      <c r="D23" s="5"/>
      <c r="E23" s="23" t="s">
        <v>13</v>
      </c>
      <c r="F23" s="21">
        <f>C11+(F17*F13)</f>
        <v>506.08</v>
      </c>
      <c r="G23" s="5"/>
      <c r="H23" s="5"/>
      <c r="I23" s="5"/>
      <c r="J23" s="5"/>
    </row>
    <row r="24" spans="1:11" x14ac:dyDescent="0.3">
      <c r="A24" s="5"/>
      <c r="B24" s="5"/>
      <c r="C24" s="5"/>
      <c r="D24" s="5"/>
      <c r="E24" s="22" t="s">
        <v>14</v>
      </c>
      <c r="F24" s="5">
        <f>C22*F19</f>
        <v>0</v>
      </c>
      <c r="G24" s="5"/>
      <c r="H24" s="5"/>
      <c r="I24" s="5"/>
      <c r="J24" s="5"/>
    </row>
    <row r="25" spans="1:11" x14ac:dyDescent="0.3">
      <c r="A25" s="5"/>
      <c r="B25" s="5"/>
      <c r="C25" s="5"/>
      <c r="D25" s="5"/>
      <c r="E25" s="5"/>
      <c r="F25" s="5"/>
      <c r="G25" s="5"/>
      <c r="H25" s="36"/>
      <c r="I25" s="36"/>
      <c r="J25" s="5"/>
    </row>
    <row r="26" spans="1:11" x14ac:dyDescent="0.3">
      <c r="A26" s="5"/>
      <c r="B26" s="5"/>
      <c r="C26" s="5"/>
      <c r="D26" s="5"/>
      <c r="E26" s="5"/>
      <c r="F26" s="5"/>
      <c r="G26" s="5"/>
      <c r="H26" s="37"/>
      <c r="I26" s="37"/>
      <c r="J26" s="5"/>
    </row>
    <row r="27" spans="1:11" x14ac:dyDescent="0.3">
      <c r="A27" s="5"/>
      <c r="B27" s="5"/>
      <c r="C27" s="5"/>
      <c r="D27" s="5"/>
      <c r="E27" s="5"/>
      <c r="F27" s="5"/>
      <c r="G27" s="5"/>
      <c r="H27" s="38"/>
      <c r="I27" s="39"/>
      <c r="J27" s="5"/>
    </row>
    <row r="28" spans="1:11" x14ac:dyDescent="0.3">
      <c r="A28" s="5"/>
      <c r="B28" s="5"/>
      <c r="C28" s="5"/>
      <c r="D28" s="5"/>
      <c r="G28" s="5"/>
      <c r="H28" s="38"/>
      <c r="I28" s="39"/>
      <c r="J28" s="5"/>
    </row>
    <row r="29" spans="1:11" x14ac:dyDescent="0.3">
      <c r="A29" s="5"/>
      <c r="B29" s="5"/>
      <c r="C29" s="5"/>
      <c r="D29" s="5"/>
      <c r="G29" s="5"/>
      <c r="H29" s="40"/>
      <c r="I29" s="39"/>
      <c r="J29" s="5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35192e-ec71-40a1-825c-8971dcddf271">
      <Terms xmlns="http://schemas.microsoft.com/office/infopath/2007/PartnerControls"/>
    </lcf76f155ced4ddcb4097134ff3c332f>
    <TaxCatchAll xmlns="848150f8-85e9-4aeb-ae75-a80aa57084e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A57CFF5DE98A40ACFEE50952031BB2" ma:contentTypeVersion="13" ma:contentTypeDescription="Create a new document." ma:contentTypeScope="" ma:versionID="1b290a6e6252649908d92c5976d5d7e2">
  <xsd:schema xmlns:xsd="http://www.w3.org/2001/XMLSchema" xmlns:xs="http://www.w3.org/2001/XMLSchema" xmlns:p="http://schemas.microsoft.com/office/2006/metadata/properties" xmlns:ns2="5735192e-ec71-40a1-825c-8971dcddf271" xmlns:ns3="848150f8-85e9-4aeb-ae75-a80aa57084e0" targetNamespace="http://schemas.microsoft.com/office/2006/metadata/properties" ma:root="true" ma:fieldsID="58a6a892a146a2221de2f89f384aacde" ns2:_="" ns3:_="">
    <xsd:import namespace="5735192e-ec71-40a1-825c-8971dcddf271"/>
    <xsd:import namespace="848150f8-85e9-4aeb-ae75-a80aa57084e0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35192e-ec71-40a1-825c-8971dcddf2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1236525-b976-4609-a1d2-2c06a491e0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8150f8-85e9-4aeb-ae75-a80aa57084e0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5362636-606f-46bc-9d50-61b4a37de972}" ma:internalName="TaxCatchAll" ma:showField="CatchAllData" ma:web="848150f8-85e9-4aeb-ae75-a80aa57084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70FCDE-DC4C-42B8-9A2A-DABD60D5AC6F}">
  <ds:schemaRefs>
    <ds:schemaRef ds:uri="e448b08f-3c00-4ad1-8a7a-7d5de72e9bc8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4d97fdb9-2931-4526-bab6-083dbe887d18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c4fdcfbd-3d0a-4387-a1bc-fea3600f240f"/>
  </ds:schemaRefs>
</ds:datastoreItem>
</file>

<file path=customXml/itemProps2.xml><?xml version="1.0" encoding="utf-8"?>
<ds:datastoreItem xmlns:ds="http://schemas.openxmlformats.org/officeDocument/2006/customXml" ds:itemID="{1012D8BF-4371-4059-BD98-B9950B078E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55DFAD-ADB3-4371-AA73-23B5461966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Fattibilità selfgarden#1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Giordano Pescetelli</dc:creator>
  <cp:keywords/>
  <dc:description/>
  <cp:lastModifiedBy>Daniele Di Noto</cp:lastModifiedBy>
  <cp:revision/>
  <dcterms:created xsi:type="dcterms:W3CDTF">2024-11-29T12:54:34Z</dcterms:created>
  <dcterms:modified xsi:type="dcterms:W3CDTF">2025-12-16T13:47:56Z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0x0101000FA57CFF5DE98A40ACFEE50952031BB2</vt:lpwstr>
  </property>
  <property fmtid="{D5CDD505-2E9C-101B-9397-08002B2CF9AE}" pid="3" name="MediaServiceImageTags">
    <vt:lpwstr/>
  </property>
  <property fmtid="{D5CDD505-2E9C-101B-9397-08002B2CF9AE}" pid="4" name="Order">
    <vt:r8>6800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